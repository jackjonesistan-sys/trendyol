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</workbook>
</file>

<file path=xl/sharedStrings.xml><?xml version="1.0" encoding="utf-8"?>
<sst xmlns="http://schemas.openxmlformats.org/spreadsheetml/2006/main" count="438" uniqueCount="438">
  <si>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</si>
  <si>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</si>
  <si>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</si>
  <si>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</si>
  <si>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</si>
  <si>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</si>
  <si>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</si>
  <si>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</si>
  <si>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</si>
  <si>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</si>
  <si>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</si>
  <si>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</si>
  <si>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</si>
  <si>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</si>
  <si>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</si>
  <si>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</si>
  <si>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</si>
  <si>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</si>
  <si>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</si>
  <si>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</si>
  <si>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</si>
  <si>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</si>
  <si>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Nem ve Toz Alıcı Yıkanabilir Kauçuk Kenarlı Kapı Önü Paspas</t>
  </si>
  <si>
    <t>1094094672</t>
  </si>
  <si>
    <t>RAMPALIPOLI-40x60</t>
  </si>
  <si>
    <t>40 x 60</t>
  </si>
  <si>
    <t>RAMPALIPOLI</t>
  </si>
  <si>
    <t>Kapı Önü Paspası</t>
  </si>
  <si>
    <t>Paspas Yap</t>
  </si>
  <si>
    <t>4 Ağustos 08.00-11 Ağustos 07.59</t>
  </si>
  <si>
    <t>7 Günlük Fiyat</t>
  </si>
  <si>
    <t>5c8cccc8-68da-40f6-8dc2-d95a0e9fc488</t>
  </si>
  <si>
    <t>RAMPALIPOLI-50x80</t>
  </si>
  <si>
    <t>50 x 80</t>
  </si>
  <si>
    <t>Rampalı Giriş Paspası Toz Ve Nem Alıcı Su Emici Kaymaz Paspas Apartman Dükkan Iş Yeri Paspası</t>
  </si>
  <si>
    <t>769995957</t>
  </si>
  <si>
    <t>TOZKONTROL-IYP1-GRI-120650</t>
  </si>
  <si>
    <t>120 x 650</t>
  </si>
  <si>
    <t>TOZKONTROL-IYP1</t>
  </si>
  <si>
    <t>TOZKONTROL-IYP1-GRI-1201500</t>
  </si>
  <si>
    <t>120 x 1500</t>
  </si>
  <si>
    <t>TOZKONTROL-IYP1-GRI-120x1450</t>
  </si>
  <si>
    <t>120 x 1450</t>
  </si>
  <si>
    <t>TOZKONTROL-IYP1-GRI-3360</t>
  </si>
  <si>
    <t>33 x 60</t>
  </si>
  <si>
    <t>TOZKONTROL-IYP1-GRI-120600</t>
  </si>
  <si>
    <t>120 x 600</t>
  </si>
  <si>
    <t>TOZKONTROL-IYP1-GRI-4070</t>
  </si>
  <si>
    <t>40 x 70</t>
  </si>
  <si>
    <t>769999711</t>
  </si>
  <si>
    <t>TOZKONTROL-IYP1-SIYAH-3360</t>
  </si>
  <si>
    <t>TOZKONTROL-IYP1-SIYAH-60100</t>
  </si>
  <si>
    <t>60 x 100</t>
  </si>
  <si>
    <t>TOZKONTROL-IYP1-SIYAH-4070</t>
  </si>
  <si>
    <t>Toz Ve Nem Alıcı Paspas Iş Yeri Paspası Iç Ve Dış Mekan Paspası Giriş Paspası Kapı Paspası</t>
  </si>
  <si>
    <t>780278960</t>
  </si>
  <si>
    <t>TOZKONTROL-IYP2-RAMPASIZ-GRI-33x60</t>
  </si>
  <si>
    <t>TOZKONTROL-IYP2-RAMPASIZ</t>
  </si>
  <si>
    <t>TOZKONTROL-IYP2-RAMPASIZ-GRI-50120</t>
  </si>
  <si>
    <t>50 x 120</t>
  </si>
  <si>
    <t>TOZKONTROL-IYP2-RAMPASIZ-GRI-1201200</t>
  </si>
  <si>
    <t>120 x 1200</t>
  </si>
  <si>
    <t>TOZKONTROL-IYP2-RAMPASIZ-GRI-1001450</t>
  </si>
  <si>
    <t>100 x 1450</t>
  </si>
  <si>
    <t>TOZKONTROL-IYP2-RAMPASIZ-GRI-120200</t>
  </si>
  <si>
    <t>120 x 200</t>
  </si>
  <si>
    <t>TOZKONTROL-IYP2-RAMPASIZ-GRI-120150</t>
  </si>
  <si>
    <t>120 x 150</t>
  </si>
  <si>
    <t>TOZKONTROL-IYP2-RAMPASIZ-GRI-60x120</t>
  </si>
  <si>
    <t>60 x 120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</si>
  <si>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</si>
  <si>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</si>
  <si>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</si>
  <si>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</si>
  <si>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</si>
  <si>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</si>
  <si>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TOZKONTROL-IYP2-RAMPASIZ-GRI-1201150</t>
  </si>
  <si>
    <t>120 x 1150</t>
  </si>
  <si>
    <t>Dikdörtgen Şekilli Sade Paspas Koko Paspas Kıl Paspas Dış Kapı Paspası Kapıönü Paspas</t>
  </si>
  <si>
    <t>117453119</t>
  </si>
  <si>
    <t>ST34-4070</t>
  </si>
  <si>
    <t>KOKO--40x70--ST34</t>
  </si>
  <si>
    <t>ST34</t>
  </si>
  <si>
    <t>ST34-3360</t>
  </si>
  <si>
    <t>KOKO--33x60--ST34</t>
  </si>
  <si>
    <t>ST34-4060</t>
  </si>
  <si>
    <t>KOKO--40x60--ST34</t>
  </si>
  <si>
    <t>Dikdörtgen Çerçeveli Gri Kıvırcık Paspas Iş Yeri Paspası Apartman Giriş Paspası Su Emici</t>
  </si>
  <si>
    <t>249077560</t>
  </si>
  <si>
    <t>ST102-BASKILI-KIVIRCIK-GRI-60x100</t>
  </si>
  <si>
    <t>ST102</t>
  </si>
  <si>
    <t>780287237</t>
  </si>
  <si>
    <t>TOZKONTROL-IYP2-RAMPASIZ-SIYAH-100950</t>
  </si>
  <si>
    <t>100 x 950</t>
  </si>
  <si>
    <t>TOZKONTROL-IYP2-RAMPASIZ-SIYAH-100x700</t>
  </si>
  <si>
    <t>100 x 700</t>
  </si>
  <si>
    <t>TOZKONTROL-IYP2-RAMPASIZ-SIYAH-801450</t>
  </si>
  <si>
    <t>80 x 1450</t>
  </si>
  <si>
    <t>TOZKONTROL-IYP2-RAMPASIZ-SIYAH-1201050</t>
  </si>
  <si>
    <t>120 x 1050</t>
  </si>
  <si>
    <t>TOZKONTROL-IYP2-RAMPASIZ-SIYAH-801500</t>
  </si>
  <si>
    <t>80 x 1500</t>
  </si>
  <si>
    <t>TOZKONTROL-IYP2-RAMPASIZ-SIYAH-80500</t>
  </si>
  <si>
    <t>80 x 500</t>
  </si>
  <si>
    <t>TOZKONTROL-IYP2-RAMPASIZ-SIYAH-1001200</t>
  </si>
  <si>
    <t>100 x 1200</t>
  </si>
  <si>
    <t>TOZKONTROL-IYP2-RAMPASIZ-SIYAH-80700</t>
  </si>
  <si>
    <t>80 x 700</t>
  </si>
  <si>
    <t>TOZKONTROL-IYP2-RAMPASIZ-SIYAH-80650</t>
  </si>
  <si>
    <t>80 x 650</t>
  </si>
  <si>
    <t>TOZKONTROL-IYP2-RAMPASIZ-SIYAH-1001100</t>
  </si>
  <si>
    <t>100 x 1100</t>
  </si>
  <si>
    <t>TOZKONTROL-IYP2-RAMPASIZ-SIYAH-1001150</t>
  </si>
  <si>
    <t>100 x 1150</t>
  </si>
  <si>
    <t>TOZKONTROL-IYP2-RAMPASIZ-SIYAH-80x100</t>
  </si>
  <si>
    <t>TOZKONTROL-IYP2-RAMPASIZ-SIYAH-33x60</t>
  </si>
  <si>
    <t>TOZKONTROL-IYP2-RAMPASIZ-SIYAH-1201100</t>
  </si>
  <si>
    <t>120 x 1100</t>
  </si>
  <si>
    <t>TOZKONTROL-IYP2-RAMPASIZ-SIYAH-80600</t>
  </si>
  <si>
    <t>80 x 600</t>
  </si>
  <si>
    <t>TOZKONTROL-IYP2-RAMPASIZ-SIYAH-1001300</t>
  </si>
  <si>
    <t>100 x 1300</t>
  </si>
  <si>
    <t>TOZKONTROL-IYP2-RAMPASIZ-SIYAH-801400</t>
  </si>
  <si>
    <t>80 x 1400</t>
  </si>
  <si>
    <t>TOZKONTROL-IYP2-RAMPASIZ-SIYAH-1001500</t>
  </si>
  <si>
    <t>100 x 1500</t>
  </si>
  <si>
    <t>TOZKONTROL-IYP2-RAMPASIZ-SIYAH-100x600</t>
  </si>
  <si>
    <t>100 x 600</t>
  </si>
  <si>
    <t>TOZKONTROL-IYP2-RAMPASIZ-SIYAH-80750</t>
  </si>
  <si>
    <t>80 x 750</t>
  </si>
  <si>
    <t>769993791</t>
  </si>
  <si>
    <t>TOZKONTROL-IYP1-KIRMIZI-4070</t>
  </si>
  <si>
    <t>TOZKONTROL-IYP1-KIRMIZI-120x1150</t>
  </si>
  <si>
    <t>TOZKONTROL-IYP1-KIRMIZI-120x1450</t>
  </si>
  <si>
    <t>TOZKONTROL-IYP1-KIRMIZI-3360</t>
  </si>
  <si>
    <t>TOZKONTROL-IYP1-KIRMIZI-1201400</t>
  </si>
  <si>
    <t>120 x 1400</t>
  </si>
  <si>
    <t>TOZKONTROL-IYP1-KIRMIZI-100150</t>
  </si>
  <si>
    <t>100 x 150</t>
  </si>
  <si>
    <t>TOZKONTROL-IYP1-KIRMIZI-80120</t>
  </si>
  <si>
    <t>80 x 120</t>
  </si>
  <si>
    <t>TOZKONTROL-IYP1-KIRMIZI-1201500</t>
  </si>
  <si>
    <t>Nem Alıcı Paspas Iş Yeri Paspası Halı Paspas Giriş Apartman Paspası Kapı Önü Paspası Su Emici Kaymaz</t>
  </si>
  <si>
    <t>177420413</t>
  </si>
  <si>
    <t>NA102-90150</t>
  </si>
  <si>
    <t>NEMALICILEYLASIYAH90150-NA102</t>
  </si>
  <si>
    <t>90 x 150</t>
  </si>
  <si>
    <t>NA102</t>
  </si>
  <si>
    <t>NA102-5080</t>
  </si>
  <si>
    <t>NEMALICILEYLASIYAH5080-NA102</t>
  </si>
  <si>
    <t>NA102-4060</t>
  </si>
  <si>
    <t>NEMALICILEYLAGRI4060-NA102</t>
  </si>
  <si>
    <t>NA102-6090</t>
  </si>
  <si>
    <t>NEMALICILEYLASIYAH6090-NA102</t>
  </si>
  <si>
    <t>60 x 90</t>
  </si>
  <si>
    <t>Kedi Çizimli Kapı Önü Paspası Kedili Paspas Dış Kapı Paspası Kapıönü Paspası Koko Paspas Kıl Paspas</t>
  </si>
  <si>
    <t>760160598</t>
  </si>
  <si>
    <t>G1M9-KOKO3360</t>
  </si>
  <si>
    <t>KOKO--33x60--G1M9</t>
  </si>
  <si>
    <t>G1M9</t>
  </si>
  <si>
    <t>G1M9-KOKO4060</t>
  </si>
  <si>
    <t>KOKO--40x60--G1M9</t>
  </si>
  <si>
    <t>Kim Oo Kedili Paspas Koko Paspas Dış Kapı Paspası Kıl Paspas Kapı Giriş Paspası Kapı Önü Paspası</t>
  </si>
  <si>
    <t>114818659</t>
  </si>
  <si>
    <t>ST9-3360</t>
  </si>
  <si>
    <t>KOKO--33x60--ST9</t>
  </si>
  <si>
    <t>ST9</t>
  </si>
  <si>
    <t>ST9-4060</t>
  </si>
  <si>
    <t>KOKO--40x60--ST9</t>
  </si>
  <si>
    <t>ST9-4070</t>
  </si>
  <si>
    <t>KOKO--40x70--ST9</t>
  </si>
  <si>
    <t>Dışardan Stres Getirmek Yasaktır Küçük Kırmızı Kalpler Kapı Önü Paspası Koko Paspas Kıl Paspas</t>
  </si>
  <si>
    <t>518890376</t>
  </si>
  <si>
    <t>ST166-3360</t>
  </si>
  <si>
    <t>KOKO--33x60--ST166</t>
  </si>
  <si>
    <t>ST166</t>
  </si>
  <si>
    <t>ST166-4060</t>
  </si>
  <si>
    <t>KOKO--40x60--ST166</t>
  </si>
  <si>
    <t>Patili Kapı Önü Paspası Koko Paspas Kapı Paspası</t>
  </si>
  <si>
    <t>1111330186</t>
  </si>
  <si>
    <t>KOKO--33x60--ST425</t>
  </si>
  <si>
    <t>ST425</t>
  </si>
  <si>
    <t>KOKO--40x60--ST425</t>
  </si>
  <si>
    <t>Dikdörtgen Çerçeveli Dış Kapı Paspası - Kıvırcık Paspas - Suya Dayanıklı - 3 Çizgili Model</t>
  </si>
  <si>
    <t>957262370</t>
  </si>
  <si>
    <t>KIVIRCIK-BASKILI-GRI-40x70-YST404</t>
  </si>
  <si>
    <t>KIVIRCIK-BASKILI-YST404</t>
  </si>
  <si>
    <t>KIVIRCIK-BASKILI-GRI-100x100-YST404</t>
  </si>
  <si>
    <t>100 x 100</t>
  </si>
  <si>
    <t>KIVIRCIK-BASKILI-GRI-50x90-YST404</t>
  </si>
  <si>
    <t>50 x 90</t>
  </si>
  <si>
    <t>Welcome Yazılı Gri Kıvırcık Paspas Su Emici Iş Yeri Dükkan Apartman Bahçe Paspası Kaymaz Paspas</t>
  </si>
  <si>
    <t>743302558</t>
  </si>
  <si>
    <t>ST103-100x100</t>
  </si>
  <si>
    <t>ST103</t>
  </si>
  <si>
    <t>780287428</t>
  </si>
  <si>
    <t>TOZKONTROL-IYP2-RAMPASIZ-KIRMIZI-1001500</t>
  </si>
  <si>
    <t>TOZKONTROL-IYP2-RAMPASIZ-KIRMIZI-100x300</t>
  </si>
  <si>
    <t>100 x 300</t>
  </si>
  <si>
    <t>TOZKONTROL-IYP2-RAMPASIZ-KIRMIZI-1001350</t>
  </si>
  <si>
    <t>100 x 1350</t>
  </si>
  <si>
    <t>TOZKONTROL-IYP2-RAMPASIZ-KIRMIZI-1201000</t>
  </si>
  <si>
    <t>120 x 1000</t>
  </si>
  <si>
    <t>TOZKONTROL-IYP2-RAMPASIZ-KIRMIZI-1201500</t>
  </si>
  <si>
    <t>TOZKONTROL-IYP2-RAMPASIZ-KIRMIZI-801000</t>
  </si>
  <si>
    <t>80 x 1000</t>
  </si>
  <si>
    <t>TOZKONTROL-IYP2-RAMPASIZ-KIRMIZI-100x600</t>
  </si>
  <si>
    <t>TOZKONTROL-IYP2-RAMPASIZ-KIRMIZI-100x700</t>
  </si>
  <si>
    <t>TOZKONTROL-IYP2-RAMPASIZ-KIRMIZI-120600</t>
  </si>
  <si>
    <t>TOZKONTROL-IYP2-RAMPASIZ-KIRMIZI-801050</t>
  </si>
  <si>
    <t>80 x 1050</t>
  </si>
  <si>
    <t>TOZKONTROL-IYP2-RAMPASIZ-KIRMIZI-33x60</t>
  </si>
  <si>
    <t>TOZKONTROL-IYP2-RAMPASIZ-KIRMIZI-100850</t>
  </si>
  <si>
    <t>100 x 850</t>
  </si>
  <si>
    <t>TOZKONTROL-IYP2-RAMPASIZ-KIRMIZI-80900</t>
  </si>
  <si>
    <t>80 x 900</t>
  </si>
  <si>
    <t>TOZKONTROL-IYP2-RAMPASIZ-KIRMIZI-120750</t>
  </si>
  <si>
    <t>120 x 750</t>
  </si>
  <si>
    <t>TOZKONTROL-IYP2-RAMPASIZ-KIRMIZI-80650</t>
  </si>
  <si>
    <t>TOZKONTROL-IYP2-RAMPASIZ-KIRMIZI-100x550</t>
  </si>
  <si>
    <t>100 x 550</t>
  </si>
  <si>
    <t>TOZKONTROL-IYP2-RAMPASIZ-KIRMIZI-80850</t>
  </si>
  <si>
    <t>80 x 850</t>
  </si>
  <si>
    <t>TOZKONTROL-IYP2-RAMPASIZ-KIRMIZI-801450</t>
  </si>
  <si>
    <t>TOZKONTROL-IYP2-RAMPASIZ-KIRMIZI-1201100</t>
  </si>
  <si>
    <t>TOZKONTROL-IYP2-RAMPASIZ-KIRMIZI-801400</t>
  </si>
  <si>
    <t>TOZKONTROL-IYP2-RAMPASIZ-KIRMIZI-120650</t>
  </si>
  <si>
    <t>TOZKONTROL-IYP2-RAMPASIZ-KIRMIZI-90x90</t>
  </si>
  <si>
    <t>90 x 90</t>
  </si>
  <si>
    <t>TOZKONTROL-IYP2-RAMPASIZ-KIRMIZI-100950</t>
  </si>
  <si>
    <t>TOZKONTROL-IYP2-RAMPASIZ-KIRMIZI-80750</t>
  </si>
  <si>
    <t>TOZKONTROL-IYP2-RAMPASIZ-KIRMIZI-801500</t>
  </si>
  <si>
    <t>TOZKONTROL-IYP2-RAMPASIZ-KIRMIZI-1001300</t>
  </si>
  <si>
    <t>TOZKONTROL-IYP2-RAMPASIZ-KIRMIZI-80800</t>
  </si>
  <si>
    <t>80 x 800</t>
  </si>
  <si>
    <t>TOZKONTROL-IYP2-RAMPASIZ-KIRMIZI-1201050</t>
  </si>
  <si>
    <t>TOZKONTROL-IYP2-RAMPASIZ-KIRMIZI-801150</t>
  </si>
  <si>
    <t>80 x 1150</t>
  </si>
  <si>
    <t>TOZKONTROL-IYP2-RAMPASIZ-KIRMIZI-120800</t>
  </si>
  <si>
    <t>120 x 800</t>
  </si>
  <si>
    <t>TOZKONTROL-IYP2-RAMPASIZ-KIRMIZI-80x120</t>
  </si>
  <si>
    <t>İşyeri Ve Ev Paspası Halı Paspas Dış Mekan Paspası Giriş Apartman Su Emici Kaymaz Toz Ve Nem Alıcı</t>
  </si>
  <si>
    <t>156225538</t>
  </si>
  <si>
    <t>NA100-3360</t>
  </si>
  <si>
    <t>TOZKONTROLSIYAH3360-NA100</t>
  </si>
  <si>
    <t>NA100</t>
  </si>
  <si>
    <t>NA100-150250</t>
  </si>
  <si>
    <t>TOZKONTROLSIYAH150250-NA100</t>
  </si>
  <si>
    <t>150 x 250</t>
  </si>
  <si>
    <t>NA100-120x850-S</t>
  </si>
  <si>
    <t>TOZKONTROLSIYAH120850-NA100</t>
  </si>
  <si>
    <t>120 x 850</t>
  </si>
  <si>
    <t>NA100-80x850-S</t>
  </si>
  <si>
    <t>TOZKONTROLSIYAH80850-NA100</t>
  </si>
  <si>
    <t>NA100-80x650-S</t>
  </si>
  <si>
    <t>TOZKONTROLSIYAH80650-NA100</t>
  </si>
  <si>
    <t>NA100-80x800-S</t>
  </si>
  <si>
    <t>TOZKONTROLSIYAH80800-NA100</t>
  </si>
  <si>
    <t>NA100-80x550-S</t>
  </si>
  <si>
    <t>TOZKONTROLSIYAH80550-NA100</t>
  </si>
  <si>
    <t>80 x 550</t>
  </si>
  <si>
    <t>NA100-100x650-S</t>
  </si>
  <si>
    <t>TOZKONTROLSIYAH100650-NA100</t>
  </si>
  <si>
    <t>100 x 650</t>
  </si>
  <si>
    <t>NA100-5090</t>
  </si>
  <si>
    <t>TOZKONTROLSIYAH5090-NA100</t>
  </si>
  <si>
    <t>NA100-120x700-S</t>
  </si>
  <si>
    <t>TOZKONTROLSIYAH120700-NA100</t>
  </si>
  <si>
    <t>120 x 700</t>
  </si>
  <si>
    <t>NA100-120x1200-S</t>
  </si>
  <si>
    <t>TOZKONTROLSIYAH1201200-NA100</t>
  </si>
  <si>
    <t>NA100-80x750-S</t>
  </si>
  <si>
    <t>TOZKONTROLSIYAH80750-NA100</t>
  </si>
  <si>
    <t>NA100-80x700-S</t>
  </si>
  <si>
    <t>TOZKONTROLSIYAH80700-NA100</t>
  </si>
  <si>
    <t>NA100-100x400-S</t>
  </si>
  <si>
    <t>TOZKONTROLSIYAH100400-NA100</t>
  </si>
  <si>
    <t>100 x 400</t>
  </si>
  <si>
    <t>NA100-120x550-S</t>
  </si>
  <si>
    <t>TOZKONTROLSIYAH120550-NA100</t>
  </si>
  <si>
    <t>120 x 550</t>
  </si>
  <si>
    <t>NA100-120x350-S</t>
  </si>
  <si>
    <t>TOZKONTROLSIYAH120350-NA100</t>
  </si>
  <si>
    <t>120 x 350</t>
  </si>
  <si>
    <t>NA100-80x500-S</t>
  </si>
  <si>
    <t>TOZKONTROLSIYAH80500-NA100</t>
  </si>
  <si>
    <t>NA100-100x1050-S</t>
  </si>
  <si>
    <t>TOZKONTROLSIYAH1001050-NA100</t>
  </si>
  <si>
    <t>100 x 1050</t>
  </si>
  <si>
    <t>NA100-120x250-S</t>
  </si>
  <si>
    <t>TOZKONTROLSIYAH120250-NA100</t>
  </si>
  <si>
    <t>120 x 250</t>
  </si>
  <si>
    <t>NA100-200400</t>
  </si>
  <si>
    <t>TOZKONTROLSIYAH200400-NA100</t>
  </si>
  <si>
    <t>200 x 400</t>
  </si>
  <si>
    <t>NA100-120x400-S</t>
  </si>
  <si>
    <t>TOZKONTROLSIYAH120400-NA100</t>
  </si>
  <si>
    <t>120 x 400</t>
  </si>
  <si>
    <t>NA100-100x800-S</t>
  </si>
  <si>
    <t>TOZKONTROLSIYAH100800-NA100</t>
  </si>
  <si>
    <t>100 x 800</t>
  </si>
  <si>
    <t>NA100-100x550-S</t>
  </si>
  <si>
    <t>TOZKONTROLSIYAH100550-NA100</t>
  </si>
  <si>
    <t>NA100-100x450-S</t>
  </si>
  <si>
    <t>TOZKONTROLSIYAH100450-NA100</t>
  </si>
  <si>
    <t>100 x 450</t>
  </si>
  <si>
    <t>NA100-100x750-S</t>
  </si>
  <si>
    <t>TOZKONTROLSIYAH100750-NA100</t>
  </si>
  <si>
    <t>100 x 750</t>
  </si>
  <si>
    <t>NA100-80x600-S</t>
  </si>
  <si>
    <t>TOZKONTROLSIYAH80600-NA100</t>
  </si>
  <si>
    <t>NA100-100x850-S</t>
  </si>
  <si>
    <t>TOZKONTROLSIYAH100850-NA100</t>
  </si>
  <si>
    <t>NA100-80120</t>
  </si>
  <si>
    <t>TOZKONTROLSIYAH80120-NA100</t>
  </si>
  <si>
    <t>NA100-100x120-S</t>
  </si>
  <si>
    <t>TOZKONTROLSIYAH100120-NA100</t>
  </si>
  <si>
    <t>100 x 120</t>
  </si>
  <si>
    <t>Banyo Paspası Duşa Kabin Paspası Su Sıçratmaz Paspas Kaydırmaz Paspas (50x50 CM)</t>
  </si>
  <si>
    <t>939084898</t>
  </si>
  <si>
    <t>KIVIRCIK-BANYO-GRI-50x50</t>
  </si>
  <si>
    <t>KIVIRCIK-BANYO</t>
  </si>
  <si>
    <t>Banyo Paspası</t>
  </si>
  <si>
    <t>Banyo Paspası Duşa Kabin Paspası Su Sıçratmaz Paspas Kaydırmaz Paspas (60x60 CM)</t>
  </si>
  <si>
    <t>939084588</t>
  </si>
  <si>
    <t>KIVIRCIK-BANYO-GRI-60x60</t>
  </si>
  <si>
    <t>KIVIRCIK-BANYO2</t>
  </si>
  <si>
    <t>İşyeri Paspası Halı Paspas Gri Paspas Kapı Önü Paspası Apartman Dış Kapı Paspası Toz Ve Nem Alıcı</t>
  </si>
  <si>
    <t>194116209</t>
  </si>
  <si>
    <t>NA100-3360-G</t>
  </si>
  <si>
    <t>TOZKONTROLGRI3360-NA100</t>
  </si>
  <si>
    <t>NA100-60120-G</t>
  </si>
  <si>
    <t>TOZKONTROLGRI60120-NA100</t>
  </si>
  <si>
    <t>NA100-50x120-G</t>
  </si>
  <si>
    <t>TOZKONTROLGRI50120-NA100</t>
  </si>
  <si>
    <t>Limon Tasarımlı Yuvarlak Banyo Paspası Kaymaz Paspas Su Emici Islak Zemin Duşa Kabin Paspası 50x50cm</t>
  </si>
  <si>
    <t>750815568</t>
  </si>
  <si>
    <t>KPBP18-5050-GRI</t>
  </si>
  <si>
    <t>KPBP18</t>
  </si>
  <si>
    <t>İşyeri Paspası Halı Paspas Kırmızı Paspas Kapı Önü Paspası Apartman Dış Kapı Paspası Toz Nem Alıcı</t>
  </si>
  <si>
    <t>194122870</t>
  </si>
  <si>
    <t>NA100-120x1300-K</t>
  </si>
  <si>
    <t>TOZKONTROLKIRMIZI1201300-NA100</t>
  </si>
  <si>
    <t>120 x 1300</t>
  </si>
  <si>
    <t>NA100-120x200-K</t>
  </si>
  <si>
    <t>TOZKONTROLKIRMIZI120200-NA100</t>
  </si>
  <si>
    <t>NA100-100x350-K</t>
  </si>
  <si>
    <t>TOZKONTROLKIRMIZI100350-NA100</t>
  </si>
  <si>
    <t>100 x 350</t>
  </si>
  <si>
    <t>NA100-80x550-K</t>
  </si>
  <si>
    <t>TOZKONTROLKIRMIZI80550-NA100</t>
  </si>
  <si>
    <t>NA100-100x750-K</t>
  </si>
  <si>
    <t>TOZKONTROLKIRMIZI100750-NA100</t>
  </si>
  <si>
    <t>NA100-100x650-K</t>
  </si>
  <si>
    <t>TOZKONTROLKIRMIZI100650-NA100</t>
  </si>
  <si>
    <t>NA100-120x300-K</t>
  </si>
  <si>
    <t>TOZKONTROLKIRMIZI120300-NA100</t>
  </si>
  <si>
    <t>120 x 300</t>
  </si>
  <si>
    <t>NA100-100x950-K</t>
  </si>
  <si>
    <t>TOZKONTROLKIRMIZI100950-NA100</t>
  </si>
  <si>
    <t>NA100-120x400-K</t>
  </si>
  <si>
    <t>TOZKONTROLKIRMIZI120400-NA100</t>
  </si>
  <si>
    <t>NA100-3360-K</t>
  </si>
  <si>
    <t>TOZKONTROLKIRMIZI3360-NA100</t>
  </si>
  <si>
    <t>NA100-100x500-K</t>
  </si>
  <si>
    <t>TOZKONTROLKIRMIZI100500-NA100</t>
  </si>
  <si>
    <t>100 x 500</t>
  </si>
  <si>
    <t>NA100-150250-K</t>
  </si>
  <si>
    <t>TOZKONTROLKIRMIZI150250-NA100</t>
  </si>
  <si>
    <t>NA100-80x150-K</t>
  </si>
  <si>
    <t>TOZKONTROLKIRMIZI80150-NA100</t>
  </si>
  <si>
    <t>NA100-80x800-K</t>
  </si>
  <si>
    <t>TOZKONTROLKIRMIZI80800-NA100</t>
  </si>
  <si>
    <t>NA100-80x350-K</t>
  </si>
  <si>
    <t>TOZKONTROLKIRMIZI80350-NA100</t>
  </si>
  <si>
    <t>80 x 350</t>
  </si>
  <si>
    <t>NA100-80x650-K</t>
  </si>
  <si>
    <t>TOZKONTROLKIRMIZI80650-NA100</t>
  </si>
  <si>
    <t>NA100-100x450-K</t>
  </si>
  <si>
    <t>TOZKONTROLKIRMIZI100450-NA100</t>
  </si>
  <si>
    <t>NA100-120x350-K</t>
  </si>
  <si>
    <t>TOZKONTROLKIRMIZI120350-NA100</t>
  </si>
  <si>
    <t>NA100-80x950-K</t>
  </si>
  <si>
    <t>TOZKONTROLKIRMIZI80950-NA100</t>
  </si>
  <si>
    <t>80 x 950</t>
  </si>
  <si>
    <t>NA100-50120-K</t>
  </si>
  <si>
    <t>TOZKONTROLKIRMIZI50120-NA100</t>
  </si>
  <si>
    <t>NA100-80x750-K</t>
  </si>
  <si>
    <t>TOZKONTROLKIRMIZI80750-NA100</t>
  </si>
  <si>
    <t>NA100-80x200-K</t>
  </si>
  <si>
    <t>TOZKONTROLKIRMIZI80200-NA100</t>
  </si>
  <si>
    <t>NA100-100300-K</t>
  </si>
  <si>
    <t>TOZKONTROLKIRMIZI100300-NA100</t>
  </si>
  <si>
    <t>NA100-120x700-K</t>
  </si>
  <si>
    <t>TOZKONTROLKIRMIZI120700-NA100</t>
  </si>
  <si>
    <t>NA100-120x850-K</t>
  </si>
  <si>
    <t>TOZKONTROLKIRMIZI120850-NA100</t>
  </si>
  <si>
    <t>NA100-80x250-K</t>
  </si>
  <si>
    <t>TOZKONTROLKIRMIZI80250-NA100</t>
  </si>
  <si>
    <t>80 x 250</t>
  </si>
  <si>
    <t>NA100-100x1450-K</t>
  </si>
  <si>
    <t>TOZKONTROLKIRMIZI1001450-NA100</t>
  </si>
  <si>
    <t>NA100-80x400-K</t>
  </si>
  <si>
    <t>TOZKONTROLKIRMIZI80400-NA100</t>
  </si>
  <si>
    <t>80 x 400</t>
  </si>
  <si>
    <t>NA100-200400-K</t>
  </si>
  <si>
    <t>TOZKONTROLKIRMIZI200400-NA100</t>
  </si>
  <si>
    <t>NA100-200300-K</t>
  </si>
  <si>
    <t>TOZKONTROLKIRMIZI200300-NA100</t>
  </si>
  <si>
    <t>200 x 300</t>
  </si>
  <si>
    <t>NA100-60100-K</t>
  </si>
  <si>
    <t>TOZKONTROLKIRMIZI60100-NA100</t>
  </si>
  <si>
    <t>NA100-100200-K</t>
  </si>
  <si>
    <t>TOZKONTROLKIRMIZI100200-NA100</t>
  </si>
  <si>
    <t>100 x 200</t>
  </si>
  <si>
    <t>NA100-120x450-K</t>
  </si>
  <si>
    <t>TOZKONTROLKIRMIZI120450-NA100</t>
  </si>
  <si>
    <t>120 x 450</t>
  </si>
  <si>
    <t>NA100-100x800-K</t>
  </si>
  <si>
    <t>TOZKONTROLKIRMIZI100800-NA100</t>
  </si>
  <si>
    <t>NA100-80x600-K</t>
  </si>
  <si>
    <t>TOZKONTROLKIRMIZI80600-NA100</t>
  </si>
  <si>
    <t>NA100-120x1200-K</t>
  </si>
  <si>
    <t>TOZKONTROLKIRMIZI1201200-NA100</t>
  </si>
  <si>
    <t>NA100-80x450-K</t>
  </si>
  <si>
    <t>TOZKONTROLKIRMIZI80450-NA100</t>
  </si>
  <si>
    <t>80 x 450</t>
  </si>
  <si>
    <t>NA100-100x550-K</t>
  </si>
  <si>
    <t>TOZKONTROLKIRMIZI100550-NA100</t>
  </si>
  <si>
    <t>NA100-120x650-K</t>
  </si>
  <si>
    <t>TOZKONTROLKIRMIZI120650-NA100</t>
  </si>
  <si>
    <t>939084732</t>
  </si>
  <si>
    <t>KIVIRCIK-BANYO-TURKUAZ-50x50</t>
  </si>
  <si>
    <t>939083971</t>
  </si>
  <si>
    <t>KIVIRCIK-BANYO-KIRMIZI-50x50</t>
  </si>
  <si>
    <t>Baskılı Kıvırcık Paspas Dikdörtgen Çerçeve Tasarımlı Iş Yeri Kapı Paspası</t>
  </si>
  <si>
    <t>798205197</t>
  </si>
  <si>
    <t>ST102-BASKILI-KIVIRCIK-TURKUAZ-40x70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</si>
</sst>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B6D7A8"/>
      </patternFill>
    </fill>
    <fill>
      <patternFill patternType="solid">
        <fgColor rgb="00B6D7A8"/>
      </patternFill>
    </fill>
    <fill>
      <patternFill>
        <fgColor rgb="00EDEDED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8" customWidth="1" min="11" max="11"/>
    <col width="18" customWidth="1" min="12" max="12"/>
    <col width="18" customWidth="1" min="13" max="13"/>
    <col width="30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2" customWidth="1" min="20" max="20"/>
  </cols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18" t="s">
        <v>13</v>
      </c>
      <c r="O1" s="18" t="s">
        <v>14</v>
      </c>
      <c r="P1" s="22" t="s">
        <v>15</v>
      </c>
      <c r="Q1" s="19" t="s">
        <v>16</v>
      </c>
      <c r="R1" s="18" t="s">
        <v>17</v>
      </c>
      <c r="S1" s="19" t="s">
        <v>18</v>
      </c>
      <c r="T1" s="22" t="s">
        <v>19</v>
      </c>
      <c r="U1" s="22" t="s">
        <v>20</v>
      </c>
      <c r="V1" s="22" t="s">
        <v>21</v>
      </c>
    </row>
    <row r="2">
      <c r="A2" s="44" t="s">
        <v>22</v>
      </c>
      <c r="B2" s="44" t="s">
        <v>23</v>
      </c>
      <c r="C2" s="44" t="s">
        <v>24</v>
      </c>
      <c r="D2" s="44" t="s">
        <v>24</v>
      </c>
      <c r="E2" s="44" t="s">
        <v>25</v>
      </c>
      <c r="F2" s="44" t="s">
        <v>26</v>
      </c>
      <c r="G2" s="44" t="s">
        <v>27</v>
      </c>
      <c r="H2" s="44" t="s">
        <v>28</v>
      </c>
      <c r="I2" s="44">
        <v>883</v>
      </c>
      <c r="J2" s="44">
        <v>649</v>
      </c>
      <c r="K2" s="44">
        <v>649</v>
      </c>
      <c r="L2" s="44">
        <v>22</v>
      </c>
      <c r="M2" s="44">
        <v>488.66</v>
      </c>
      <c r="N2" s="44" t="s">
        <v>29</v>
      </c>
      <c r="O2" s="44">
        <v>17.7</v>
      </c>
      <c r="P2" s="44">
        <v>649</v>
      </c>
      <c r="Q2" s="41">
        <v>488.66</v>
      </c>
      <c r="R2" s="44" t="s">
        <v>30</v>
      </c>
      <c r="S2" s="41">
        <f>=IF(OR(Q2="", R2=""), "-", IF(ISNUMBER(SEARCH("7 Günlük", R2)), IF(Q2&lt;=M2, O2, "-"), "-"))</f>
        <v>17.7</v>
      </c>
      <c r="T2" s="44" t="str">
        <f>=IF(ISBLANK(Q2), "", "Hayır")</f>
        <v>Hayır</v>
      </c>
      <c r="V2" s="44" t="s">
        <v>31</v>
      </c>
    </row>
    <row r="3">
      <c r="A3" s="44" t="s">
        <v>22</v>
      </c>
      <c r="B3" s="44" t="s">
        <v>23</v>
      </c>
      <c r="C3" s="44" t="s">
        <v>32</v>
      </c>
      <c r="D3" s="44" t="s">
        <v>32</v>
      </c>
      <c r="E3" s="44" t="s">
        <v>33</v>
      </c>
      <c r="F3" s="44" t="s">
        <v>26</v>
      </c>
      <c r="G3" s="44" t="s">
        <v>27</v>
      </c>
      <c r="H3" s="44" t="s">
        <v>28</v>
      </c>
      <c r="I3" s="44">
        <v>806</v>
      </c>
      <c r="J3" s="44">
        <v>799</v>
      </c>
      <c r="K3" s="44">
        <v>799</v>
      </c>
      <c r="L3" s="44">
        <v>22</v>
      </c>
      <c r="M3" s="44">
        <v>600.3200000000001</v>
      </c>
      <c r="N3" s="44" t="s">
        <v>29</v>
      </c>
      <c r="O3" s="44">
        <v>16.9</v>
      </c>
      <c r="P3" s="44">
        <v>799</v>
      </c>
      <c r="Q3" s="41">
        <v>600.3200000000001</v>
      </c>
      <c r="R3" s="44" t="s">
        <v>30</v>
      </c>
      <c r="S3" s="41">
        <f>=IF(OR(Q3="", R3=""), "-", IF(ISNUMBER(SEARCH("7 Günlük", R3)), IF(Q3&lt;=M3, O3, "-"), "-"))</f>
        <v>16.9</v>
      </c>
      <c r="T3" s="44" t="str">
        <f>=IF(ISBLANK(Q3), "", "Hayır")</f>
        <v>Hayır</v>
      </c>
      <c r="V3" s="44" t="s">
        <v>31</v>
      </c>
    </row>
    <row r="4">
      <c r="A4" s="44" t="s">
        <v>34</v>
      </c>
      <c r="B4" s="44" t="s">
        <v>35</v>
      </c>
      <c r="C4" s="44" t="s">
        <v>36</v>
      </c>
      <c r="D4" s="44" t="s">
        <v>36</v>
      </c>
      <c r="E4" s="44" t="s">
        <v>37</v>
      </c>
      <c r="F4" s="44" t="s">
        <v>38</v>
      </c>
      <c r="G4" s="44" t="s">
        <v>27</v>
      </c>
      <c r="H4" s="44" t="s">
        <v>28</v>
      </c>
      <c r="I4" s="44">
        <v>999</v>
      </c>
      <c r="J4" s="44">
        <v>12997</v>
      </c>
      <c r="K4" s="44">
        <v>9185.32</v>
      </c>
      <c r="L4" s="44">
        <v>21.2</v>
      </c>
      <c r="M4" s="44">
        <v>7157.92</v>
      </c>
      <c r="N4" s="44" t="s">
        <v>29</v>
      </c>
      <c r="O4" s="44">
        <v>13.7</v>
      </c>
      <c r="P4" s="44">
        <v>9185.32</v>
      </c>
      <c r="Q4" s="41">
        <v>7157.92</v>
      </c>
      <c r="R4" s="44" t="s">
        <v>30</v>
      </c>
      <c r="S4" s="41">
        <f>=IF(OR(Q4="", R4=""), "-", IF(ISNUMBER(SEARCH("7 Günlük", R4)), IF(Q4&lt;=M4, O4, "-"), "-"))</f>
        <v>13.7</v>
      </c>
      <c r="T4" s="44" t="str">
        <f>=IF(ISBLANK(Q4), "", "Hayır")</f>
        <v>Hayır</v>
      </c>
      <c r="V4" s="44" t="s">
        <v>31</v>
      </c>
    </row>
    <row r="5">
      <c r="A5" s="44" t="s">
        <v>34</v>
      </c>
      <c r="B5" s="44" t="s">
        <v>35</v>
      </c>
      <c r="C5" s="44" t="s">
        <v>39</v>
      </c>
      <c r="D5" s="44" t="s">
        <v>39</v>
      </c>
      <c r="E5" s="44" t="s">
        <v>40</v>
      </c>
      <c r="F5" s="44" t="s">
        <v>38</v>
      </c>
      <c r="G5" s="44" t="s">
        <v>27</v>
      </c>
      <c r="H5" s="44" t="s">
        <v>28</v>
      </c>
      <c r="I5" s="44">
        <v>999</v>
      </c>
      <c r="J5" s="44">
        <v>31217</v>
      </c>
      <c r="K5" s="44">
        <v>20316.75</v>
      </c>
      <c r="L5" s="44">
        <v>21</v>
      </c>
      <c r="M5" s="44">
        <v>15134.89</v>
      </c>
      <c r="N5" s="44" t="s">
        <v>29</v>
      </c>
      <c r="O5" s="44">
        <v>12.1</v>
      </c>
      <c r="P5" s="44">
        <v>20316.75</v>
      </c>
      <c r="Q5" s="41">
        <v>15134.89</v>
      </c>
      <c r="R5" s="44" t="s">
        <v>30</v>
      </c>
      <c r="S5" s="41">
        <f>=IF(OR(Q5="", R5=""), "-", IF(ISNUMBER(SEARCH("7 Günlük", R5)), IF(Q5&lt;=M5, O5, "-"), "-"))</f>
        <v>12.1</v>
      </c>
      <c r="T5" s="44" t="str">
        <f>=IF(ISBLANK(Q5), "", "Hayır")</f>
        <v>Hayır</v>
      </c>
      <c r="V5" s="44" t="s">
        <v>31</v>
      </c>
    </row>
    <row r="6">
      <c r="A6" s="44" t="s">
        <v>34</v>
      </c>
      <c r="B6" s="44" t="s">
        <v>35</v>
      </c>
      <c r="C6" s="44" t="s">
        <v>41</v>
      </c>
      <c r="D6" s="44" t="s">
        <v>41</v>
      </c>
      <c r="E6" s="44" t="s">
        <v>42</v>
      </c>
      <c r="F6" s="44" t="s">
        <v>38</v>
      </c>
      <c r="G6" s="44" t="s">
        <v>27</v>
      </c>
      <c r="H6" s="44" t="s">
        <v>28</v>
      </c>
      <c r="I6" s="44">
        <v>999</v>
      </c>
      <c r="J6" s="44">
        <v>30370</v>
      </c>
      <c r="K6" s="44">
        <v>19735.6</v>
      </c>
      <c r="L6" s="44">
        <v>21</v>
      </c>
      <c r="M6" s="44">
        <v>14686.95</v>
      </c>
      <c r="N6" s="44" t="s">
        <v>29</v>
      </c>
      <c r="O6" s="44">
        <v>12.1</v>
      </c>
      <c r="P6" s="44">
        <v>19735.6</v>
      </c>
      <c r="Q6" s="41">
        <v>14686.95</v>
      </c>
      <c r="R6" s="44" t="s">
        <v>30</v>
      </c>
      <c r="S6" s="41">
        <f>=IF(OR(Q6="", R6=""), "-", IF(ISNUMBER(SEARCH("7 Günlük", R6)), IF(Q6&lt;=M6, O6, "-"), "-"))</f>
        <v>12.1</v>
      </c>
      <c r="T6" s="44" t="str">
        <f>=IF(ISBLANK(Q6), "", "Hayır")</f>
        <v>Hayır</v>
      </c>
      <c r="V6" s="44" t="s">
        <v>31</v>
      </c>
    </row>
    <row r="7">
      <c r="A7" s="44" t="s">
        <v>34</v>
      </c>
      <c r="B7" s="44" t="s">
        <v>35</v>
      </c>
      <c r="C7" s="44" t="s">
        <v>43</v>
      </c>
      <c r="D7" s="44" t="s">
        <v>43</v>
      </c>
      <c r="E7" s="44" t="s">
        <v>44</v>
      </c>
      <c r="F7" s="44" t="s">
        <v>38</v>
      </c>
      <c r="G7" s="44" t="s">
        <v>27</v>
      </c>
      <c r="H7" s="44" t="s">
        <v>28</v>
      </c>
      <c r="I7" s="44">
        <v>993</v>
      </c>
      <c r="J7" s="44">
        <v>599</v>
      </c>
      <c r="K7" s="44">
        <v>599</v>
      </c>
      <c r="L7" s="44">
        <v>22</v>
      </c>
      <c r="M7" s="44">
        <v>428.39</v>
      </c>
      <c r="N7" s="44" t="s">
        <v>29</v>
      </c>
      <c r="O7" s="44">
        <v>14.8</v>
      </c>
      <c r="P7" s="44">
        <v>599</v>
      </c>
      <c r="Q7" s="41">
        <v>428.39</v>
      </c>
      <c r="R7" s="44" t="s">
        <v>30</v>
      </c>
      <c r="S7" s="41">
        <f>=IF(OR(Q7="", R7=""), "-", IF(ISNUMBER(SEARCH("7 Günlük", R7)), IF(Q7&lt;=M7, O7, "-"), "-"))</f>
        <v>14.8</v>
      </c>
      <c r="T7" s="44" t="str">
        <f>=IF(ISBLANK(Q7), "", "Hayır")</f>
        <v>Hayır</v>
      </c>
      <c r="V7" s="44" t="s">
        <v>31</v>
      </c>
    </row>
    <row r="8">
      <c r="A8" s="44" t="s">
        <v>34</v>
      </c>
      <c r="B8" s="44" t="s">
        <v>35</v>
      </c>
      <c r="C8" s="44" t="s">
        <v>45</v>
      </c>
      <c r="D8" s="44" t="s">
        <v>45</v>
      </c>
      <c r="E8" s="44" t="s">
        <v>46</v>
      </c>
      <c r="F8" s="44" t="s">
        <v>38</v>
      </c>
      <c r="G8" s="44" t="s">
        <v>27</v>
      </c>
      <c r="H8" s="44" t="s">
        <v>28</v>
      </c>
      <c r="I8" s="44">
        <v>999</v>
      </c>
      <c r="J8" s="44">
        <v>12542</v>
      </c>
      <c r="K8" s="44">
        <v>12542</v>
      </c>
      <c r="L8" s="44">
        <v>22</v>
      </c>
      <c r="M8" s="44">
        <v>6118.28</v>
      </c>
      <c r="N8" s="44" t="s">
        <v>29</v>
      </c>
      <c r="O8" s="44">
        <v>12.9</v>
      </c>
      <c r="P8" s="44">
        <v>12542</v>
      </c>
      <c r="Q8" s="41">
        <v>6118.28</v>
      </c>
      <c r="R8" s="44" t="s">
        <v>30</v>
      </c>
      <c r="S8" s="41">
        <f>=IF(OR(Q8="", R8=""), "-", IF(ISNUMBER(SEARCH("7 Günlük", R8)), IF(Q8&lt;=M8, O8, "-"), "-"))</f>
        <v>12.9</v>
      </c>
      <c r="T8" s="44" t="str">
        <f>=IF(ISBLANK(Q8), "", "Hayır")</f>
        <v>Hayır</v>
      </c>
      <c r="V8" s="44" t="s">
        <v>31</v>
      </c>
    </row>
    <row r="9">
      <c r="A9" s="44" t="s">
        <v>34</v>
      </c>
      <c r="B9" s="44" t="s">
        <v>35</v>
      </c>
      <c r="C9" s="44" t="s">
        <v>47</v>
      </c>
      <c r="D9" s="44" t="s">
        <v>47</v>
      </c>
      <c r="E9" s="44" t="s">
        <v>48</v>
      </c>
      <c r="F9" s="44" t="s">
        <v>38</v>
      </c>
      <c r="G9" s="44" t="s">
        <v>27</v>
      </c>
      <c r="H9" s="44" t="s">
        <v>28</v>
      </c>
      <c r="I9" s="44">
        <v>988</v>
      </c>
      <c r="J9" s="44">
        <v>799</v>
      </c>
      <c r="K9" s="44">
        <v>799</v>
      </c>
      <c r="L9" s="44">
        <v>22</v>
      </c>
      <c r="M9" s="44">
        <v>571.4</v>
      </c>
      <c r="N9" s="44" t="s">
        <v>29</v>
      </c>
      <c r="O9" s="44">
        <v>14.8</v>
      </c>
      <c r="P9" s="44">
        <v>799</v>
      </c>
      <c r="Q9" s="41">
        <v>571.4</v>
      </c>
      <c r="R9" s="44" t="s">
        <v>30</v>
      </c>
      <c r="S9" s="41">
        <f>=IF(OR(Q9="", R9=""), "-", IF(ISNUMBER(SEARCH("7 Günlük", R9)), IF(Q9&lt;=M9, O9, "-"), "-"))</f>
        <v>14.8</v>
      </c>
      <c r="T9" s="44" t="str">
        <f>=IF(ISBLANK(Q9), "", "Hayır")</f>
        <v>Hayır</v>
      </c>
      <c r="V9" s="44" t="s">
        <v>31</v>
      </c>
    </row>
    <row r="10">
      <c r="A10" s="44" t="s">
        <v>34</v>
      </c>
      <c r="B10" s="44" t="s">
        <v>49</v>
      </c>
      <c r="C10" s="44" t="s">
        <v>50</v>
      </c>
      <c r="D10" s="44" t="s">
        <v>50</v>
      </c>
      <c r="E10" s="44" t="s">
        <v>44</v>
      </c>
      <c r="F10" s="44" t="s">
        <v>38</v>
      </c>
      <c r="G10" s="44" t="s">
        <v>27</v>
      </c>
      <c r="H10" s="44" t="s">
        <v>28</v>
      </c>
      <c r="I10" s="44">
        <v>985</v>
      </c>
      <c r="J10" s="44">
        <v>599</v>
      </c>
      <c r="K10" s="44">
        <v>599</v>
      </c>
      <c r="L10" s="44">
        <v>22</v>
      </c>
      <c r="M10" s="44">
        <v>428.39</v>
      </c>
      <c r="N10" s="44" t="s">
        <v>29</v>
      </c>
      <c r="O10" s="44">
        <v>16.8</v>
      </c>
      <c r="P10" s="44">
        <v>599</v>
      </c>
      <c r="Q10" s="41">
        <v>428.39</v>
      </c>
      <c r="R10" s="44" t="s">
        <v>30</v>
      </c>
      <c r="S10" s="41">
        <f>=IF(OR(Q10="", R10=""), "-", IF(ISNUMBER(SEARCH("7 Günlük", R10)), IF(Q10&lt;=M10, O10, "-"), "-"))</f>
        <v>16.8</v>
      </c>
      <c r="T10" s="44" t="str">
        <f>=IF(ISBLANK(Q10), "", "Hayır")</f>
        <v>Hayır</v>
      </c>
      <c r="V10" s="44" t="s">
        <v>31</v>
      </c>
    </row>
    <row r="11">
      <c r="A11" s="44" t="s">
        <v>34</v>
      </c>
      <c r="B11" s="44" t="s">
        <v>49</v>
      </c>
      <c r="C11" s="44" t="s">
        <v>51</v>
      </c>
      <c r="D11" s="44" t="s">
        <v>51</v>
      </c>
      <c r="E11" s="44" t="s">
        <v>52</v>
      </c>
      <c r="F11" s="44" t="s">
        <v>38</v>
      </c>
      <c r="G11" s="44" t="s">
        <v>27</v>
      </c>
      <c r="H11" s="44" t="s">
        <v>28</v>
      </c>
      <c r="I11" s="44">
        <v>927</v>
      </c>
      <c r="J11" s="44">
        <v>1599</v>
      </c>
      <c r="K11" s="44">
        <v>1303.22</v>
      </c>
      <c r="L11" s="44">
        <v>22</v>
      </c>
      <c r="M11" s="44">
        <v>933.61</v>
      </c>
      <c r="N11" s="44" t="s">
        <v>29</v>
      </c>
      <c r="O11" s="44">
        <v>16.9</v>
      </c>
      <c r="P11" s="44">
        <v>1303.22</v>
      </c>
      <c r="Q11" s="41">
        <v>933.61</v>
      </c>
      <c r="R11" s="44" t="s">
        <v>30</v>
      </c>
      <c r="S11" s="41">
        <f>=IF(OR(Q11="", R11=""), "-", IF(ISNUMBER(SEARCH("7 Günlük", R11)), IF(Q11&lt;=M11, O11, "-"), "-"))</f>
        <v>16.9</v>
      </c>
      <c r="T11" s="44" t="str">
        <f>=IF(ISBLANK(Q11), "", "Hayır")</f>
        <v>Hayır</v>
      </c>
      <c r="V11" s="44" t="s">
        <v>31</v>
      </c>
    </row>
    <row r="12">
      <c r="A12" s="44" t="s">
        <v>34</v>
      </c>
      <c r="B12" s="44" t="s">
        <v>49</v>
      </c>
      <c r="C12" s="44" t="s">
        <v>53</v>
      </c>
      <c r="D12" s="44" t="s">
        <v>53</v>
      </c>
      <c r="E12" s="44" t="s">
        <v>48</v>
      </c>
      <c r="F12" s="44" t="s">
        <v>38</v>
      </c>
      <c r="G12" s="44" t="s">
        <v>27</v>
      </c>
      <c r="H12" s="44" t="s">
        <v>28</v>
      </c>
      <c r="I12" s="44">
        <v>979</v>
      </c>
      <c r="J12" s="44">
        <v>799</v>
      </c>
      <c r="K12" s="44">
        <v>799</v>
      </c>
      <c r="L12" s="44">
        <v>22</v>
      </c>
      <c r="M12" s="44">
        <v>571.22</v>
      </c>
      <c r="N12" s="44" t="s">
        <v>29</v>
      </c>
      <c r="O12" s="44">
        <v>16.8</v>
      </c>
      <c r="P12" s="44">
        <v>799</v>
      </c>
      <c r="Q12" s="41">
        <v>571.22</v>
      </c>
      <c r="R12" s="44" t="s">
        <v>30</v>
      </c>
      <c r="S12" s="41">
        <f>=IF(OR(Q12="", R12=""), "-", IF(ISNUMBER(SEARCH("7 Günlük", R12)), IF(Q12&lt;=M12, O12, "-"), "-"))</f>
        <v>16.8</v>
      </c>
      <c r="T12" s="44" t="str">
        <f>=IF(ISBLANK(Q12), "", "Hayır")</f>
        <v>Hayır</v>
      </c>
      <c r="V12" s="44" t="s">
        <v>31</v>
      </c>
    </row>
    <row r="13">
      <c r="A13" s="44" t="s">
        <v>54</v>
      </c>
      <c r="B13" s="44" t="s">
        <v>55</v>
      </c>
      <c r="C13" s="44" t="s">
        <v>56</v>
      </c>
      <c r="D13" s="44" t="s">
        <v>56</v>
      </c>
      <c r="E13" s="44" t="s">
        <v>44</v>
      </c>
      <c r="F13" s="44" t="s">
        <v>57</v>
      </c>
      <c r="G13" s="44" t="s">
        <v>27</v>
      </c>
      <c r="H13" s="44" t="s">
        <v>28</v>
      </c>
      <c r="I13" s="44">
        <v>978</v>
      </c>
      <c r="J13" s="44">
        <v>399</v>
      </c>
      <c r="K13" s="44">
        <v>399</v>
      </c>
      <c r="L13" s="44">
        <v>22</v>
      </c>
      <c r="M13" s="44">
        <v>300.2</v>
      </c>
      <c r="N13" s="44" t="s">
        <v>29</v>
      </c>
      <c r="O13" s="44">
        <v>16.7</v>
      </c>
      <c r="P13" s="44">
        <v>399</v>
      </c>
      <c r="Q13" s="41">
        <v>300.2</v>
      </c>
      <c r="R13" s="44" t="s">
        <v>30</v>
      </c>
      <c r="S13" s="41">
        <f>=IF(OR(Q13="", R13=""), "-", IF(ISNUMBER(SEARCH("7 Günlük", R13)), IF(Q13&lt;=M13, O13, "-"), "-"))</f>
        <v>16.7</v>
      </c>
      <c r="T13" s="44" t="str">
        <f>=IF(ISBLANK(Q13), "", "Hayır")</f>
        <v>Hayır</v>
      </c>
      <c r="V13" s="44" t="s">
        <v>31</v>
      </c>
    </row>
    <row r="14">
      <c r="A14" s="44" t="s">
        <v>54</v>
      </c>
      <c r="B14" s="44" t="s">
        <v>55</v>
      </c>
      <c r="C14" s="44" t="s">
        <v>58</v>
      </c>
      <c r="D14" s="44" t="s">
        <v>58</v>
      </c>
      <c r="E14" s="44" t="s">
        <v>59</v>
      </c>
      <c r="F14" s="44" t="s">
        <v>57</v>
      </c>
      <c r="G14" s="44" t="s">
        <v>27</v>
      </c>
      <c r="H14" s="44" t="s">
        <v>28</v>
      </c>
      <c r="I14" s="44">
        <v>999</v>
      </c>
      <c r="J14" s="44">
        <v>1095</v>
      </c>
      <c r="K14" s="44">
        <v>787.26</v>
      </c>
      <c r="L14" s="44">
        <v>20.2</v>
      </c>
      <c r="M14" s="44">
        <v>641.51</v>
      </c>
      <c r="N14" s="44" t="s">
        <v>29</v>
      </c>
      <c r="O14" s="44">
        <v>14.8</v>
      </c>
      <c r="P14" s="44">
        <v>787.26</v>
      </c>
      <c r="Q14" s="41">
        <v>641.51</v>
      </c>
      <c r="R14" s="44" t="s">
        <v>30</v>
      </c>
      <c r="S14" s="41">
        <f>=IF(OR(Q14="", R14=""), "-", IF(ISNUMBER(SEARCH("7 Günlük", R14)), IF(Q14&lt;=M14, O14, "-"), "-"))</f>
        <v>14.8</v>
      </c>
      <c r="T14" s="44" t="str">
        <f>=IF(ISBLANK(Q14), "", "Hayır")</f>
        <v>Hayır</v>
      </c>
      <c r="V14" s="44" t="s">
        <v>31</v>
      </c>
    </row>
    <row r="15">
      <c r="A15" s="44" t="s">
        <v>54</v>
      </c>
      <c r="B15" s="44" t="s">
        <v>55</v>
      </c>
      <c r="C15" s="44" t="s">
        <v>60</v>
      </c>
      <c r="D15" s="44" t="s">
        <v>60</v>
      </c>
      <c r="E15" s="44" t="s">
        <v>61</v>
      </c>
      <c r="F15" s="44" t="s">
        <v>57</v>
      </c>
      <c r="G15" s="44" t="s">
        <v>27</v>
      </c>
      <c r="H15" s="44" t="s">
        <v>28</v>
      </c>
      <c r="I15" s="44">
        <v>999</v>
      </c>
      <c r="J15" s="44">
        <v>20066</v>
      </c>
      <c r="K15" s="44">
        <v>12707.32</v>
      </c>
      <c r="L15" s="44">
        <v>20.1</v>
      </c>
      <c r="M15" s="44">
        <v>10371.55</v>
      </c>
      <c r="N15" s="44" t="s">
        <v>29</v>
      </c>
      <c r="O15" s="44">
        <v>14.2</v>
      </c>
      <c r="P15" s="44">
        <v>12707.32</v>
      </c>
      <c r="Q15" s="41">
        <v>10371.55</v>
      </c>
      <c r="R15" s="44" t="s">
        <v>30</v>
      </c>
      <c r="S15" s="41">
        <f>=IF(OR(Q15="", R15=""), "-", IF(ISNUMBER(SEARCH("7 Günlük", R15)), IF(Q15&lt;=M15, O15, "-"), "-"))</f>
        <v>14.2</v>
      </c>
      <c r="T15" s="44" t="str">
        <f>=IF(ISBLANK(Q15), "", "Hayır")</f>
        <v>Hayır</v>
      </c>
      <c r="V15" s="44" t="s">
        <v>31</v>
      </c>
    </row>
    <row r="16">
      <c r="A16" s="44" t="s">
        <v>54</v>
      </c>
      <c r="B16" s="44" t="s">
        <v>55</v>
      </c>
      <c r="C16" s="44" t="s">
        <v>62</v>
      </c>
      <c r="D16" s="44" t="s">
        <v>62</v>
      </c>
      <c r="E16" s="44" t="s">
        <v>63</v>
      </c>
      <c r="F16" s="44" t="s">
        <v>57</v>
      </c>
      <c r="G16" s="44" t="s">
        <v>27</v>
      </c>
      <c r="H16" s="44" t="s">
        <v>28</v>
      </c>
      <c r="I16" s="44">
        <v>999</v>
      </c>
      <c r="J16" s="44">
        <v>20176</v>
      </c>
      <c r="K16" s="44">
        <v>12699.69</v>
      </c>
      <c r="L16" s="44">
        <v>20.1</v>
      </c>
      <c r="M16" s="44">
        <v>10326.16</v>
      </c>
      <c r="N16" s="44" t="s">
        <v>29</v>
      </c>
      <c r="O16" s="44">
        <v>14</v>
      </c>
      <c r="P16" s="44">
        <v>12699.69</v>
      </c>
      <c r="Q16" s="41">
        <v>10326.16</v>
      </c>
      <c r="R16" s="44" t="s">
        <v>30</v>
      </c>
      <c r="S16" s="41">
        <f>=IF(OR(Q16="", R16=""), "-", IF(ISNUMBER(SEARCH("7 Günlük", R16)), IF(Q16&lt;=M16, O16, "-"), "-"))</f>
        <v>14.0</v>
      </c>
      <c r="T16" s="44" t="str">
        <f>=IF(ISBLANK(Q16), "", "Hayır")</f>
        <v>Hayır</v>
      </c>
      <c r="V16" s="44" t="s">
        <v>31</v>
      </c>
    </row>
    <row r="17">
      <c r="A17" s="44" t="s">
        <v>54</v>
      </c>
      <c r="B17" s="44" t="s">
        <v>55</v>
      </c>
      <c r="C17" s="44" t="s">
        <v>64</v>
      </c>
      <c r="D17" s="44" t="s">
        <v>64</v>
      </c>
      <c r="E17" s="44" t="s">
        <v>65</v>
      </c>
      <c r="F17" s="44" t="s">
        <v>57</v>
      </c>
      <c r="G17" s="44" t="s">
        <v>27</v>
      </c>
      <c r="H17" s="44" t="s">
        <v>28</v>
      </c>
      <c r="I17" s="44">
        <v>997</v>
      </c>
      <c r="J17" s="44">
        <v>3449</v>
      </c>
      <c r="K17" s="44">
        <v>2281.55</v>
      </c>
      <c r="L17" s="44">
        <v>20</v>
      </c>
      <c r="M17" s="44">
        <v>1867.68</v>
      </c>
      <c r="N17" s="44" t="s">
        <v>29</v>
      </c>
      <c r="O17" s="44">
        <v>13.7</v>
      </c>
      <c r="P17" s="44">
        <v>2281.55</v>
      </c>
      <c r="Q17" s="41">
        <v>1867.68</v>
      </c>
      <c r="R17" s="44" t="s">
        <v>30</v>
      </c>
      <c r="S17" s="41">
        <f>=IF(OR(Q17="", R17=""), "-", IF(ISNUMBER(SEARCH("7 Günlük", R17)), IF(Q17&lt;=M17, O17, "-"), "-"))</f>
        <v>13.7</v>
      </c>
      <c r="T17" s="44" t="str">
        <f>=IF(ISBLANK(Q17), "", "Hayır")</f>
        <v>Hayır</v>
      </c>
      <c r="V17" s="44" t="s">
        <v>31</v>
      </c>
    </row>
    <row r="18">
      <c r="A18" s="44" t="s">
        <v>54</v>
      </c>
      <c r="B18" s="44" t="s">
        <v>55</v>
      </c>
      <c r="C18" s="44" t="s">
        <v>66</v>
      </c>
      <c r="D18" s="44" t="s">
        <v>66</v>
      </c>
      <c r="E18" s="44" t="s">
        <v>67</v>
      </c>
      <c r="F18" s="44" t="s">
        <v>57</v>
      </c>
      <c r="G18" s="44" t="s">
        <v>27</v>
      </c>
      <c r="H18" s="44" t="s">
        <v>28</v>
      </c>
      <c r="I18" s="44">
        <v>998</v>
      </c>
      <c r="J18" s="44">
        <v>2665</v>
      </c>
      <c r="K18" s="44">
        <v>1812.81</v>
      </c>
      <c r="L18" s="44">
        <v>21.1</v>
      </c>
      <c r="M18" s="44">
        <v>1380.18</v>
      </c>
      <c r="N18" s="44" t="s">
        <v>29</v>
      </c>
      <c r="O18" s="44">
        <v>12.4</v>
      </c>
      <c r="P18" s="44">
        <v>1812.81</v>
      </c>
      <c r="Q18" s="41">
        <v>1380.18</v>
      </c>
      <c r="R18" s="44" t="s">
        <v>30</v>
      </c>
      <c r="S18" s="41">
        <f>=IF(OR(Q18="", R18=""), "-", IF(ISNUMBER(SEARCH("7 Günlük", R18)), IF(Q18&lt;=M18, O18, "-"), "-"))</f>
        <v>12.4</v>
      </c>
      <c r="T18" s="44" t="str">
        <f>=IF(ISBLANK(Q18), "", "Hayır")</f>
        <v>Hayır</v>
      </c>
      <c r="V18" s="44" t="s">
        <v>31</v>
      </c>
    </row>
    <row r="19">
      <c r="A19" s="44" t="s">
        <v>54</v>
      </c>
      <c r="B19" s="44" t="s">
        <v>55</v>
      </c>
      <c r="C19" s="44" t="s">
        <v>68</v>
      </c>
      <c r="D19" s="44" t="s">
        <v>68</v>
      </c>
      <c r="E19" s="44" t="s">
        <v>69</v>
      </c>
      <c r="F19" s="44" t="s">
        <v>57</v>
      </c>
      <c r="G19" s="44" t="s">
        <v>27</v>
      </c>
      <c r="H19" s="44" t="s">
        <v>28</v>
      </c>
      <c r="I19" s="44">
        <v>997</v>
      </c>
      <c r="J19" s="44">
        <v>1264</v>
      </c>
      <c r="K19" s="44">
        <v>903.38</v>
      </c>
      <c r="L19" s="44">
        <v>20.7</v>
      </c>
      <c r="M19" s="44">
        <v>801.4400000000001</v>
      </c>
      <c r="N19" s="44" t="s">
        <v>29</v>
      </c>
      <c r="O19" s="44">
        <v>17.3</v>
      </c>
      <c r="P19" s="44">
        <v>903.38</v>
      </c>
      <c r="Q19" s="41">
        <v>801.4400000000001</v>
      </c>
      <c r="R19" s="44" t="s">
        <v>30</v>
      </c>
      <c r="S19" s="41">
        <f>=IF(OR(Q19="", R19=""), "-", IF(ISNUMBER(SEARCH("7 Günlük", R19)), IF(Q19&lt;=M19, O19, "-"), "-"))</f>
        <v>17.3</v>
      </c>
      <c r="T19" s="44" t="str">
        <f>=IF(ISBLANK(Q19), "", "Hayır")</f>
        <v>Hayır</v>
      </c>
      <c r="V19" s="44" t="s">
        <v>31</v>
      </c>
    </row>
    <row r="20">
      <c r="A20" s="44" t="s">
        <v>54</v>
      </c>
      <c r="B20" s="44" t="s">
        <v>55</v>
      </c>
      <c r="C20" s="44" t="s">
        <v>70</v>
      </c>
      <c r="D20" s="44" t="s">
        <v>70</v>
      </c>
      <c r="E20" s="44" t="s">
        <v>71</v>
      </c>
      <c r="F20" s="44" t="s">
        <v>57</v>
      </c>
      <c r="G20" s="44" t="s">
        <v>27</v>
      </c>
      <c r="H20" s="44" t="s">
        <v>28</v>
      </c>
      <c r="I20" s="44">
        <v>997</v>
      </c>
      <c r="J20" s="44">
        <v>1355</v>
      </c>
      <c r="K20" s="44">
        <v>957.76</v>
      </c>
      <c r="L20" s="44">
        <v>20</v>
      </c>
      <c r="M20" s="44">
        <v>758.02</v>
      </c>
      <c r="N20" s="44" t="s">
        <v>29</v>
      </c>
      <c r="O20" s="44">
        <v>13.7</v>
      </c>
      <c r="P20" s="44">
        <v>957.76</v>
      </c>
      <c r="Q20" s="41">
        <v>758.02</v>
      </c>
      <c r="R20" s="44" t="s">
        <v>30</v>
      </c>
      <c r="S20" s="41">
        <f>=IF(OR(Q20="", R20=""), "-", IF(ISNUMBER(SEARCH("7 Günlük", R20)), IF(Q20&lt;=M20, O20, "-"), "-"))</f>
        <v>13.7</v>
      </c>
      <c r="T20" s="44" t="str">
        <f>=IF(ISBLANK(Q20), "", "Hayır")</f>
        <v>Hayır</v>
      </c>
      <c r="V20" s="44" t="s">
        <v>31</v>
      </c>
    </row>
    <row r="21">
      <c r="A21" s="44" t="s">
        <v>54</v>
      </c>
      <c r="B21" s="44" t="s">
        <v>55</v>
      </c>
      <c r="C21" s="44" t="s">
        <v>72</v>
      </c>
      <c r="D21" s="44" t="s">
        <v>72</v>
      </c>
      <c r="E21" s="44" t="s">
        <v>73</v>
      </c>
      <c r="F21" s="44" t="s">
        <v>57</v>
      </c>
      <c r="G21" s="44" t="s">
        <v>27</v>
      </c>
      <c r="H21" s="44" t="s">
        <v>28</v>
      </c>
      <c r="I21" s="44">
        <v>999</v>
      </c>
      <c r="J21" s="44">
        <v>2390</v>
      </c>
      <c r="K21" s="44">
        <v>1649.75</v>
      </c>
      <c r="L21" s="44">
        <v>21.2</v>
      </c>
      <c r="M21" s="44">
        <v>1232.61</v>
      </c>
      <c r="N21" s="44" t="s">
        <v>29</v>
      </c>
      <c r="O21" s="44">
        <v>14</v>
      </c>
      <c r="P21" s="44">
        <v>1649.75</v>
      </c>
      <c r="Q21" s="41">
        <v>1232.61</v>
      </c>
      <c r="R21" s="44" t="s">
        <v>30</v>
      </c>
      <c r="S21" s="41">
        <f>=IF(OR(Q21="", R21=""), "-", IF(ISNUMBER(SEARCH("7 Günlük", R21)), IF(Q21&lt;=M21, O21, "-"), "-"))</f>
        <v>14.0</v>
      </c>
      <c r="T21" s="44" t="str">
        <f>=IF(ISBLANK(Q21), "", "Hayır")</f>
        <v>Hayır</v>
      </c>
      <c r="V21" s="44" t="s">
        <v>31</v>
      </c>
    </row>
    <row r="22">
      <c r="A22" s="44" t="s">
        <v>54</v>
      </c>
      <c r="B22" s="44" t="s">
        <v>55</v>
      </c>
      <c r="C22" s="44" t="s">
        <v>74</v>
      </c>
      <c r="D22" s="44" t="s">
        <v>74</v>
      </c>
      <c r="E22" s="44" t="s">
        <v>75</v>
      </c>
      <c r="F22" s="44" t="s">
        <v>57</v>
      </c>
      <c r="G22" s="44" t="s">
        <v>27</v>
      </c>
      <c r="H22" s="44" t="s">
        <v>28</v>
      </c>
      <c r="I22" s="44">
        <v>996</v>
      </c>
      <c r="J22" s="44">
        <v>1949</v>
      </c>
      <c r="K22" s="44">
        <v>1345.25</v>
      </c>
      <c r="L22" s="44">
        <v>19.9</v>
      </c>
      <c r="M22" s="44">
        <v>1051.35</v>
      </c>
      <c r="N22" s="44" t="s">
        <v>29</v>
      </c>
      <c r="O22" s="44">
        <v>12.8</v>
      </c>
      <c r="P22" s="44">
        <v>1345.25</v>
      </c>
      <c r="Q22" s="41">
        <v>1051.35</v>
      </c>
      <c r="R22" s="44" t="s">
        <v>30</v>
      </c>
      <c r="S22" s="41">
        <f>=IF(OR(Q22="", R22=""), "-", IF(ISNUMBER(SEARCH("7 Günlük", R22)), IF(Q22&lt;=M22, O22, "-"), "-"))</f>
        <v>12.8</v>
      </c>
      <c r="T22" s="44" t="str">
        <f>=IF(ISBLANK(Q22), "", "Hayır")</f>
        <v>Hayır</v>
      </c>
      <c r="V22" s="44" t="s">
        <v>31</v>
      </c>
    </row>
    <row r="23">
      <c r="A23" s="44" t="s">
        <v>54</v>
      </c>
      <c r="B23" s="44" t="s">
        <v>55</v>
      </c>
      <c r="C23" s="44" t="s">
        <v>76</v>
      </c>
      <c r="D23" s="44" t="s">
        <v>76</v>
      </c>
      <c r="E23" s="44" t="s">
        <v>77</v>
      </c>
      <c r="F23" s="44" t="s">
        <v>57</v>
      </c>
      <c r="G23" s="44" t="s">
        <v>27</v>
      </c>
      <c r="H23" s="44" t="s">
        <v>28</v>
      </c>
      <c r="I23" s="44">
        <v>999</v>
      </c>
      <c r="J23" s="44">
        <v>19202</v>
      </c>
      <c r="K23" s="44">
        <v>12226.97</v>
      </c>
      <c r="L23" s="44">
        <v>20.1</v>
      </c>
      <c r="M23" s="44">
        <v>9932.48</v>
      </c>
      <c r="N23" s="44" t="s">
        <v>29</v>
      </c>
      <c r="O23" s="44">
        <v>14.1</v>
      </c>
      <c r="P23" s="44">
        <v>12226.97</v>
      </c>
      <c r="Q23" s="41">
        <v>9932.48</v>
      </c>
      <c r="R23" s="44" t="s">
        <v>30</v>
      </c>
      <c r="S23" s="41">
        <f>=IF(OR(Q23="", R23=""), "-", IF(ISNUMBER(SEARCH("7 Günlük", R23)), IF(Q23&lt;=M23, O23, "-"), "-"))</f>
        <v>14.1</v>
      </c>
      <c r="T23" s="44" t="str">
        <f>=IF(ISBLANK(Q23), "", "Hayır")</f>
        <v>Hayır</v>
      </c>
      <c r="V23" s="44" t="s">
        <v>31</v>
      </c>
    </row>
    <row r="24">
      <c r="A24" s="44" t="s">
        <v>78</v>
      </c>
      <c r="B24" s="44" t="s">
        <v>79</v>
      </c>
      <c r="C24" s="44" t="s">
        <v>80</v>
      </c>
      <c r="D24" s="44" t="s">
        <v>81</v>
      </c>
      <c r="E24" s="44" t="s">
        <v>48</v>
      </c>
      <c r="F24" s="44" t="s">
        <v>82</v>
      </c>
      <c r="G24" s="44" t="s">
        <v>27</v>
      </c>
      <c r="H24" s="44" t="s">
        <v>28</v>
      </c>
      <c r="I24" s="44">
        <v>94</v>
      </c>
      <c r="J24" s="44">
        <v>1506</v>
      </c>
      <c r="K24" s="44">
        <v>850.85</v>
      </c>
      <c r="L24" s="44">
        <v>16.1</v>
      </c>
      <c r="M24" s="44">
        <v>774.78</v>
      </c>
      <c r="N24" s="44" t="s">
        <v>29</v>
      </c>
      <c r="O24" s="44">
        <v>10.1</v>
      </c>
      <c r="P24" s="44">
        <v>850.85</v>
      </c>
      <c r="Q24" s="41">
        <v>774.78</v>
      </c>
      <c r="R24" s="44" t="s">
        <v>30</v>
      </c>
      <c r="S24" s="41">
        <f>=IF(OR(Q24="", R24=""), "-", IF(ISNUMBER(SEARCH("7 Günlük", R24)), IF(Q24&lt;=M24, O24, "-"), "-"))</f>
        <v>10.1</v>
      </c>
      <c r="T24" s="44" t="str">
        <f>=IF(ISBLANK(Q24), "", "Hayır")</f>
        <v>Hayır</v>
      </c>
      <c r="V24" s="44" t="s">
        <v>31</v>
      </c>
    </row>
    <row r="25">
      <c r="A25" s="44" t="s">
        <v>78</v>
      </c>
      <c r="B25" s="44" t="s">
        <v>79</v>
      </c>
      <c r="C25" s="44" t="s">
        <v>83</v>
      </c>
      <c r="D25" s="44" t="s">
        <v>84</v>
      </c>
      <c r="E25" s="44" t="s">
        <v>44</v>
      </c>
      <c r="F25" s="44" t="s">
        <v>82</v>
      </c>
      <c r="G25" s="44" t="s">
        <v>27</v>
      </c>
      <c r="H25" s="44" t="s">
        <v>28</v>
      </c>
      <c r="I25" s="44">
        <v>971</v>
      </c>
      <c r="J25" s="44">
        <v>799</v>
      </c>
      <c r="K25" s="44">
        <v>799</v>
      </c>
      <c r="L25" s="44">
        <v>22</v>
      </c>
      <c r="M25" s="44">
        <v>567.33</v>
      </c>
      <c r="N25" s="44" t="s">
        <v>29</v>
      </c>
      <c r="O25" s="44">
        <v>16.5</v>
      </c>
      <c r="P25" s="44">
        <v>799</v>
      </c>
      <c r="Q25" s="41">
        <v>567.33</v>
      </c>
      <c r="R25" s="44" t="s">
        <v>30</v>
      </c>
      <c r="S25" s="41">
        <f>=IF(OR(Q25="", R25=""), "-", IF(ISNUMBER(SEARCH("7 Günlük", R25)), IF(Q25&lt;=M25, O25, "-"), "-"))</f>
        <v>16.5</v>
      </c>
      <c r="T25" s="44" t="str">
        <f>=IF(ISBLANK(Q25), "", "Hayır")</f>
        <v>Hayır</v>
      </c>
      <c r="V25" s="44" t="s">
        <v>31</v>
      </c>
    </row>
    <row r="26">
      <c r="A26" s="44" t="s">
        <v>78</v>
      </c>
      <c r="B26" s="44" t="s">
        <v>79</v>
      </c>
      <c r="C26" s="44" t="s">
        <v>85</v>
      </c>
      <c r="D26" s="44" t="s">
        <v>86</v>
      </c>
      <c r="E26" s="44" t="s">
        <v>25</v>
      </c>
      <c r="F26" s="44" t="s">
        <v>82</v>
      </c>
      <c r="G26" s="44" t="s">
        <v>27</v>
      </c>
      <c r="H26" s="44" t="s">
        <v>28</v>
      </c>
      <c r="I26" s="44">
        <v>955</v>
      </c>
      <c r="J26" s="44">
        <v>988</v>
      </c>
      <c r="K26" s="44">
        <v>988</v>
      </c>
      <c r="L26" s="44">
        <v>22</v>
      </c>
      <c r="M26" s="44">
        <v>610.72</v>
      </c>
      <c r="N26" s="44" t="s">
        <v>29</v>
      </c>
      <c r="O26" s="44">
        <v>16.7</v>
      </c>
      <c r="P26" s="44">
        <v>988</v>
      </c>
      <c r="Q26" s="41">
        <v>610.72</v>
      </c>
      <c r="R26" s="44" t="s">
        <v>30</v>
      </c>
      <c r="S26" s="41">
        <f>=IF(OR(Q26="", R26=""), "-", IF(ISNUMBER(SEARCH("7 Günlük", R26)), IF(Q26&lt;=M26, O26, "-"), "-"))</f>
        <v>16.7</v>
      </c>
      <c r="T26" s="44" t="str">
        <f>=IF(ISBLANK(Q26), "", "Hayır")</f>
        <v>Hayır</v>
      </c>
      <c r="V26" s="44" t="s">
        <v>31</v>
      </c>
    </row>
    <row r="27">
      <c r="A27" s="44" t="s">
        <v>87</v>
      </c>
      <c r="B27" s="44" t="s">
        <v>88</v>
      </c>
      <c r="C27" s="44" t="s">
        <v>89</v>
      </c>
      <c r="D27" s="44" t="s">
        <v>89</v>
      </c>
      <c r="E27" s="44" t="s">
        <v>52</v>
      </c>
      <c r="F27" s="44" t="s">
        <v>90</v>
      </c>
      <c r="G27" s="44" t="s">
        <v>27</v>
      </c>
      <c r="H27" s="44" t="s">
        <v>28</v>
      </c>
      <c r="I27" s="44">
        <v>980</v>
      </c>
      <c r="J27" s="44">
        <v>1249</v>
      </c>
      <c r="K27" s="44">
        <v>888.25</v>
      </c>
      <c r="L27" s="44">
        <v>19.9</v>
      </c>
      <c r="M27" s="44">
        <v>731.96</v>
      </c>
      <c r="N27" s="44" t="s">
        <v>29</v>
      </c>
      <c r="O27" s="44">
        <v>13</v>
      </c>
      <c r="P27" s="44">
        <v>888.25</v>
      </c>
      <c r="Q27" s="41">
        <v>731.96</v>
      </c>
      <c r="R27" s="44" t="s">
        <v>30</v>
      </c>
      <c r="S27" s="41">
        <f>=IF(OR(Q27="", R27=""), "-", IF(ISNUMBER(SEARCH("7 Günlük", R27)), IF(Q27&lt;=M27, O27, "-"), "-"))</f>
        <v>13.0</v>
      </c>
      <c r="T27" s="44" t="str">
        <f>=IF(ISBLANK(Q27), "", "Hayır")</f>
        <v>Hayır</v>
      </c>
      <c r="V27" s="44" t="s">
        <v>31</v>
      </c>
    </row>
    <row r="28">
      <c r="A28" s="44" t="s">
        <v>54</v>
      </c>
      <c r="B28" s="44" t="s">
        <v>91</v>
      </c>
      <c r="C28" s="44" t="s">
        <v>92</v>
      </c>
      <c r="D28" s="44" t="s">
        <v>92</v>
      </c>
      <c r="E28" s="44" t="s">
        <v>93</v>
      </c>
      <c r="F28" s="44" t="s">
        <v>57</v>
      </c>
      <c r="G28" s="44" t="s">
        <v>27</v>
      </c>
      <c r="H28" s="44" t="s">
        <v>28</v>
      </c>
      <c r="I28" s="44">
        <v>999</v>
      </c>
      <c r="J28" s="44">
        <v>13053</v>
      </c>
      <c r="K28" s="44">
        <v>8531.360000000001</v>
      </c>
      <c r="L28" s="44">
        <v>20.2</v>
      </c>
      <c r="M28" s="44">
        <v>6996.33</v>
      </c>
      <c r="N28" s="44" t="s">
        <v>29</v>
      </c>
      <c r="O28" s="44">
        <v>14.7</v>
      </c>
      <c r="P28" s="44">
        <v>8531.360000000001</v>
      </c>
      <c r="Q28" s="41">
        <v>6996.33</v>
      </c>
      <c r="R28" s="44" t="s">
        <v>30</v>
      </c>
      <c r="S28" s="41">
        <f>=IF(OR(Q28="", R28=""), "-", IF(ISNUMBER(SEARCH("7 Günlük", R28)), IF(Q28&lt;=M28, O28, "-"), "-"))</f>
        <v>14.7</v>
      </c>
      <c r="T28" s="44" t="str">
        <f>=IF(ISBLANK(Q28), "", "Hayır")</f>
        <v>Hayır</v>
      </c>
      <c r="V28" s="44" t="s">
        <v>31</v>
      </c>
    </row>
    <row r="29">
      <c r="A29" s="44" t="s">
        <v>54</v>
      </c>
      <c r="B29" s="44" t="s">
        <v>91</v>
      </c>
      <c r="C29" s="44" t="s">
        <v>94</v>
      </c>
      <c r="D29" s="44" t="s">
        <v>94</v>
      </c>
      <c r="E29" s="44" t="s">
        <v>95</v>
      </c>
      <c r="F29" s="44" t="s">
        <v>57</v>
      </c>
      <c r="G29" s="44" t="s">
        <v>27</v>
      </c>
      <c r="H29" s="44" t="s">
        <v>28</v>
      </c>
      <c r="I29" s="44">
        <v>999</v>
      </c>
      <c r="J29" s="44">
        <v>9510</v>
      </c>
      <c r="K29" s="44">
        <v>6254.42</v>
      </c>
      <c r="L29" s="44">
        <v>20.3</v>
      </c>
      <c r="M29" s="44">
        <v>5295.68</v>
      </c>
      <c r="N29" s="44" t="s">
        <v>29</v>
      </c>
      <c r="O29" s="44">
        <v>15.5</v>
      </c>
      <c r="P29" s="44">
        <v>6254.42</v>
      </c>
      <c r="Q29" s="41">
        <v>5295.68</v>
      </c>
      <c r="R29" s="44" t="s">
        <v>30</v>
      </c>
      <c r="S29" s="41">
        <f>=IF(OR(Q29="", R29=""), "-", IF(ISNUMBER(SEARCH("7 Günlük", R29)), IF(Q29&lt;=M29, O29, "-"), "-"))</f>
        <v>15.5</v>
      </c>
      <c r="T29" s="44" t="str">
        <f>=IF(ISBLANK(Q29), "", "Hayır")</f>
        <v>Hayır</v>
      </c>
      <c r="V29" s="44" t="s">
        <v>31</v>
      </c>
    </row>
    <row r="30">
      <c r="A30" s="44" t="s">
        <v>54</v>
      </c>
      <c r="B30" s="44" t="s">
        <v>91</v>
      </c>
      <c r="C30" s="44" t="s">
        <v>96</v>
      </c>
      <c r="D30" s="44" t="s">
        <v>96</v>
      </c>
      <c r="E30" s="44" t="s">
        <v>97</v>
      </c>
      <c r="F30" s="44" t="s">
        <v>57</v>
      </c>
      <c r="G30" s="44" t="s">
        <v>27</v>
      </c>
      <c r="H30" s="44" t="s">
        <v>28</v>
      </c>
      <c r="I30" s="44">
        <v>999</v>
      </c>
      <c r="J30" s="44">
        <v>15968</v>
      </c>
      <c r="K30" s="44">
        <v>10493.86</v>
      </c>
      <c r="L30" s="44">
        <v>20.2</v>
      </c>
      <c r="M30" s="44">
        <v>8635.68</v>
      </c>
      <c r="N30" s="44" t="s">
        <v>29</v>
      </c>
      <c r="O30" s="44">
        <v>14.8</v>
      </c>
      <c r="P30" s="44">
        <v>10493.86</v>
      </c>
      <c r="Q30" s="41">
        <v>8635.68</v>
      </c>
      <c r="R30" s="44" t="s">
        <v>30</v>
      </c>
      <c r="S30" s="41">
        <f>=IF(OR(Q30="", R30=""), "-", IF(ISNUMBER(SEARCH("7 Günlük", R30)), IF(Q30&lt;=M30, O30, "-"), "-"))</f>
        <v>14.8</v>
      </c>
      <c r="T30" s="44" t="str">
        <f>=IF(ISBLANK(Q30), "", "Hayır")</f>
        <v>Hayır</v>
      </c>
      <c r="V30" s="44" t="s">
        <v>31</v>
      </c>
    </row>
    <row r="31">
      <c r="A31" s="44" t="s">
        <v>54</v>
      </c>
      <c r="B31" s="44" t="s">
        <v>91</v>
      </c>
      <c r="C31" s="44" t="s">
        <v>98</v>
      </c>
      <c r="D31" s="44" t="s">
        <v>98</v>
      </c>
      <c r="E31" s="44" t="s">
        <v>99</v>
      </c>
      <c r="F31" s="44" t="s">
        <v>57</v>
      </c>
      <c r="G31" s="44" t="s">
        <v>27</v>
      </c>
      <c r="H31" s="44" t="s">
        <v>28</v>
      </c>
      <c r="I31" s="44">
        <v>999</v>
      </c>
      <c r="J31" s="44">
        <v>17576</v>
      </c>
      <c r="K31" s="44">
        <v>11395.05</v>
      </c>
      <c r="L31" s="44">
        <v>20.2</v>
      </c>
      <c r="M31" s="44">
        <v>9625.379999999999</v>
      </c>
      <c r="N31" s="44" t="s">
        <v>29</v>
      </c>
      <c r="O31" s="44">
        <v>15</v>
      </c>
      <c r="P31" s="44">
        <v>11395.05</v>
      </c>
      <c r="Q31" s="41">
        <v>9625.379999999999</v>
      </c>
      <c r="R31" s="44" t="s">
        <v>30</v>
      </c>
      <c r="S31" s="41">
        <f>=IF(OR(Q31="", R31=""), "-", IF(ISNUMBER(SEARCH("7 Günlük", R31)), IF(Q31&lt;=M31, O31, "-"), "-"))</f>
        <v>15.0</v>
      </c>
      <c r="T31" s="44" t="str">
        <f>=IF(ISBLANK(Q31), "", "Hayır")</f>
        <v>Hayır</v>
      </c>
      <c r="V31" s="44" t="s">
        <v>31</v>
      </c>
    </row>
    <row r="32">
      <c r="A32" s="44" t="s">
        <v>54</v>
      </c>
      <c r="B32" s="44" t="s">
        <v>91</v>
      </c>
      <c r="C32" s="44" t="s">
        <v>100</v>
      </c>
      <c r="D32" s="44" t="s">
        <v>100</v>
      </c>
      <c r="E32" s="44" t="s">
        <v>101</v>
      </c>
      <c r="F32" s="44" t="s">
        <v>57</v>
      </c>
      <c r="G32" s="44" t="s">
        <v>27</v>
      </c>
      <c r="H32" s="44" t="s">
        <v>28</v>
      </c>
      <c r="I32" s="44">
        <v>999</v>
      </c>
      <c r="J32" s="44">
        <v>16510</v>
      </c>
      <c r="K32" s="44">
        <v>10741.72</v>
      </c>
      <c r="L32" s="44">
        <v>20.3</v>
      </c>
      <c r="M32" s="44">
        <v>9128.01</v>
      </c>
      <c r="N32" s="44" t="s">
        <v>29</v>
      </c>
      <c r="O32" s="44">
        <v>15.1</v>
      </c>
      <c r="P32" s="44">
        <v>10741.72</v>
      </c>
      <c r="Q32" s="41">
        <v>9128.01</v>
      </c>
      <c r="R32" s="44" t="s">
        <v>30</v>
      </c>
      <c r="S32" s="41">
        <f>=IF(OR(Q32="", R32=""), "-", IF(ISNUMBER(SEARCH("7 Günlük", R32)), IF(Q32&lt;=M32, O32, "-"), "-"))</f>
        <v>15.1</v>
      </c>
      <c r="T32" s="44" t="str">
        <f>=IF(ISBLANK(Q32), "", "Hayır")</f>
        <v>Hayır</v>
      </c>
      <c r="V32" s="44" t="s">
        <v>31</v>
      </c>
    </row>
    <row r="33">
      <c r="A33" s="44" t="s">
        <v>54</v>
      </c>
      <c r="B33" s="44" t="s">
        <v>91</v>
      </c>
      <c r="C33" s="44" t="s">
        <v>102</v>
      </c>
      <c r="D33" s="44" t="s">
        <v>102</v>
      </c>
      <c r="E33" s="44" t="s">
        <v>103</v>
      </c>
      <c r="F33" s="44" t="s">
        <v>57</v>
      </c>
      <c r="G33" s="44" t="s">
        <v>27</v>
      </c>
      <c r="H33" s="44" t="s">
        <v>28</v>
      </c>
      <c r="I33" s="44">
        <v>999</v>
      </c>
      <c r="J33" s="44">
        <v>5486</v>
      </c>
      <c r="K33" s="44">
        <v>3609.16</v>
      </c>
      <c r="L33" s="44">
        <v>20.2</v>
      </c>
      <c r="M33" s="44">
        <v>2971.38</v>
      </c>
      <c r="N33" s="44" t="s">
        <v>29</v>
      </c>
      <c r="O33" s="44">
        <v>14.8</v>
      </c>
      <c r="P33" s="44">
        <v>3609.16</v>
      </c>
      <c r="Q33" s="41">
        <v>2971.38</v>
      </c>
      <c r="R33" s="44" t="s">
        <v>30</v>
      </c>
      <c r="S33" s="41">
        <f>=IF(OR(Q33="", R33=""), "-", IF(ISNUMBER(SEARCH("7 Günlük", R33)), IF(Q33&lt;=M33, O33, "-"), "-"))</f>
        <v>14.8</v>
      </c>
      <c r="T33" s="44" t="str">
        <f>=IF(ISBLANK(Q33), "", "Hayır")</f>
        <v>Hayır</v>
      </c>
      <c r="V33" s="44" t="s">
        <v>31</v>
      </c>
    </row>
    <row r="34">
      <c r="A34" s="44" t="s">
        <v>54</v>
      </c>
      <c r="B34" s="44" t="s">
        <v>91</v>
      </c>
      <c r="C34" s="44" t="s">
        <v>104</v>
      </c>
      <c r="D34" s="44" t="s">
        <v>104</v>
      </c>
      <c r="E34" s="44" t="s">
        <v>105</v>
      </c>
      <c r="F34" s="44" t="s">
        <v>57</v>
      </c>
      <c r="G34" s="44" t="s">
        <v>27</v>
      </c>
      <c r="H34" s="44" t="s">
        <v>28</v>
      </c>
      <c r="I34" s="44">
        <v>999</v>
      </c>
      <c r="J34" s="44">
        <v>16611</v>
      </c>
      <c r="K34" s="44">
        <v>10785.83</v>
      </c>
      <c r="L34" s="44">
        <v>20.2</v>
      </c>
      <c r="M34" s="44">
        <v>9117.18</v>
      </c>
      <c r="N34" s="44" t="s">
        <v>29</v>
      </c>
      <c r="O34" s="44">
        <v>15</v>
      </c>
      <c r="P34" s="44">
        <v>10785.83</v>
      </c>
      <c r="Q34" s="41">
        <v>9117.18</v>
      </c>
      <c r="R34" s="44" t="s">
        <v>30</v>
      </c>
      <c r="S34" s="41">
        <f>=IF(OR(Q34="", R34=""), "-", IF(ISNUMBER(SEARCH("7 Günlük", R34)), IF(Q34&lt;=M34, O34, "-"), "-"))</f>
        <v>15.0</v>
      </c>
      <c r="T34" s="44" t="str">
        <f>=IF(ISBLANK(Q34), "", "Hayır")</f>
        <v>Hayır</v>
      </c>
      <c r="V34" s="44" t="s">
        <v>31</v>
      </c>
    </row>
    <row r="35">
      <c r="A35" s="44" t="s">
        <v>54</v>
      </c>
      <c r="B35" s="44" t="s">
        <v>91</v>
      </c>
      <c r="C35" s="44" t="s">
        <v>106</v>
      </c>
      <c r="D35" s="44" t="s">
        <v>106</v>
      </c>
      <c r="E35" s="44" t="s">
        <v>107</v>
      </c>
      <c r="F35" s="44" t="s">
        <v>57</v>
      </c>
      <c r="G35" s="44" t="s">
        <v>27</v>
      </c>
      <c r="H35" s="44" t="s">
        <v>28</v>
      </c>
      <c r="I35" s="44">
        <v>999</v>
      </c>
      <c r="J35" s="44">
        <v>7599</v>
      </c>
      <c r="K35" s="44">
        <v>4945.47</v>
      </c>
      <c r="L35" s="44">
        <v>20.2</v>
      </c>
      <c r="M35" s="44">
        <v>4036.15</v>
      </c>
      <c r="N35" s="44" t="s">
        <v>29</v>
      </c>
      <c r="O35" s="44">
        <v>14.5</v>
      </c>
      <c r="P35" s="44">
        <v>4945.47</v>
      </c>
      <c r="Q35" s="41">
        <v>4036.15</v>
      </c>
      <c r="R35" s="44" t="s">
        <v>30</v>
      </c>
      <c r="S35" s="41">
        <f>=IF(OR(Q35="", R35=""), "-", IF(ISNUMBER(SEARCH("7 Günlük", R35)), IF(Q35&lt;=M35, O35, "-"), "-"))</f>
        <v>14.5</v>
      </c>
      <c r="T35" s="44" t="str">
        <f>=IF(ISBLANK(Q35), "", "Hayır")</f>
        <v>Hayır</v>
      </c>
      <c r="V35" s="44" t="s">
        <v>31</v>
      </c>
    </row>
    <row r="36">
      <c r="A36" s="44" t="s">
        <v>54</v>
      </c>
      <c r="B36" s="44" t="s">
        <v>91</v>
      </c>
      <c r="C36" s="44" t="s">
        <v>108</v>
      </c>
      <c r="D36" s="44" t="s">
        <v>108</v>
      </c>
      <c r="E36" s="44" t="s">
        <v>109</v>
      </c>
      <c r="F36" s="44" t="s">
        <v>57</v>
      </c>
      <c r="G36" s="44" t="s">
        <v>27</v>
      </c>
      <c r="H36" s="44" t="s">
        <v>28</v>
      </c>
      <c r="I36" s="44">
        <v>999</v>
      </c>
      <c r="J36" s="44">
        <v>7103</v>
      </c>
      <c r="K36" s="44">
        <v>4636.77</v>
      </c>
      <c r="L36" s="44">
        <v>20.2</v>
      </c>
      <c r="M36" s="44">
        <v>3792.49</v>
      </c>
      <c r="N36" s="44" t="s">
        <v>29</v>
      </c>
      <c r="O36" s="44">
        <v>14.6</v>
      </c>
      <c r="P36" s="44">
        <v>4636.77</v>
      </c>
      <c r="Q36" s="41">
        <v>3792.49</v>
      </c>
      <c r="R36" s="44" t="s">
        <v>30</v>
      </c>
      <c r="S36" s="41">
        <f>=IF(OR(Q36="", R36=""), "-", IF(ISNUMBER(SEARCH("7 Günlük", R36)), IF(Q36&lt;=M36, O36, "-"), "-"))</f>
        <v>14.6</v>
      </c>
      <c r="T36" s="44" t="str">
        <f>=IF(ISBLANK(Q36), "", "Hayır")</f>
        <v>Hayır</v>
      </c>
      <c r="V36" s="44" t="s">
        <v>31</v>
      </c>
    </row>
    <row r="37">
      <c r="A37" s="44" t="s">
        <v>54</v>
      </c>
      <c r="B37" s="44" t="s">
        <v>91</v>
      </c>
      <c r="C37" s="44" t="s">
        <v>110</v>
      </c>
      <c r="D37" s="44" t="s">
        <v>110</v>
      </c>
      <c r="E37" s="44" t="s">
        <v>111</v>
      </c>
      <c r="F37" s="44" t="s">
        <v>57</v>
      </c>
      <c r="G37" s="44" t="s">
        <v>27</v>
      </c>
      <c r="H37" s="44" t="s">
        <v>28</v>
      </c>
      <c r="I37" s="44">
        <v>999</v>
      </c>
      <c r="J37" s="44">
        <v>15206</v>
      </c>
      <c r="K37" s="44">
        <v>10031.97</v>
      </c>
      <c r="L37" s="44">
        <v>20.2</v>
      </c>
      <c r="M37" s="44">
        <v>8254.43</v>
      </c>
      <c r="N37" s="44" t="s">
        <v>29</v>
      </c>
      <c r="O37" s="44">
        <v>14.8</v>
      </c>
      <c r="P37" s="44">
        <v>10031.97</v>
      </c>
      <c r="Q37" s="41">
        <v>8254.43</v>
      </c>
      <c r="R37" s="44" t="s">
        <v>30</v>
      </c>
      <c r="S37" s="41">
        <f>=IF(OR(Q37="", R37=""), "-", IF(ISNUMBER(SEARCH("7 Günlük", R37)), IF(Q37&lt;=M37, O37, "-"), "-"))</f>
        <v>14.8</v>
      </c>
      <c r="T37" s="44" t="str">
        <f>=IF(ISBLANK(Q37), "", "Hayır")</f>
        <v>Hayır</v>
      </c>
      <c r="V37" s="44" t="s">
        <v>31</v>
      </c>
    </row>
    <row r="38">
      <c r="A38" s="44" t="s">
        <v>54</v>
      </c>
      <c r="B38" s="44" t="s">
        <v>91</v>
      </c>
      <c r="C38" s="44" t="s">
        <v>112</v>
      </c>
      <c r="D38" s="44" t="s">
        <v>112</v>
      </c>
      <c r="E38" s="44" t="s">
        <v>113</v>
      </c>
      <c r="F38" s="44" t="s">
        <v>57</v>
      </c>
      <c r="G38" s="44" t="s">
        <v>27</v>
      </c>
      <c r="H38" s="44" t="s">
        <v>28</v>
      </c>
      <c r="I38" s="44">
        <v>999</v>
      </c>
      <c r="J38" s="44">
        <v>15959</v>
      </c>
      <c r="K38" s="44">
        <v>10540.67</v>
      </c>
      <c r="L38" s="44">
        <v>20.2</v>
      </c>
      <c r="M38" s="44">
        <v>8679.67</v>
      </c>
      <c r="N38" s="44" t="s">
        <v>29</v>
      </c>
      <c r="O38" s="44">
        <v>14.9</v>
      </c>
      <c r="P38" s="44">
        <v>10540.67</v>
      </c>
      <c r="Q38" s="41">
        <v>8679.67</v>
      </c>
      <c r="R38" s="44" t="s">
        <v>30</v>
      </c>
      <c r="S38" s="41">
        <f>=IF(OR(Q38="", R38=""), "-", IF(ISNUMBER(SEARCH("7 Günlük", R38)), IF(Q38&lt;=M38, O38, "-"), "-"))</f>
        <v>14.9</v>
      </c>
      <c r="T38" s="44" t="str">
        <f>=IF(ISBLANK(Q38), "", "Hayır")</f>
        <v>Hayır</v>
      </c>
      <c r="V38" s="44" t="s">
        <v>31</v>
      </c>
    </row>
    <row r="39">
      <c r="A39" s="44" t="s">
        <v>54</v>
      </c>
      <c r="B39" s="44" t="s">
        <v>91</v>
      </c>
      <c r="C39" s="44" t="s">
        <v>114</v>
      </c>
      <c r="D39" s="44" t="s">
        <v>114</v>
      </c>
      <c r="E39" s="44" t="s">
        <v>71</v>
      </c>
      <c r="F39" s="44" t="s">
        <v>57</v>
      </c>
      <c r="G39" s="44" t="s">
        <v>27</v>
      </c>
      <c r="H39" s="44" t="s">
        <v>28</v>
      </c>
      <c r="I39" s="44">
        <v>998</v>
      </c>
      <c r="J39" s="44">
        <v>1355</v>
      </c>
      <c r="K39" s="44">
        <v>964.8099999999999</v>
      </c>
      <c r="L39" s="44">
        <v>21.2</v>
      </c>
      <c r="M39" s="44">
        <v>769.67</v>
      </c>
      <c r="N39" s="44" t="s">
        <v>29</v>
      </c>
      <c r="O39" s="44">
        <v>14.9</v>
      </c>
      <c r="P39" s="44">
        <v>964.8099999999999</v>
      </c>
      <c r="Q39" s="41">
        <v>769.67</v>
      </c>
      <c r="R39" s="44" t="s">
        <v>30</v>
      </c>
      <c r="S39" s="41">
        <f>=IF(OR(Q39="", R39=""), "-", IF(ISNUMBER(SEARCH("7 Günlük", R39)), IF(Q39&lt;=M39, O39, "-"), "-"))</f>
        <v>14.9</v>
      </c>
      <c r="T39" s="44" t="str">
        <f>=IF(ISBLANK(Q39), "", "Hayır")</f>
        <v>Hayır</v>
      </c>
      <c r="V39" s="44" t="s">
        <v>31</v>
      </c>
    </row>
    <row r="40">
      <c r="A40" s="44" t="s">
        <v>54</v>
      </c>
      <c r="B40" s="44" t="s">
        <v>91</v>
      </c>
      <c r="C40" s="44" t="s">
        <v>115</v>
      </c>
      <c r="D40" s="44" t="s">
        <v>115</v>
      </c>
      <c r="E40" s="44" t="s">
        <v>44</v>
      </c>
      <c r="F40" s="44" t="s">
        <v>57</v>
      </c>
      <c r="G40" s="44" t="s">
        <v>27</v>
      </c>
      <c r="H40" s="44" t="s">
        <v>28</v>
      </c>
      <c r="I40" s="44">
        <v>994</v>
      </c>
      <c r="J40" s="44">
        <v>399</v>
      </c>
      <c r="K40" s="44">
        <v>399</v>
      </c>
      <c r="L40" s="44">
        <v>22</v>
      </c>
      <c r="M40" s="44">
        <v>300.14</v>
      </c>
      <c r="N40" s="44" t="s">
        <v>29</v>
      </c>
      <c r="O40" s="44">
        <v>16.7</v>
      </c>
      <c r="P40" s="44">
        <v>399</v>
      </c>
      <c r="Q40" s="41">
        <v>300.14</v>
      </c>
      <c r="R40" s="44" t="s">
        <v>30</v>
      </c>
      <c r="S40" s="41">
        <f>=IF(OR(Q40="", R40=""), "-", IF(ISNUMBER(SEARCH("7 Günlük", R40)), IF(Q40&lt;=M40, O40, "-"), "-"))</f>
        <v>16.7</v>
      </c>
      <c r="T40" s="44" t="str">
        <f>=IF(ISBLANK(Q40), "", "Hayır")</f>
        <v>Hayır</v>
      </c>
      <c r="V40" s="44" t="s">
        <v>31</v>
      </c>
    </row>
    <row r="41">
      <c r="A41" s="44" t="s">
        <v>54</v>
      </c>
      <c r="B41" s="44" t="s">
        <v>91</v>
      </c>
      <c r="C41" s="44" t="s">
        <v>116</v>
      </c>
      <c r="D41" s="44" t="s">
        <v>116</v>
      </c>
      <c r="E41" s="44" t="s">
        <v>117</v>
      </c>
      <c r="F41" s="44" t="s">
        <v>57</v>
      </c>
      <c r="G41" s="44" t="s">
        <v>27</v>
      </c>
      <c r="H41" s="44" t="s">
        <v>28</v>
      </c>
      <c r="I41" s="44">
        <v>999</v>
      </c>
      <c r="J41" s="44">
        <v>18338</v>
      </c>
      <c r="K41" s="44">
        <v>11725.2</v>
      </c>
      <c r="L41" s="44">
        <v>20.2</v>
      </c>
      <c r="M41" s="44">
        <v>9839.860000000001</v>
      </c>
      <c r="N41" s="44" t="s">
        <v>29</v>
      </c>
      <c r="O41" s="44">
        <v>14.7</v>
      </c>
      <c r="P41" s="44">
        <v>11725.2</v>
      </c>
      <c r="Q41" s="41">
        <v>9839.860000000001</v>
      </c>
      <c r="R41" s="44" t="s">
        <v>30</v>
      </c>
      <c r="S41" s="41">
        <f>=IF(OR(Q41="", R41=""), "-", IF(ISNUMBER(SEARCH("7 Günlük", R41)), IF(Q41&lt;=M41, O41, "-"), "-"))</f>
        <v>14.7</v>
      </c>
      <c r="T41" s="44" t="str">
        <f>=IF(ISBLANK(Q41), "", "Hayır")</f>
        <v>Hayır</v>
      </c>
      <c r="V41" s="44" t="s">
        <v>31</v>
      </c>
    </row>
    <row r="42">
      <c r="A42" s="44" t="s">
        <v>54</v>
      </c>
      <c r="B42" s="44" t="s">
        <v>91</v>
      </c>
      <c r="C42" s="44" t="s">
        <v>118</v>
      </c>
      <c r="D42" s="44" t="s">
        <v>118</v>
      </c>
      <c r="E42" s="44" t="s">
        <v>119</v>
      </c>
      <c r="F42" s="44" t="s">
        <v>57</v>
      </c>
      <c r="G42" s="44" t="s">
        <v>27</v>
      </c>
      <c r="H42" s="44" t="s">
        <v>28</v>
      </c>
      <c r="I42" s="44">
        <v>999</v>
      </c>
      <c r="J42" s="44">
        <v>6521</v>
      </c>
      <c r="K42" s="44">
        <v>4246.95</v>
      </c>
      <c r="L42" s="44">
        <v>20.2</v>
      </c>
      <c r="M42" s="44">
        <v>3466.44</v>
      </c>
      <c r="N42" s="44" t="s">
        <v>29</v>
      </c>
      <c r="O42" s="44">
        <v>14.5</v>
      </c>
      <c r="P42" s="44">
        <v>4246.95</v>
      </c>
      <c r="Q42" s="41">
        <v>3466.44</v>
      </c>
      <c r="R42" s="44" t="s">
        <v>30</v>
      </c>
      <c r="S42" s="41">
        <f>=IF(OR(Q42="", R42=""), "-", IF(ISNUMBER(SEARCH("7 Günlük", R42)), IF(Q42&lt;=M42, O42, "-"), "-"))</f>
        <v>14.5</v>
      </c>
      <c r="T42" s="44" t="str">
        <f>=IF(ISBLANK(Q42), "", "Hayır")</f>
        <v>Hayır</v>
      </c>
      <c r="V42" s="44" t="s">
        <v>31</v>
      </c>
    </row>
    <row r="43">
      <c r="A43" s="44" t="s">
        <v>54</v>
      </c>
      <c r="B43" s="44" t="s">
        <v>91</v>
      </c>
      <c r="C43" s="44" t="s">
        <v>120</v>
      </c>
      <c r="D43" s="44" t="s">
        <v>120</v>
      </c>
      <c r="E43" s="44" t="s">
        <v>121</v>
      </c>
      <c r="F43" s="44" t="s">
        <v>57</v>
      </c>
      <c r="G43" s="44" t="s">
        <v>27</v>
      </c>
      <c r="H43" s="44" t="s">
        <v>28</v>
      </c>
      <c r="I43" s="44">
        <v>999</v>
      </c>
      <c r="J43" s="44">
        <v>18018</v>
      </c>
      <c r="K43" s="44">
        <v>11625.72</v>
      </c>
      <c r="L43" s="44">
        <v>20.2</v>
      </c>
      <c r="M43" s="44">
        <v>9835.129999999999</v>
      </c>
      <c r="N43" s="44" t="s">
        <v>29</v>
      </c>
      <c r="O43" s="44">
        <v>14.9</v>
      </c>
      <c r="P43" s="44">
        <v>11625.72</v>
      </c>
      <c r="Q43" s="41">
        <v>9835.129999999999</v>
      </c>
      <c r="R43" s="44" t="s">
        <v>30</v>
      </c>
      <c r="S43" s="41">
        <f>=IF(OR(Q43="", R43=""), "-", IF(ISNUMBER(SEARCH("7 Günlük", R43)), IF(Q43&lt;=M43, O43, "-"), "-"))</f>
        <v>14.9</v>
      </c>
      <c r="T43" s="44" t="str">
        <f>=IF(ISBLANK(Q43), "", "Hayır")</f>
        <v>Hayır</v>
      </c>
      <c r="V43" s="44" t="s">
        <v>31</v>
      </c>
    </row>
    <row r="44">
      <c r="A44" s="44" t="s">
        <v>54</v>
      </c>
      <c r="B44" s="44" t="s">
        <v>91</v>
      </c>
      <c r="C44" s="44" t="s">
        <v>122</v>
      </c>
      <c r="D44" s="44" t="s">
        <v>122</v>
      </c>
      <c r="E44" s="44" t="s">
        <v>123</v>
      </c>
      <c r="F44" s="44" t="s">
        <v>57</v>
      </c>
      <c r="G44" s="44" t="s">
        <v>27</v>
      </c>
      <c r="H44" s="44" t="s">
        <v>28</v>
      </c>
      <c r="I44" s="44">
        <v>999</v>
      </c>
      <c r="J44" s="44">
        <v>15427</v>
      </c>
      <c r="K44" s="44">
        <v>10158.18</v>
      </c>
      <c r="L44" s="44">
        <v>20.2</v>
      </c>
      <c r="M44" s="44">
        <v>8350.32</v>
      </c>
      <c r="N44" s="44" t="s">
        <v>29</v>
      </c>
      <c r="O44" s="44">
        <v>14.8</v>
      </c>
      <c r="P44" s="44">
        <v>10158.18</v>
      </c>
      <c r="Q44" s="41">
        <v>8350.32</v>
      </c>
      <c r="R44" s="44" t="s">
        <v>30</v>
      </c>
      <c r="S44" s="41">
        <f>=IF(OR(Q44="", R44=""), "-", IF(ISNUMBER(SEARCH("7 Günlük", R44)), IF(Q44&lt;=M44, O44, "-"), "-"))</f>
        <v>14.8</v>
      </c>
      <c r="T44" s="44" t="str">
        <f>=IF(ISBLANK(Q44), "", "Hayır")</f>
        <v>Hayır</v>
      </c>
      <c r="V44" s="44" t="s">
        <v>31</v>
      </c>
    </row>
    <row r="45">
      <c r="A45" s="44" t="s">
        <v>54</v>
      </c>
      <c r="B45" s="44" t="s">
        <v>91</v>
      </c>
      <c r="C45" s="44" t="s">
        <v>124</v>
      </c>
      <c r="D45" s="44" t="s">
        <v>124</v>
      </c>
      <c r="E45" s="44" t="s">
        <v>125</v>
      </c>
      <c r="F45" s="44" t="s">
        <v>57</v>
      </c>
      <c r="G45" s="44" t="s">
        <v>27</v>
      </c>
      <c r="H45" s="44" t="s">
        <v>28</v>
      </c>
      <c r="I45" s="44">
        <v>999</v>
      </c>
      <c r="J45" s="44">
        <v>20929</v>
      </c>
      <c r="K45" s="44">
        <v>13228.23</v>
      </c>
      <c r="L45" s="44">
        <v>20.1</v>
      </c>
      <c r="M45" s="44">
        <v>11005.18</v>
      </c>
      <c r="N45" s="44" t="s">
        <v>29</v>
      </c>
      <c r="O45" s="44">
        <v>14.3</v>
      </c>
      <c r="P45" s="44">
        <v>13228.23</v>
      </c>
      <c r="Q45" s="41">
        <v>11005.18</v>
      </c>
      <c r="R45" s="44" t="s">
        <v>30</v>
      </c>
      <c r="S45" s="41">
        <f>=IF(OR(Q45="", R45=""), "-", IF(ISNUMBER(SEARCH("7 Günlük", R45)), IF(Q45&lt;=M45, O45, "-"), "-"))</f>
        <v>14.3</v>
      </c>
      <c r="T45" s="44" t="str">
        <f>=IF(ISBLANK(Q45), "", "Hayır")</f>
        <v>Hayır</v>
      </c>
      <c r="V45" s="44" t="s">
        <v>31</v>
      </c>
    </row>
    <row r="46">
      <c r="A46" s="44" t="s">
        <v>54</v>
      </c>
      <c r="B46" s="44" t="s">
        <v>91</v>
      </c>
      <c r="C46" s="44" t="s">
        <v>126</v>
      </c>
      <c r="D46" s="44" t="s">
        <v>126</v>
      </c>
      <c r="E46" s="44" t="s">
        <v>127</v>
      </c>
      <c r="F46" s="44" t="s">
        <v>57</v>
      </c>
      <c r="G46" s="44" t="s">
        <v>27</v>
      </c>
      <c r="H46" s="44" t="s">
        <v>28</v>
      </c>
      <c r="I46" s="44">
        <v>999</v>
      </c>
      <c r="J46" s="44">
        <v>8254</v>
      </c>
      <c r="K46" s="44">
        <v>5318.24</v>
      </c>
      <c r="L46" s="44">
        <v>20.2</v>
      </c>
      <c r="M46" s="44">
        <v>4389.66</v>
      </c>
      <c r="N46" s="44" t="s">
        <v>29</v>
      </c>
      <c r="O46" s="44">
        <v>14.7</v>
      </c>
      <c r="P46" s="44">
        <v>5318.24</v>
      </c>
      <c r="Q46" s="41">
        <v>4389.66</v>
      </c>
      <c r="R46" s="44" t="s">
        <v>30</v>
      </c>
      <c r="S46" s="41">
        <f>=IF(OR(Q46="", R46=""), "-", IF(ISNUMBER(SEARCH("7 Günlük", R46)), IF(Q46&lt;=M46, O46, "-"), "-"))</f>
        <v>14.7</v>
      </c>
      <c r="T46" s="44" t="str">
        <f>=IF(ISBLANK(Q46), "", "Hayır")</f>
        <v>Hayır</v>
      </c>
      <c r="V46" s="44" t="s">
        <v>31</v>
      </c>
    </row>
    <row r="47">
      <c r="A47" s="44" t="s">
        <v>54</v>
      </c>
      <c r="B47" s="44" t="s">
        <v>91</v>
      </c>
      <c r="C47" s="44" t="s">
        <v>128</v>
      </c>
      <c r="D47" s="44" t="s">
        <v>128</v>
      </c>
      <c r="E47" s="44" t="s">
        <v>129</v>
      </c>
      <c r="F47" s="44" t="s">
        <v>57</v>
      </c>
      <c r="G47" s="44" t="s">
        <v>27</v>
      </c>
      <c r="H47" s="44" t="s">
        <v>28</v>
      </c>
      <c r="I47" s="44">
        <v>999</v>
      </c>
      <c r="J47" s="44">
        <v>8116</v>
      </c>
      <c r="K47" s="44">
        <v>5288.15</v>
      </c>
      <c r="L47" s="44">
        <v>20.1</v>
      </c>
      <c r="M47" s="44">
        <v>4312.03</v>
      </c>
      <c r="N47" s="44" t="s">
        <v>29</v>
      </c>
      <c r="O47" s="44">
        <v>14.5</v>
      </c>
      <c r="P47" s="44">
        <v>5288.15</v>
      </c>
      <c r="Q47" s="41">
        <v>4312.03</v>
      </c>
      <c r="R47" s="44" t="s">
        <v>30</v>
      </c>
      <c r="S47" s="41">
        <f>=IF(OR(Q47="", R47=""), "-", IF(ISNUMBER(SEARCH("7 Günlük", R47)), IF(Q47&lt;=M47, O47, "-"), "-"))</f>
        <v>14.5</v>
      </c>
      <c r="T47" s="44" t="str">
        <f>=IF(ISBLANK(Q47), "", "Hayır")</f>
        <v>Hayır</v>
      </c>
      <c r="V47" s="44" t="s">
        <v>31</v>
      </c>
    </row>
    <row r="48">
      <c r="A48" s="44" t="s">
        <v>34</v>
      </c>
      <c r="B48" s="44" t="s">
        <v>130</v>
      </c>
      <c r="C48" s="44" t="s">
        <v>131</v>
      </c>
      <c r="D48" s="44" t="s">
        <v>131</v>
      </c>
      <c r="E48" s="44" t="s">
        <v>48</v>
      </c>
      <c r="F48" s="44" t="s">
        <v>38</v>
      </c>
      <c r="G48" s="44" t="s">
        <v>27</v>
      </c>
      <c r="H48" s="44" t="s">
        <v>28</v>
      </c>
      <c r="I48" s="44">
        <v>991</v>
      </c>
      <c r="J48" s="44">
        <v>799</v>
      </c>
      <c r="K48" s="44">
        <v>799</v>
      </c>
      <c r="L48" s="44">
        <v>22</v>
      </c>
      <c r="M48" s="44">
        <v>579.62</v>
      </c>
      <c r="N48" s="44" t="s">
        <v>29</v>
      </c>
      <c r="O48" s="44">
        <v>16.3</v>
      </c>
      <c r="P48" s="44">
        <v>799</v>
      </c>
      <c r="Q48" s="41">
        <v>579.62</v>
      </c>
      <c r="R48" s="44" t="s">
        <v>30</v>
      </c>
      <c r="S48" s="41">
        <f>=IF(OR(Q48="", R48=""), "-", IF(ISNUMBER(SEARCH("7 Günlük", R48)), IF(Q48&lt;=M48, O48, "-"), "-"))</f>
        <v>16.3</v>
      </c>
      <c r="T48" s="44" t="str">
        <f>=IF(ISBLANK(Q48), "", "Hayır")</f>
        <v>Hayır</v>
      </c>
      <c r="V48" s="44" t="s">
        <v>31</v>
      </c>
    </row>
    <row r="49">
      <c r="A49" s="44" t="s">
        <v>34</v>
      </c>
      <c r="B49" s="44" t="s">
        <v>130</v>
      </c>
      <c r="C49" s="44" t="s">
        <v>132</v>
      </c>
      <c r="D49" s="44" t="s">
        <v>132</v>
      </c>
      <c r="E49" s="44" t="s">
        <v>77</v>
      </c>
      <c r="F49" s="44" t="s">
        <v>38</v>
      </c>
      <c r="G49" s="44" t="s">
        <v>27</v>
      </c>
      <c r="H49" s="44" t="s">
        <v>28</v>
      </c>
      <c r="I49" s="44">
        <v>999</v>
      </c>
      <c r="J49" s="44">
        <v>24976</v>
      </c>
      <c r="K49" s="44">
        <v>16697.7</v>
      </c>
      <c r="L49" s="44">
        <v>18.8</v>
      </c>
      <c r="M49" s="44">
        <v>15428.24</v>
      </c>
      <c r="N49" s="44" t="s">
        <v>29</v>
      </c>
      <c r="O49" s="44">
        <v>14.3</v>
      </c>
      <c r="P49" s="44">
        <v>16697.7</v>
      </c>
      <c r="Q49" s="41">
        <v>15428.24</v>
      </c>
      <c r="R49" s="44" t="s">
        <v>30</v>
      </c>
      <c r="S49" s="41">
        <f>=IF(OR(Q49="", R49=""), "-", IF(ISNUMBER(SEARCH("7 Günlük", R49)), IF(Q49&lt;=M49, O49, "-"), "-"))</f>
        <v>14.3</v>
      </c>
      <c r="T49" s="44" t="str">
        <f>=IF(ISBLANK(Q49), "", "Hayır")</f>
        <v>Hayır</v>
      </c>
      <c r="V49" s="44" t="s">
        <v>31</v>
      </c>
    </row>
    <row r="50">
      <c r="A50" s="44" t="s">
        <v>34</v>
      </c>
      <c r="B50" s="44" t="s">
        <v>130</v>
      </c>
      <c r="C50" s="44" t="s">
        <v>133</v>
      </c>
      <c r="D50" s="44" t="s">
        <v>133</v>
      </c>
      <c r="E50" s="44" t="s">
        <v>42</v>
      </c>
      <c r="F50" s="44" t="s">
        <v>38</v>
      </c>
      <c r="G50" s="44" t="s">
        <v>27</v>
      </c>
      <c r="H50" s="44" t="s">
        <v>28</v>
      </c>
      <c r="I50" s="44">
        <v>999</v>
      </c>
      <c r="J50" s="44">
        <v>30370</v>
      </c>
      <c r="K50" s="44">
        <v>19868.61</v>
      </c>
      <c r="L50" s="44">
        <v>21</v>
      </c>
      <c r="M50" s="44">
        <v>15254.34</v>
      </c>
      <c r="N50" s="44" t="s">
        <v>29</v>
      </c>
      <c r="O50" s="44">
        <v>13.3</v>
      </c>
      <c r="P50" s="44">
        <v>19868.61</v>
      </c>
      <c r="Q50" s="41">
        <v>15254.34</v>
      </c>
      <c r="R50" s="44" t="s">
        <v>30</v>
      </c>
      <c r="S50" s="41">
        <f>=IF(OR(Q50="", R50=""), "-", IF(ISNUMBER(SEARCH("7 Günlük", R50)), IF(Q50&lt;=M50, O50, "-"), "-"))</f>
        <v>13.3</v>
      </c>
      <c r="T50" s="44" t="str">
        <f>=IF(ISBLANK(Q50), "", "Hayır")</f>
        <v>Hayır</v>
      </c>
      <c r="V50" s="44" t="s">
        <v>31</v>
      </c>
    </row>
    <row r="51">
      <c r="A51" s="44" t="s">
        <v>34</v>
      </c>
      <c r="B51" s="44" t="s">
        <v>130</v>
      </c>
      <c r="C51" s="44" t="s">
        <v>134</v>
      </c>
      <c r="D51" s="44" t="s">
        <v>134</v>
      </c>
      <c r="E51" s="44" t="s">
        <v>44</v>
      </c>
      <c r="F51" s="44" t="s">
        <v>38</v>
      </c>
      <c r="G51" s="44" t="s">
        <v>27</v>
      </c>
      <c r="H51" s="44" t="s">
        <v>28</v>
      </c>
      <c r="I51" s="44">
        <v>994</v>
      </c>
      <c r="J51" s="44">
        <v>599</v>
      </c>
      <c r="K51" s="44">
        <v>599</v>
      </c>
      <c r="L51" s="44">
        <v>22</v>
      </c>
      <c r="M51" s="44">
        <v>449.76</v>
      </c>
      <c r="N51" s="44" t="s">
        <v>29</v>
      </c>
      <c r="O51" s="44">
        <v>16</v>
      </c>
      <c r="P51" s="44">
        <v>599</v>
      </c>
      <c r="Q51" s="41">
        <v>449.76</v>
      </c>
      <c r="R51" s="44" t="s">
        <v>30</v>
      </c>
      <c r="S51" s="41">
        <f>=IF(OR(Q51="", R51=""), "-", IF(ISNUMBER(SEARCH("7 Günlük", R51)), IF(Q51&lt;=M51, O51, "-"), "-"))</f>
        <v>16.0</v>
      </c>
      <c r="T51" s="44" t="str">
        <f>=IF(ISBLANK(Q51), "", "Hayır")</f>
        <v>Hayır</v>
      </c>
      <c r="V51" s="44" t="s">
        <v>31</v>
      </c>
    </row>
    <row r="52">
      <c r="A52" s="44" t="s">
        <v>34</v>
      </c>
      <c r="B52" s="44" t="s">
        <v>130</v>
      </c>
      <c r="C52" s="44" t="s">
        <v>135</v>
      </c>
      <c r="D52" s="44" t="s">
        <v>135</v>
      </c>
      <c r="E52" s="44" t="s">
        <v>136</v>
      </c>
      <c r="F52" s="44" t="s">
        <v>38</v>
      </c>
      <c r="G52" s="44" t="s">
        <v>27</v>
      </c>
      <c r="H52" s="44" t="s">
        <v>28</v>
      </c>
      <c r="I52" s="44">
        <v>999</v>
      </c>
      <c r="J52" s="44">
        <v>29420</v>
      </c>
      <c r="K52" s="44">
        <v>19271.41</v>
      </c>
      <c r="L52" s="44">
        <v>18.6</v>
      </c>
      <c r="M52" s="44">
        <v>17880.66</v>
      </c>
      <c r="N52" s="44" t="s">
        <v>29</v>
      </c>
      <c r="O52" s="44">
        <v>14</v>
      </c>
      <c r="P52" s="44">
        <v>19271.41</v>
      </c>
      <c r="Q52" s="41">
        <v>17880.66</v>
      </c>
      <c r="R52" s="44" t="s">
        <v>30</v>
      </c>
      <c r="S52" s="41">
        <f>=IF(OR(Q52="", R52=""), "-", IF(ISNUMBER(SEARCH("7 Günlük", R52)), IF(Q52&lt;=M52, O52, "-"), "-"))</f>
        <v>14.0</v>
      </c>
      <c r="T52" s="44" t="str">
        <f>=IF(ISBLANK(Q52), "", "Hayır")</f>
        <v>Hayır</v>
      </c>
      <c r="V52" s="44" t="s">
        <v>31</v>
      </c>
    </row>
    <row r="53">
      <c r="A53" s="44" t="s">
        <v>34</v>
      </c>
      <c r="B53" s="44" t="s">
        <v>130</v>
      </c>
      <c r="C53" s="44" t="s">
        <v>137</v>
      </c>
      <c r="D53" s="44" t="s">
        <v>137</v>
      </c>
      <c r="E53" s="44" t="s">
        <v>138</v>
      </c>
      <c r="F53" s="44" t="s">
        <v>38</v>
      </c>
      <c r="G53" s="44" t="s">
        <v>27</v>
      </c>
      <c r="H53" s="44" t="s">
        <v>28</v>
      </c>
      <c r="I53" s="44">
        <v>996</v>
      </c>
      <c r="J53" s="44">
        <v>2980</v>
      </c>
      <c r="K53" s="44">
        <v>2184.32</v>
      </c>
      <c r="L53" s="44">
        <v>20.2</v>
      </c>
      <c r="M53" s="44">
        <v>1852.33</v>
      </c>
      <c r="N53" s="44" t="s">
        <v>29</v>
      </c>
      <c r="O53" s="44">
        <v>15.5</v>
      </c>
      <c r="P53" s="44">
        <v>2184.32</v>
      </c>
      <c r="Q53" s="41">
        <v>1852.33</v>
      </c>
      <c r="R53" s="44" t="s">
        <v>30</v>
      </c>
      <c r="S53" s="41">
        <f>=IF(OR(Q53="", R53=""), "-", IF(ISNUMBER(SEARCH("7 Günlük", R53)), IF(Q53&lt;=M53, O53, "-"), "-"))</f>
        <v>15.5</v>
      </c>
      <c r="T53" s="44" t="str">
        <f>=IF(ISBLANK(Q53), "", "Hayır")</f>
        <v>Hayır</v>
      </c>
      <c r="V53" s="44" t="s">
        <v>31</v>
      </c>
    </row>
    <row r="54">
      <c r="A54" s="44" t="s">
        <v>34</v>
      </c>
      <c r="B54" s="44" t="s">
        <v>130</v>
      </c>
      <c r="C54" s="44" t="s">
        <v>139</v>
      </c>
      <c r="D54" s="44" t="s">
        <v>139</v>
      </c>
      <c r="E54" s="44" t="s">
        <v>140</v>
      </c>
      <c r="F54" s="44" t="s">
        <v>38</v>
      </c>
      <c r="G54" s="44" t="s">
        <v>27</v>
      </c>
      <c r="H54" s="44" t="s">
        <v>28</v>
      </c>
      <c r="I54" s="44">
        <v>996</v>
      </c>
      <c r="J54" s="44">
        <v>2128</v>
      </c>
      <c r="K54" s="44">
        <v>1619.65</v>
      </c>
      <c r="L54" s="44">
        <v>20.2</v>
      </c>
      <c r="M54" s="44">
        <v>1372.84</v>
      </c>
      <c r="N54" s="44" t="s">
        <v>29</v>
      </c>
      <c r="O54" s="44">
        <v>15.7</v>
      </c>
      <c r="P54" s="44">
        <v>1619.65</v>
      </c>
      <c r="Q54" s="41">
        <v>1372.84</v>
      </c>
      <c r="R54" s="44" t="s">
        <v>30</v>
      </c>
      <c r="S54" s="41">
        <f>=IF(OR(Q54="", R54=""), "-", IF(ISNUMBER(SEARCH("7 Günlük", R54)), IF(Q54&lt;=M54, O54, "-"), "-"))</f>
        <v>15.7</v>
      </c>
      <c r="T54" s="44" t="str">
        <f>=IF(ISBLANK(Q54), "", "Hayır")</f>
        <v>Hayır</v>
      </c>
      <c r="V54" s="44" t="s">
        <v>31</v>
      </c>
    </row>
    <row r="55">
      <c r="A55" s="44" t="s">
        <v>34</v>
      </c>
      <c r="B55" s="44" t="s">
        <v>130</v>
      </c>
      <c r="C55" s="44" t="s">
        <v>141</v>
      </c>
      <c r="D55" s="44" t="s">
        <v>141</v>
      </c>
      <c r="E55" s="44" t="s">
        <v>40</v>
      </c>
      <c r="F55" s="44" t="s">
        <v>38</v>
      </c>
      <c r="G55" s="44" t="s">
        <v>27</v>
      </c>
      <c r="H55" s="44" t="s">
        <v>28</v>
      </c>
      <c r="I55" s="44">
        <v>999</v>
      </c>
      <c r="J55" s="44">
        <v>31217</v>
      </c>
      <c r="K55" s="44">
        <v>20352.72</v>
      </c>
      <c r="L55" s="44">
        <v>21</v>
      </c>
      <c r="M55" s="44">
        <v>15532.46</v>
      </c>
      <c r="N55" s="44" t="s">
        <v>29</v>
      </c>
      <c r="O55" s="44">
        <v>13.2</v>
      </c>
      <c r="P55" s="44">
        <v>20352.72</v>
      </c>
      <c r="Q55" s="41">
        <v>15532.46</v>
      </c>
      <c r="R55" s="44" t="s">
        <v>30</v>
      </c>
      <c r="S55" s="41">
        <f>=IF(OR(Q55="", R55=""), "-", IF(ISNUMBER(SEARCH("7 Günlük", R55)), IF(Q55&lt;=M55, O55, "-"), "-"))</f>
        <v>13.2</v>
      </c>
      <c r="T55" s="44" t="str">
        <f>=IF(ISBLANK(Q55), "", "Hayır")</f>
        <v>Hayır</v>
      </c>
      <c r="V55" s="44" t="s">
        <v>31</v>
      </c>
    </row>
    <row r="56">
      <c r="A56" s="44" t="s">
        <v>142</v>
      </c>
      <c r="B56" s="44" t="s">
        <v>143</v>
      </c>
      <c r="C56" s="44" t="s">
        <v>144</v>
      </c>
      <c r="D56" s="44" t="s">
        <v>145</v>
      </c>
      <c r="E56" s="44" t="s">
        <v>146</v>
      </c>
      <c r="F56" s="44" t="s">
        <v>147</v>
      </c>
      <c r="G56" s="44" t="s">
        <v>27</v>
      </c>
      <c r="H56" s="44" t="s">
        <v>28</v>
      </c>
      <c r="I56" s="44">
        <v>997</v>
      </c>
      <c r="J56" s="44">
        <v>3099</v>
      </c>
      <c r="K56" s="44">
        <v>3099</v>
      </c>
      <c r="L56" s="44">
        <v>22</v>
      </c>
      <c r="M56" s="44">
        <v>1673.89</v>
      </c>
      <c r="N56" s="44" t="s">
        <v>29</v>
      </c>
      <c r="O56" s="44">
        <v>12.5</v>
      </c>
      <c r="P56" s="44">
        <v>3099</v>
      </c>
      <c r="Q56" s="41">
        <v>1673.89</v>
      </c>
      <c r="R56" s="44" t="s">
        <v>30</v>
      </c>
      <c r="S56" s="41">
        <f>=IF(OR(Q56="", R56=""), "-", IF(ISNUMBER(SEARCH("7 Günlük", R56)), IF(Q56&lt;=M56, O56, "-"), "-"))</f>
        <v>12.5</v>
      </c>
      <c r="T56" s="44" t="str">
        <f>=IF(ISBLANK(Q56), "", "Hayır")</f>
        <v>Hayır</v>
      </c>
      <c r="V56" s="44" t="s">
        <v>31</v>
      </c>
    </row>
    <row r="57">
      <c r="A57" s="44" t="s">
        <v>142</v>
      </c>
      <c r="B57" s="44" t="s">
        <v>143</v>
      </c>
      <c r="C57" s="44" t="s">
        <v>148</v>
      </c>
      <c r="D57" s="44" t="s">
        <v>149</v>
      </c>
      <c r="E57" s="44" t="s">
        <v>33</v>
      </c>
      <c r="F57" s="44" t="s">
        <v>147</v>
      </c>
      <c r="G57" s="44" t="s">
        <v>27</v>
      </c>
      <c r="H57" s="44" t="s">
        <v>28</v>
      </c>
      <c r="I57" s="44">
        <v>988</v>
      </c>
      <c r="J57" s="44">
        <v>1149</v>
      </c>
      <c r="K57" s="44">
        <v>1149</v>
      </c>
      <c r="L57" s="44">
        <v>22</v>
      </c>
      <c r="M57" s="44">
        <v>883.3099999999999</v>
      </c>
      <c r="N57" s="44" t="s">
        <v>29</v>
      </c>
      <c r="O57" s="44">
        <v>17.9</v>
      </c>
      <c r="P57" s="44">
        <v>1149</v>
      </c>
      <c r="Q57" s="41">
        <v>883.3099999999999</v>
      </c>
      <c r="R57" s="44" t="s">
        <v>30</v>
      </c>
      <c r="S57" s="41">
        <f>=IF(OR(Q57="", R57=""), "-", IF(ISNUMBER(SEARCH("7 Günlük", R57)), IF(Q57&lt;=M57, O57, "-"), "-"))</f>
        <v>17.9</v>
      </c>
      <c r="T57" s="44" t="str">
        <f>=IF(ISBLANK(Q57), "", "Hayır")</f>
        <v>Hayır</v>
      </c>
      <c r="V57" s="44" t="s">
        <v>31</v>
      </c>
    </row>
    <row r="58">
      <c r="A58" s="44" t="s">
        <v>142</v>
      </c>
      <c r="B58" s="44" t="s">
        <v>143</v>
      </c>
      <c r="C58" s="44" t="s">
        <v>150</v>
      </c>
      <c r="D58" s="44" t="s">
        <v>151</v>
      </c>
      <c r="E58" s="44" t="s">
        <v>25</v>
      </c>
      <c r="F58" s="44" t="s">
        <v>147</v>
      </c>
      <c r="G58" s="44" t="s">
        <v>27</v>
      </c>
      <c r="H58" s="44" t="s">
        <v>28</v>
      </c>
      <c r="I58" s="44">
        <v>992</v>
      </c>
      <c r="J58" s="44">
        <v>799</v>
      </c>
      <c r="K58" s="44">
        <v>799</v>
      </c>
      <c r="L58" s="44">
        <v>22</v>
      </c>
      <c r="M58" s="44">
        <v>594.6900000000001</v>
      </c>
      <c r="N58" s="44" t="s">
        <v>29</v>
      </c>
      <c r="O58" s="44">
        <v>17.4</v>
      </c>
      <c r="P58" s="44">
        <v>799</v>
      </c>
      <c r="Q58" s="41">
        <v>594.6900000000001</v>
      </c>
      <c r="R58" s="44" t="s">
        <v>30</v>
      </c>
      <c r="S58" s="41">
        <f>=IF(OR(Q58="", R58=""), "-", IF(ISNUMBER(SEARCH("7 Günlük", R58)), IF(Q58&lt;=M58, O58, "-"), "-"))</f>
        <v>17.4</v>
      </c>
      <c r="T58" s="44" t="str">
        <f>=IF(ISBLANK(Q58), "", "Hayır")</f>
        <v>Hayır</v>
      </c>
      <c r="V58" s="44" t="s">
        <v>31</v>
      </c>
    </row>
    <row r="59">
      <c r="A59" s="44" t="s">
        <v>142</v>
      </c>
      <c r="B59" s="44" t="s">
        <v>143</v>
      </c>
      <c r="C59" s="44" t="s">
        <v>152</v>
      </c>
      <c r="D59" s="44" t="s">
        <v>153</v>
      </c>
      <c r="E59" s="44" t="s">
        <v>154</v>
      </c>
      <c r="F59" s="44" t="s">
        <v>147</v>
      </c>
      <c r="G59" s="44" t="s">
        <v>27</v>
      </c>
      <c r="H59" s="44" t="s">
        <v>28</v>
      </c>
      <c r="I59" s="44">
        <v>993</v>
      </c>
      <c r="J59" s="44">
        <v>1599</v>
      </c>
      <c r="K59" s="44">
        <v>1599</v>
      </c>
      <c r="L59" s="44">
        <v>22</v>
      </c>
      <c r="M59" s="44">
        <v>986.35</v>
      </c>
      <c r="N59" s="44" t="s">
        <v>29</v>
      </c>
      <c r="O59" s="44">
        <v>14.1</v>
      </c>
      <c r="P59" s="44">
        <v>1599</v>
      </c>
      <c r="Q59" s="41">
        <v>986.35</v>
      </c>
      <c r="R59" s="44" t="s">
        <v>30</v>
      </c>
      <c r="S59" s="41">
        <f>=IF(OR(Q59="", R59=""), "-", IF(ISNUMBER(SEARCH("7 Günlük", R59)), IF(Q59&lt;=M59, O59, "-"), "-"))</f>
        <v>14.1</v>
      </c>
      <c r="T59" s="44" t="str">
        <f>=IF(ISBLANK(Q59), "", "Hayır")</f>
        <v>Hayır</v>
      </c>
      <c r="V59" s="44" t="s">
        <v>31</v>
      </c>
    </row>
    <row r="60">
      <c r="A60" s="44" t="s">
        <v>155</v>
      </c>
      <c r="B60" s="44" t="s">
        <v>156</v>
      </c>
      <c r="C60" s="44" t="s">
        <v>157</v>
      </c>
      <c r="D60" s="44" t="s">
        <v>158</v>
      </c>
      <c r="E60" s="44" t="s">
        <v>44</v>
      </c>
      <c r="F60" s="44" t="s">
        <v>159</v>
      </c>
      <c r="G60" s="44" t="s">
        <v>27</v>
      </c>
      <c r="H60" s="44" t="s">
        <v>28</v>
      </c>
      <c r="I60" s="44">
        <v>993</v>
      </c>
      <c r="J60" s="44">
        <v>799</v>
      </c>
      <c r="K60" s="44">
        <v>799</v>
      </c>
      <c r="L60" s="44">
        <v>22</v>
      </c>
      <c r="M60" s="44">
        <v>565.17</v>
      </c>
      <c r="N60" s="44" t="s">
        <v>29</v>
      </c>
      <c r="O60" s="44">
        <v>16.4</v>
      </c>
      <c r="P60" s="44">
        <v>799</v>
      </c>
      <c r="Q60" s="41">
        <v>565.17</v>
      </c>
      <c r="R60" s="44" t="s">
        <v>30</v>
      </c>
      <c r="S60" s="41">
        <f>=IF(OR(Q60="", R60=""), "-", IF(ISNUMBER(SEARCH("7 Günlük", R60)), IF(Q60&lt;=M60, O60, "-"), "-"))</f>
        <v>16.4</v>
      </c>
      <c r="T60" s="44" t="str">
        <f>=IF(ISBLANK(Q60), "", "Hayır")</f>
        <v>Hayır</v>
      </c>
      <c r="V60" s="44" t="s">
        <v>31</v>
      </c>
    </row>
    <row r="61">
      <c r="A61" s="44" t="s">
        <v>155</v>
      </c>
      <c r="B61" s="44" t="s">
        <v>156</v>
      </c>
      <c r="C61" s="44" t="s">
        <v>160</v>
      </c>
      <c r="D61" s="44" t="s">
        <v>161</v>
      </c>
      <c r="E61" s="44" t="s">
        <v>25</v>
      </c>
      <c r="F61" s="44" t="s">
        <v>159</v>
      </c>
      <c r="G61" s="44" t="s">
        <v>27</v>
      </c>
      <c r="H61" s="44" t="s">
        <v>28</v>
      </c>
      <c r="I61" s="44">
        <v>985</v>
      </c>
      <c r="J61" s="44">
        <v>988</v>
      </c>
      <c r="K61" s="44">
        <v>988</v>
      </c>
      <c r="L61" s="44">
        <v>22</v>
      </c>
      <c r="M61" s="44">
        <v>639.42</v>
      </c>
      <c r="N61" s="44" t="s">
        <v>29</v>
      </c>
      <c r="O61" s="44">
        <v>16.3</v>
      </c>
      <c r="P61" s="44">
        <v>988</v>
      </c>
      <c r="Q61" s="41">
        <v>639.42</v>
      </c>
      <c r="R61" s="44" t="s">
        <v>30</v>
      </c>
      <c r="S61" s="41">
        <f>=IF(OR(Q61="", R61=""), "-", IF(ISNUMBER(SEARCH("7 Günlük", R61)), IF(Q61&lt;=M61, O61, "-"), "-"))</f>
        <v>16.3</v>
      </c>
      <c r="T61" s="44" t="str">
        <f>=IF(ISBLANK(Q61), "", "Hayır")</f>
        <v>Hayır</v>
      </c>
      <c r="V61" s="44" t="s">
        <v>31</v>
      </c>
    </row>
    <row r="62">
      <c r="A62" s="44" t="s">
        <v>162</v>
      </c>
      <c r="B62" s="44" t="s">
        <v>163</v>
      </c>
      <c r="C62" s="44" t="s">
        <v>164</v>
      </c>
      <c r="D62" s="44" t="s">
        <v>165</v>
      </c>
      <c r="E62" s="44" t="s">
        <v>44</v>
      </c>
      <c r="F62" s="44" t="s">
        <v>166</v>
      </c>
      <c r="G62" s="44" t="s">
        <v>27</v>
      </c>
      <c r="H62" s="44" t="s">
        <v>28</v>
      </c>
      <c r="I62" s="44">
        <v>990</v>
      </c>
      <c r="J62" s="44">
        <v>799</v>
      </c>
      <c r="K62" s="44">
        <v>799</v>
      </c>
      <c r="L62" s="44">
        <v>22</v>
      </c>
      <c r="M62" s="44">
        <v>581.15</v>
      </c>
      <c r="N62" s="44" t="s">
        <v>29</v>
      </c>
      <c r="O62" s="44">
        <v>16.9</v>
      </c>
      <c r="P62" s="44">
        <v>799</v>
      </c>
      <c r="Q62" s="41">
        <v>581.15</v>
      </c>
      <c r="R62" s="44" t="s">
        <v>30</v>
      </c>
      <c r="S62" s="41">
        <f>=IF(OR(Q62="", R62=""), "-", IF(ISNUMBER(SEARCH("7 Günlük", R62)), IF(Q62&lt;=M62, O62, "-"), "-"))</f>
        <v>16.9</v>
      </c>
      <c r="T62" s="44" t="str">
        <f>=IF(ISBLANK(Q62), "", "Hayır")</f>
        <v>Hayır</v>
      </c>
      <c r="V62" s="44" t="s">
        <v>31</v>
      </c>
    </row>
    <row r="63">
      <c r="A63" s="44" t="s">
        <v>162</v>
      </c>
      <c r="B63" s="44" t="s">
        <v>163</v>
      </c>
      <c r="C63" s="44" t="s">
        <v>167</v>
      </c>
      <c r="D63" s="44" t="s">
        <v>168</v>
      </c>
      <c r="E63" s="44" t="s">
        <v>25</v>
      </c>
      <c r="F63" s="44" t="s">
        <v>166</v>
      </c>
      <c r="G63" s="44" t="s">
        <v>27</v>
      </c>
      <c r="H63" s="44" t="s">
        <v>28</v>
      </c>
      <c r="I63" s="44">
        <v>976</v>
      </c>
      <c r="J63" s="44">
        <v>988</v>
      </c>
      <c r="K63" s="44">
        <v>988</v>
      </c>
      <c r="L63" s="44">
        <v>22</v>
      </c>
      <c r="M63" s="44">
        <v>681.9400000000001</v>
      </c>
      <c r="N63" s="44" t="s">
        <v>29</v>
      </c>
      <c r="O63" s="44">
        <v>18.1</v>
      </c>
      <c r="P63" s="44">
        <v>988</v>
      </c>
      <c r="Q63" s="41">
        <v>681.9400000000001</v>
      </c>
      <c r="R63" s="44" t="s">
        <v>30</v>
      </c>
      <c r="S63" s="41">
        <f>=IF(OR(Q63="", R63=""), "-", IF(ISNUMBER(SEARCH("7 Günlük", R63)), IF(Q63&lt;=M63, O63, "-"), "-"))</f>
        <v>18.1</v>
      </c>
      <c r="T63" s="44" t="str">
        <f>=IF(ISBLANK(Q63), "", "Hayır")</f>
        <v>Hayır</v>
      </c>
      <c r="V63" s="44" t="s">
        <v>31</v>
      </c>
    </row>
    <row r="64">
      <c r="A64" s="44" t="s">
        <v>162</v>
      </c>
      <c r="B64" s="44" t="s">
        <v>163</v>
      </c>
      <c r="C64" s="44" t="s">
        <v>169</v>
      </c>
      <c r="D64" s="44" t="s">
        <v>170</v>
      </c>
      <c r="E64" s="44" t="s">
        <v>48</v>
      </c>
      <c r="F64" s="44" t="s">
        <v>166</v>
      </c>
      <c r="G64" s="44" t="s">
        <v>27</v>
      </c>
      <c r="H64" s="44" t="s">
        <v>28</v>
      </c>
      <c r="I64" s="44">
        <v>96</v>
      </c>
      <c r="J64" s="44">
        <v>1506</v>
      </c>
      <c r="K64" s="44">
        <v>875.0700000000001</v>
      </c>
      <c r="L64" s="44">
        <v>17.5</v>
      </c>
      <c r="M64" s="44">
        <v>886.5</v>
      </c>
      <c r="N64" s="44" t="s">
        <v>29</v>
      </c>
      <c r="O64" s="44">
        <v>12.3</v>
      </c>
      <c r="P64" s="44">
        <v>875.0700000000001</v>
      </c>
      <c r="Q64" s="41">
        <v>886.5</v>
      </c>
      <c r="R64" s="44" t="s">
        <v>30</v>
      </c>
      <c r="S64" s="41">
        <f>=IF(OR(Q64="", R64=""), "-", IF(ISNUMBER(SEARCH("7 Günlük", R64)), IF(Q64&lt;=M64, O64, "-"), "-"))</f>
        <v>12.3</v>
      </c>
      <c r="T64" s="44" t="str">
        <f>=IF(ISBLANK(Q64), "", "Hayır")</f>
        <v>Hayır</v>
      </c>
      <c r="V64" s="44" t="s">
        <v>31</v>
      </c>
    </row>
    <row r="65">
      <c r="A65" s="44" t="s">
        <v>171</v>
      </c>
      <c r="B65" s="44" t="s">
        <v>172</v>
      </c>
      <c r="C65" s="44" t="s">
        <v>173</v>
      </c>
      <c r="D65" s="44" t="s">
        <v>174</v>
      </c>
      <c r="E65" s="44" t="s">
        <v>44</v>
      </c>
      <c r="F65" s="44" t="s">
        <v>175</v>
      </c>
      <c r="G65" s="44" t="s">
        <v>27</v>
      </c>
      <c r="H65" s="44" t="s">
        <v>28</v>
      </c>
      <c r="I65" s="44">
        <v>990</v>
      </c>
      <c r="J65" s="44">
        <v>799</v>
      </c>
      <c r="K65" s="44">
        <v>799</v>
      </c>
      <c r="L65" s="44">
        <v>22</v>
      </c>
      <c r="M65" s="44">
        <v>559.6</v>
      </c>
      <c r="N65" s="44" t="s">
        <v>29</v>
      </c>
      <c r="O65" s="44">
        <v>16.2</v>
      </c>
      <c r="P65" s="44">
        <v>799</v>
      </c>
      <c r="Q65" s="41">
        <v>559.6</v>
      </c>
      <c r="R65" s="44" t="s">
        <v>30</v>
      </c>
      <c r="S65" s="41">
        <f>=IF(OR(Q65="", R65=""), "-", IF(ISNUMBER(SEARCH("7 Günlük", R65)), IF(Q65&lt;=M65, O65, "-"), "-"))</f>
        <v>16.2</v>
      </c>
      <c r="T65" s="44" t="str">
        <f>=IF(ISBLANK(Q65), "", "Hayır")</f>
        <v>Hayır</v>
      </c>
      <c r="V65" s="44" t="s">
        <v>31</v>
      </c>
    </row>
    <row r="66">
      <c r="A66" s="44" t="s">
        <v>171</v>
      </c>
      <c r="B66" s="44" t="s">
        <v>172</v>
      </c>
      <c r="C66" s="44" t="s">
        <v>176</v>
      </c>
      <c r="D66" s="44" t="s">
        <v>177</v>
      </c>
      <c r="E66" s="44" t="s">
        <v>25</v>
      </c>
      <c r="F66" s="44" t="s">
        <v>175</v>
      </c>
      <c r="G66" s="44" t="s">
        <v>27</v>
      </c>
      <c r="H66" s="44" t="s">
        <v>28</v>
      </c>
      <c r="I66" s="44">
        <v>985</v>
      </c>
      <c r="J66" s="44">
        <v>988</v>
      </c>
      <c r="K66" s="44">
        <v>988</v>
      </c>
      <c r="L66" s="44">
        <v>22</v>
      </c>
      <c r="M66" s="44">
        <v>639.45</v>
      </c>
      <c r="N66" s="44" t="s">
        <v>29</v>
      </c>
      <c r="O66" s="44">
        <v>16.6</v>
      </c>
      <c r="P66" s="44">
        <v>988</v>
      </c>
      <c r="Q66" s="41">
        <v>639.45</v>
      </c>
      <c r="R66" s="44" t="s">
        <v>30</v>
      </c>
      <c r="S66" s="41">
        <f>=IF(OR(Q66="", R66=""), "-", IF(ISNUMBER(SEARCH("7 Günlük", R66)), IF(Q66&lt;=M66, O66, "-"), "-"))</f>
        <v>16.6</v>
      </c>
      <c r="T66" s="44" t="str">
        <f>=IF(ISBLANK(Q66), "", "Hayır")</f>
        <v>Hayır</v>
      </c>
      <c r="V66" s="44" t="s">
        <v>31</v>
      </c>
    </row>
    <row r="67">
      <c r="A67" s="44" t="s">
        <v>178</v>
      </c>
      <c r="B67" s="44" t="s">
        <v>179</v>
      </c>
      <c r="C67" s="44" t="s">
        <v>180</v>
      </c>
      <c r="D67" s="44" t="s">
        <v>180</v>
      </c>
      <c r="E67" s="44" t="s">
        <v>44</v>
      </c>
      <c r="F67" s="44" t="s">
        <v>181</v>
      </c>
      <c r="G67" s="44" t="s">
        <v>27</v>
      </c>
      <c r="H67" s="44" t="s">
        <v>28</v>
      </c>
      <c r="I67" s="44">
        <v>990</v>
      </c>
      <c r="J67" s="44">
        <v>769</v>
      </c>
      <c r="K67" s="44">
        <v>769</v>
      </c>
      <c r="L67" s="44">
        <v>22</v>
      </c>
      <c r="M67" s="44">
        <v>545.34</v>
      </c>
      <c r="N67" s="44" t="s">
        <v>29</v>
      </c>
      <c r="O67" s="44">
        <v>15.9</v>
      </c>
      <c r="P67" s="44">
        <v>769</v>
      </c>
      <c r="Q67" s="41">
        <v>545.34</v>
      </c>
      <c r="R67" s="44" t="s">
        <v>30</v>
      </c>
      <c r="S67" s="41">
        <f>=IF(OR(Q67="", R67=""), "-", IF(ISNUMBER(SEARCH("7 Günlük", R67)), IF(Q67&lt;=M67, O67, "-"), "-"))</f>
        <v>15.9</v>
      </c>
      <c r="T67" s="44" t="str">
        <f>=IF(ISBLANK(Q67), "", "Hayır")</f>
        <v>Hayır</v>
      </c>
      <c r="V67" s="44" t="s">
        <v>31</v>
      </c>
    </row>
    <row r="68">
      <c r="A68" s="44" t="s">
        <v>178</v>
      </c>
      <c r="B68" s="44" t="s">
        <v>179</v>
      </c>
      <c r="C68" s="44" t="s">
        <v>182</v>
      </c>
      <c r="D68" s="44" t="s">
        <v>182</v>
      </c>
      <c r="E68" s="44" t="s">
        <v>25</v>
      </c>
      <c r="F68" s="44" t="s">
        <v>181</v>
      </c>
      <c r="G68" s="44" t="s">
        <v>27</v>
      </c>
      <c r="H68" s="44" t="s">
        <v>28</v>
      </c>
      <c r="I68" s="44">
        <v>977</v>
      </c>
      <c r="J68" s="44">
        <v>879</v>
      </c>
      <c r="K68" s="44">
        <v>879</v>
      </c>
      <c r="L68" s="44">
        <v>22</v>
      </c>
      <c r="M68" s="44">
        <v>629.1799999999999</v>
      </c>
      <c r="N68" s="44" t="s">
        <v>29</v>
      </c>
      <c r="O68" s="44">
        <v>17.3</v>
      </c>
      <c r="P68" s="44">
        <v>879</v>
      </c>
      <c r="Q68" s="41">
        <v>629.1799999999999</v>
      </c>
      <c r="R68" s="44" t="s">
        <v>30</v>
      </c>
      <c r="S68" s="41">
        <f>=IF(OR(Q68="", R68=""), "-", IF(ISNUMBER(SEARCH("7 Günlük", R68)), IF(Q68&lt;=M68, O68, "-"), "-"))</f>
        <v>17.3</v>
      </c>
      <c r="T68" s="44" t="str">
        <f>=IF(ISBLANK(Q68), "", "Hayır")</f>
        <v>Hayır</v>
      </c>
      <c r="V68" s="44" t="s">
        <v>31</v>
      </c>
    </row>
    <row r="69">
      <c r="A69" s="44" t="s">
        <v>183</v>
      </c>
      <c r="B69" s="44" t="s">
        <v>184</v>
      </c>
      <c r="C69" s="44" t="s">
        <v>185</v>
      </c>
      <c r="D69" s="44" t="s">
        <v>185</v>
      </c>
      <c r="E69" s="44" t="s">
        <v>48</v>
      </c>
      <c r="F69" s="44" t="s">
        <v>186</v>
      </c>
      <c r="G69" s="44" t="s">
        <v>27</v>
      </c>
      <c r="H69" s="44" t="s">
        <v>28</v>
      </c>
      <c r="I69" s="44">
        <v>998</v>
      </c>
      <c r="J69" s="44">
        <v>620.7</v>
      </c>
      <c r="K69" s="44">
        <v>620.7</v>
      </c>
      <c r="L69" s="44">
        <v>22</v>
      </c>
      <c r="N69" s="44" t="s">
        <v>29</v>
      </c>
      <c r="P69" s="44">
        <v>620.7</v>
      </c>
      <c r="R69" s="44" t="s">
        <v>30</v>
      </c>
      <c r="S69" s="41" t="str">
        <f>=IF(OR(Q69="", R69=""), "-", IF(ISNUMBER(SEARCH("7 Günlük", R69)), IF(Q69&lt;=M69, O69, "-"), "-"))</f>
        <v>-</v>
      </c>
      <c r="T69" s="44" t="str">
        <f>=IF(ISBLANK(Q69), "", "Hayır")</f>
        <v/>
      </c>
      <c r="V69" s="44" t="s">
        <v>31</v>
      </c>
    </row>
    <row r="70">
      <c r="A70" s="44" t="s">
        <v>183</v>
      </c>
      <c r="B70" s="44" t="s">
        <v>184</v>
      </c>
      <c r="C70" s="44" t="s">
        <v>187</v>
      </c>
      <c r="D70" s="44" t="s">
        <v>187</v>
      </c>
      <c r="E70" s="44" t="s">
        <v>188</v>
      </c>
      <c r="F70" s="44" t="s">
        <v>186</v>
      </c>
      <c r="G70" s="44" t="s">
        <v>27</v>
      </c>
      <c r="H70" s="44" t="s">
        <v>28</v>
      </c>
      <c r="I70" s="44">
        <v>999</v>
      </c>
      <c r="J70" s="44">
        <v>1848</v>
      </c>
      <c r="K70" s="44">
        <v>1336.65</v>
      </c>
      <c r="L70" s="44">
        <v>20.3</v>
      </c>
      <c r="M70" s="44">
        <v>1114.29</v>
      </c>
      <c r="N70" s="44" t="s">
        <v>29</v>
      </c>
      <c r="O70" s="44">
        <v>15.3</v>
      </c>
      <c r="P70" s="44">
        <v>1336.65</v>
      </c>
      <c r="Q70" s="41">
        <v>1114.29</v>
      </c>
      <c r="R70" s="44" t="s">
        <v>30</v>
      </c>
      <c r="S70" s="41">
        <f>=IF(OR(Q70="", R70=""), "-", IF(ISNUMBER(SEARCH("7 Günlük", R70)), IF(Q70&lt;=M70, O70, "-"), "-"))</f>
        <v>15.3</v>
      </c>
      <c r="T70" s="44" t="str">
        <f>=IF(ISBLANK(Q70), "", "Hayır")</f>
        <v>Hayır</v>
      </c>
      <c r="V70" s="44" t="s">
        <v>31</v>
      </c>
    </row>
    <row r="71">
      <c r="A71" s="44" t="s">
        <v>183</v>
      </c>
      <c r="B71" s="44" t="s">
        <v>184</v>
      </c>
      <c r="C71" s="44" t="s">
        <v>189</v>
      </c>
      <c r="D71" s="44" t="s">
        <v>189</v>
      </c>
      <c r="E71" s="44" t="s">
        <v>190</v>
      </c>
      <c r="F71" s="44" t="s">
        <v>186</v>
      </c>
      <c r="G71" s="44" t="s">
        <v>27</v>
      </c>
      <c r="H71" s="44" t="s">
        <v>28</v>
      </c>
      <c r="I71" s="44">
        <v>976</v>
      </c>
      <c r="J71" s="44">
        <v>999</v>
      </c>
      <c r="K71" s="44">
        <v>644.35</v>
      </c>
      <c r="L71" s="44">
        <v>18.1</v>
      </c>
      <c r="M71" s="44">
        <v>578.48</v>
      </c>
      <c r="N71" s="44" t="s">
        <v>29</v>
      </c>
      <c r="O71" s="44">
        <v>13.7</v>
      </c>
      <c r="P71" s="44">
        <v>644.35</v>
      </c>
      <c r="Q71" s="41">
        <v>578.48</v>
      </c>
      <c r="R71" s="44" t="s">
        <v>30</v>
      </c>
      <c r="S71" s="41">
        <f>=IF(OR(Q71="", R71=""), "-", IF(ISNUMBER(SEARCH("7 Günlük", R71)), IF(Q71&lt;=M71, O71, "-"), "-"))</f>
        <v>13.7</v>
      </c>
      <c r="T71" s="44" t="str">
        <f>=IF(ISBLANK(Q71), "", "Hayır")</f>
        <v>Hayır</v>
      </c>
      <c r="V71" s="44" t="s">
        <v>31</v>
      </c>
    </row>
    <row r="72">
      <c r="A72" s="44" t="s">
        <v>191</v>
      </c>
      <c r="B72" s="44" t="s">
        <v>192</v>
      </c>
      <c r="C72" s="44" t="s">
        <v>193</v>
      </c>
      <c r="D72" s="44" t="s">
        <v>193</v>
      </c>
      <c r="E72" s="44" t="s">
        <v>188</v>
      </c>
      <c r="F72" s="44" t="s">
        <v>194</v>
      </c>
      <c r="G72" s="44" t="s">
        <v>27</v>
      </c>
      <c r="H72" s="44" t="s">
        <v>28</v>
      </c>
      <c r="I72" s="44">
        <v>999</v>
      </c>
      <c r="J72" s="44">
        <v>1848</v>
      </c>
      <c r="K72" s="44">
        <v>1330.78</v>
      </c>
      <c r="L72" s="44">
        <v>20.5</v>
      </c>
      <c r="M72" s="44">
        <v>1145.1</v>
      </c>
      <c r="N72" s="44" t="s">
        <v>29</v>
      </c>
      <c r="O72" s="44">
        <v>16.1</v>
      </c>
      <c r="P72" s="44">
        <v>1330.78</v>
      </c>
      <c r="Q72" s="41">
        <v>1145.1</v>
      </c>
      <c r="R72" s="44" t="s">
        <v>30</v>
      </c>
      <c r="S72" s="41">
        <f>=IF(OR(Q72="", R72=""), "-", IF(ISNUMBER(SEARCH("7 Günlük", R72)), IF(Q72&lt;=M72, O72, "-"), "-"))</f>
        <v>16.1</v>
      </c>
      <c r="T72" s="44" t="str">
        <f>=IF(ISBLANK(Q72), "", "Hayır")</f>
        <v>Hayır</v>
      </c>
      <c r="V72" s="44" t="s">
        <v>31</v>
      </c>
    </row>
    <row r="73">
      <c r="A73" s="44" t="s">
        <v>54</v>
      </c>
      <c r="B73" s="44" t="s">
        <v>195</v>
      </c>
      <c r="C73" s="44" t="s">
        <v>196</v>
      </c>
      <c r="D73" s="44" t="s">
        <v>196</v>
      </c>
      <c r="E73" s="44" t="s">
        <v>125</v>
      </c>
      <c r="F73" s="44" t="s">
        <v>57</v>
      </c>
      <c r="G73" s="44" t="s">
        <v>27</v>
      </c>
      <c r="H73" s="44" t="s">
        <v>28</v>
      </c>
      <c r="I73" s="44">
        <v>999</v>
      </c>
      <c r="J73" s="44">
        <v>20929</v>
      </c>
      <c r="K73" s="44">
        <v>13195.57</v>
      </c>
      <c r="L73" s="44">
        <v>20.1</v>
      </c>
      <c r="M73" s="44">
        <v>10980.26</v>
      </c>
      <c r="N73" s="44" t="s">
        <v>29</v>
      </c>
      <c r="O73" s="44">
        <v>14.3</v>
      </c>
      <c r="P73" s="44">
        <v>13195.57</v>
      </c>
      <c r="Q73" s="41">
        <v>10980.26</v>
      </c>
      <c r="R73" s="44" t="s">
        <v>30</v>
      </c>
      <c r="S73" s="41">
        <f>=IF(OR(Q73="", R73=""), "-", IF(ISNUMBER(SEARCH("7 Günlük", R73)), IF(Q73&lt;=M73, O73, "-"), "-"))</f>
        <v>14.3</v>
      </c>
      <c r="T73" s="44" t="str">
        <f>=IF(ISBLANK(Q73), "", "Hayır")</f>
        <v>Hayır</v>
      </c>
      <c r="V73" s="44" t="s">
        <v>31</v>
      </c>
    </row>
    <row r="74">
      <c r="A74" s="44" t="s">
        <v>54</v>
      </c>
      <c r="B74" s="44" t="s">
        <v>195</v>
      </c>
      <c r="C74" s="44" t="s">
        <v>197</v>
      </c>
      <c r="D74" s="44" t="s">
        <v>197</v>
      </c>
      <c r="E74" s="44" t="s">
        <v>198</v>
      </c>
      <c r="F74" s="44" t="s">
        <v>57</v>
      </c>
      <c r="G74" s="44" t="s">
        <v>27</v>
      </c>
      <c r="H74" s="44" t="s">
        <v>28</v>
      </c>
      <c r="I74" s="44">
        <v>999</v>
      </c>
      <c r="J74" s="44">
        <v>4191</v>
      </c>
      <c r="K74" s="44">
        <v>2755.81</v>
      </c>
      <c r="L74" s="44">
        <v>20.3</v>
      </c>
      <c r="M74" s="44">
        <v>2331.68</v>
      </c>
      <c r="N74" s="44" t="s">
        <v>29</v>
      </c>
      <c r="O74" s="44">
        <v>15.4</v>
      </c>
      <c r="P74" s="44">
        <v>2755.81</v>
      </c>
      <c r="Q74" s="41">
        <v>2331.68</v>
      </c>
      <c r="R74" s="44" t="s">
        <v>30</v>
      </c>
      <c r="S74" s="41">
        <f>=IF(OR(Q74="", R74=""), "-", IF(ISNUMBER(SEARCH("7 Günlük", R74)), IF(Q74&lt;=M74, O74, "-"), "-"))</f>
        <v>15.4</v>
      </c>
      <c r="T74" s="44" t="str">
        <f>=IF(ISBLANK(Q74), "", "Hayır")</f>
        <v>Hayır</v>
      </c>
      <c r="V74" s="44" t="s">
        <v>31</v>
      </c>
    </row>
    <row r="75">
      <c r="A75" s="44" t="s">
        <v>54</v>
      </c>
      <c r="B75" s="44" t="s">
        <v>195</v>
      </c>
      <c r="C75" s="44" t="s">
        <v>199</v>
      </c>
      <c r="D75" s="44" t="s">
        <v>199</v>
      </c>
      <c r="E75" s="44" t="s">
        <v>200</v>
      </c>
      <c r="F75" s="44" t="s">
        <v>57</v>
      </c>
      <c r="G75" s="44" t="s">
        <v>27</v>
      </c>
      <c r="H75" s="44" t="s">
        <v>28</v>
      </c>
      <c r="I75" s="44">
        <v>999</v>
      </c>
      <c r="J75" s="44">
        <v>18771</v>
      </c>
      <c r="K75" s="44">
        <v>12055.46</v>
      </c>
      <c r="L75" s="44">
        <v>20.2</v>
      </c>
      <c r="M75" s="44">
        <v>10065.23</v>
      </c>
      <c r="N75" s="44" t="s">
        <v>29</v>
      </c>
      <c r="O75" s="44">
        <v>14.6</v>
      </c>
      <c r="P75" s="44">
        <v>12055.46</v>
      </c>
      <c r="Q75" s="41">
        <v>10065.23</v>
      </c>
      <c r="R75" s="44" t="s">
        <v>30</v>
      </c>
      <c r="S75" s="41">
        <f>=IF(OR(Q75="", R75=""), "-", IF(ISNUMBER(SEARCH("7 Günlük", R75)), IF(Q75&lt;=M75, O75, "-"), "-"))</f>
        <v>14.6</v>
      </c>
      <c r="T75" s="44" t="str">
        <f>=IF(ISBLANK(Q75), "", "Hayır")</f>
        <v>Hayır</v>
      </c>
      <c r="V75" s="44" t="s">
        <v>31</v>
      </c>
    </row>
    <row r="76">
      <c r="A76" s="44" t="s">
        <v>54</v>
      </c>
      <c r="B76" s="44" t="s">
        <v>195</v>
      </c>
      <c r="C76" s="44" t="s">
        <v>201</v>
      </c>
      <c r="D76" s="44" t="s">
        <v>201</v>
      </c>
      <c r="E76" s="44" t="s">
        <v>202</v>
      </c>
      <c r="F76" s="44" t="s">
        <v>57</v>
      </c>
      <c r="G76" s="44" t="s">
        <v>27</v>
      </c>
      <c r="H76" s="44" t="s">
        <v>28</v>
      </c>
      <c r="I76" s="44">
        <v>999</v>
      </c>
      <c r="J76" s="44">
        <v>16611</v>
      </c>
      <c r="K76" s="44">
        <v>10916.64</v>
      </c>
      <c r="L76" s="44">
        <v>20.2</v>
      </c>
      <c r="M76" s="44">
        <v>8938.82</v>
      </c>
      <c r="N76" s="44" t="s">
        <v>29</v>
      </c>
      <c r="O76" s="44">
        <v>14.7</v>
      </c>
      <c r="P76" s="44">
        <v>10916.64</v>
      </c>
      <c r="Q76" s="41">
        <v>8938.82</v>
      </c>
      <c r="R76" s="44" t="s">
        <v>30</v>
      </c>
      <c r="S76" s="41">
        <f>=IF(OR(Q76="", R76=""), "-", IF(ISNUMBER(SEARCH("7 Günlük", R76)), IF(Q76&lt;=M76, O76, "-"), "-"))</f>
        <v>14.7</v>
      </c>
      <c r="T76" s="44" t="str">
        <f>=IF(ISBLANK(Q76), "", "Hayır")</f>
        <v>Hayır</v>
      </c>
      <c r="V76" s="44" t="s">
        <v>31</v>
      </c>
    </row>
    <row r="77">
      <c r="A77" s="44" t="s">
        <v>54</v>
      </c>
      <c r="B77" s="44" t="s">
        <v>195</v>
      </c>
      <c r="C77" s="44" t="s">
        <v>203</v>
      </c>
      <c r="D77" s="44" t="s">
        <v>203</v>
      </c>
      <c r="E77" s="44" t="s">
        <v>40</v>
      </c>
      <c r="F77" s="44" t="s">
        <v>57</v>
      </c>
      <c r="G77" s="44" t="s">
        <v>27</v>
      </c>
      <c r="H77" s="44" t="s">
        <v>28</v>
      </c>
      <c r="I77" s="44">
        <v>999</v>
      </c>
      <c r="J77" s="44">
        <v>25146</v>
      </c>
      <c r="K77" s="44">
        <v>15669.06</v>
      </c>
      <c r="L77" s="44">
        <v>19.8</v>
      </c>
      <c r="M77" s="44">
        <v>12461.64</v>
      </c>
      <c r="N77" s="44" t="s">
        <v>29</v>
      </c>
      <c r="O77" s="44">
        <v>12.5</v>
      </c>
      <c r="P77" s="44">
        <v>15669.06</v>
      </c>
      <c r="Q77" s="41">
        <v>12461.64</v>
      </c>
      <c r="R77" s="44" t="s">
        <v>30</v>
      </c>
      <c r="S77" s="41">
        <f>=IF(OR(Q77="", R77=""), "-", IF(ISNUMBER(SEARCH("7 Günlük", R77)), IF(Q77&lt;=M77, O77, "-"), "-"))</f>
        <v>12.5</v>
      </c>
      <c r="T77" s="44" t="str">
        <f>=IF(ISBLANK(Q77), "", "Hayır")</f>
        <v>Hayır</v>
      </c>
      <c r="V77" s="44" t="s">
        <v>31</v>
      </c>
    </row>
    <row r="78">
      <c r="A78" s="44" t="s">
        <v>54</v>
      </c>
      <c r="B78" s="44" t="s">
        <v>195</v>
      </c>
      <c r="C78" s="44" t="s">
        <v>204</v>
      </c>
      <c r="D78" s="44" t="s">
        <v>204</v>
      </c>
      <c r="E78" s="44" t="s">
        <v>205</v>
      </c>
      <c r="F78" s="44" t="s">
        <v>57</v>
      </c>
      <c r="G78" s="44" t="s">
        <v>27</v>
      </c>
      <c r="H78" s="44" t="s">
        <v>28</v>
      </c>
      <c r="I78" s="44">
        <v>999</v>
      </c>
      <c r="J78" s="44">
        <v>10919</v>
      </c>
      <c r="K78" s="44">
        <v>7074.57</v>
      </c>
      <c r="L78" s="44">
        <v>20.2</v>
      </c>
      <c r="M78" s="44">
        <v>6224.62</v>
      </c>
      <c r="N78" s="44" t="s">
        <v>29</v>
      </c>
      <c r="O78" s="44">
        <v>14.8</v>
      </c>
      <c r="P78" s="44">
        <v>7074.57</v>
      </c>
      <c r="Q78" s="41">
        <v>6224.62</v>
      </c>
      <c r="R78" s="44" t="s">
        <v>30</v>
      </c>
      <c r="S78" s="41">
        <f>=IF(OR(Q78="", R78=""), "-", IF(ISNUMBER(SEARCH("7 Günlük", R78)), IF(Q78&lt;=M78, O78, "-"), "-"))</f>
        <v>14.8</v>
      </c>
      <c r="T78" s="44" t="str">
        <f>=IF(ISBLANK(Q78), "", "Hayır")</f>
        <v>Hayır</v>
      </c>
      <c r="V78" s="44" t="s">
        <v>31</v>
      </c>
    </row>
    <row r="79">
      <c r="A79" s="44" t="s">
        <v>54</v>
      </c>
      <c r="B79" s="44" t="s">
        <v>195</v>
      </c>
      <c r="C79" s="44" t="s">
        <v>206</v>
      </c>
      <c r="D79" s="44" t="s">
        <v>206</v>
      </c>
      <c r="E79" s="44" t="s">
        <v>127</v>
      </c>
      <c r="F79" s="44" t="s">
        <v>57</v>
      </c>
      <c r="G79" s="44" t="s">
        <v>27</v>
      </c>
      <c r="H79" s="44" t="s">
        <v>28</v>
      </c>
      <c r="I79" s="44">
        <v>999</v>
      </c>
      <c r="J79" s="44">
        <v>8254</v>
      </c>
      <c r="K79" s="44">
        <v>5260.55</v>
      </c>
      <c r="L79" s="44">
        <v>20.1</v>
      </c>
      <c r="M79" s="44">
        <v>4316.79</v>
      </c>
      <c r="N79" s="44" t="s">
        <v>29</v>
      </c>
      <c r="O79" s="44">
        <v>14.5</v>
      </c>
      <c r="P79" s="44">
        <v>5260.55</v>
      </c>
      <c r="Q79" s="41">
        <v>4316.79</v>
      </c>
      <c r="R79" s="44" t="s">
        <v>30</v>
      </c>
      <c r="S79" s="41">
        <f>=IF(OR(Q79="", R79=""), "-", IF(ISNUMBER(SEARCH("7 Günlük", R79)), IF(Q79&lt;=M79, O79, "-"), "-"))</f>
        <v>14.5</v>
      </c>
      <c r="T79" s="44" t="str">
        <f>=IF(ISBLANK(Q79), "", "Hayır")</f>
        <v>Hayır</v>
      </c>
      <c r="V79" s="44" t="s">
        <v>31</v>
      </c>
    </row>
    <row r="80">
      <c r="A80" s="44" t="s">
        <v>54</v>
      </c>
      <c r="B80" s="44" t="s">
        <v>195</v>
      </c>
      <c r="C80" s="44" t="s">
        <v>207</v>
      </c>
      <c r="D80" s="44" t="s">
        <v>207</v>
      </c>
      <c r="E80" s="44" t="s">
        <v>95</v>
      </c>
      <c r="F80" s="44" t="s">
        <v>57</v>
      </c>
      <c r="G80" s="44" t="s">
        <v>27</v>
      </c>
      <c r="H80" s="44" t="s">
        <v>28</v>
      </c>
      <c r="I80" s="44">
        <v>999</v>
      </c>
      <c r="J80" s="44">
        <v>9510</v>
      </c>
      <c r="K80" s="44">
        <v>6188.62</v>
      </c>
      <c r="L80" s="44">
        <v>20.2</v>
      </c>
      <c r="M80" s="44">
        <v>5164.51</v>
      </c>
      <c r="N80" s="44" t="s">
        <v>29</v>
      </c>
      <c r="O80" s="44">
        <v>15</v>
      </c>
      <c r="P80" s="44">
        <v>6188.62</v>
      </c>
      <c r="Q80" s="41">
        <v>5164.51</v>
      </c>
      <c r="R80" s="44" t="s">
        <v>30</v>
      </c>
      <c r="S80" s="41">
        <f>=IF(OR(Q80="", R80=""), "-", IF(ISNUMBER(SEARCH("7 Günlük", R80)), IF(Q80&lt;=M80, O80, "-"), "-"))</f>
        <v>15.0</v>
      </c>
      <c r="T80" s="44" t="str">
        <f>=IF(ISBLANK(Q80), "", "Hayır")</f>
        <v>Hayır</v>
      </c>
      <c r="V80" s="44" t="s">
        <v>31</v>
      </c>
    </row>
    <row r="81">
      <c r="A81" s="44" t="s">
        <v>54</v>
      </c>
      <c r="B81" s="44" t="s">
        <v>195</v>
      </c>
      <c r="C81" s="44" t="s">
        <v>208</v>
      </c>
      <c r="D81" s="44" t="s">
        <v>208</v>
      </c>
      <c r="E81" s="44" t="s">
        <v>46</v>
      </c>
      <c r="F81" s="44" t="s">
        <v>57</v>
      </c>
      <c r="G81" s="44" t="s">
        <v>27</v>
      </c>
      <c r="H81" s="44" t="s">
        <v>28</v>
      </c>
      <c r="I81" s="44">
        <v>999</v>
      </c>
      <c r="J81" s="44">
        <v>9731</v>
      </c>
      <c r="K81" s="44">
        <v>6541.57</v>
      </c>
      <c r="L81" s="44">
        <v>21.1</v>
      </c>
      <c r="M81" s="44">
        <v>4672.02</v>
      </c>
      <c r="N81" s="44" t="s">
        <v>29</v>
      </c>
      <c r="O81" s="44">
        <v>12.8</v>
      </c>
      <c r="P81" s="44">
        <v>6541.57</v>
      </c>
      <c r="Q81" s="41">
        <v>4672.02</v>
      </c>
      <c r="R81" s="44" t="s">
        <v>30</v>
      </c>
      <c r="S81" s="41">
        <f>=IF(OR(Q81="", R81=""), "-", IF(ISNUMBER(SEARCH("7 Günlük", R81)), IF(Q81&lt;=M81, O81, "-"), "-"))</f>
        <v>12.8</v>
      </c>
      <c r="T81" s="44" t="str">
        <f>=IF(ISBLANK(Q81), "", "Hayır")</f>
        <v>Hayır</v>
      </c>
      <c r="V81" s="44" t="s">
        <v>31</v>
      </c>
    </row>
    <row r="82">
      <c r="A82" s="44" t="s">
        <v>54</v>
      </c>
      <c r="B82" s="44" t="s">
        <v>195</v>
      </c>
      <c r="C82" s="44" t="s">
        <v>209</v>
      </c>
      <c r="D82" s="44" t="s">
        <v>209</v>
      </c>
      <c r="E82" s="44" t="s">
        <v>210</v>
      </c>
      <c r="F82" s="44" t="s">
        <v>57</v>
      </c>
      <c r="G82" s="44" t="s">
        <v>27</v>
      </c>
      <c r="H82" s="44" t="s">
        <v>28</v>
      </c>
      <c r="I82" s="44">
        <v>999</v>
      </c>
      <c r="J82" s="44">
        <v>11436</v>
      </c>
      <c r="K82" s="44">
        <v>7436.24</v>
      </c>
      <c r="L82" s="44">
        <v>19.3</v>
      </c>
      <c r="M82" s="44">
        <v>7095.09</v>
      </c>
      <c r="N82" s="44" t="s">
        <v>29</v>
      </c>
      <c r="O82" s="44">
        <v>16.5</v>
      </c>
      <c r="P82" s="44">
        <v>7436.24</v>
      </c>
      <c r="Q82" s="41">
        <v>7095.09</v>
      </c>
      <c r="R82" s="44" t="s">
        <v>30</v>
      </c>
      <c r="S82" s="41">
        <f>=IF(OR(Q82="", R82=""), "-", IF(ISNUMBER(SEARCH("7 Günlük", R82)), IF(Q82&lt;=M82, O82, "-"), "-"))</f>
        <v>16.5</v>
      </c>
      <c r="T82" s="44" t="str">
        <f>=IF(ISBLANK(Q82), "", "Hayır")</f>
        <v>Hayır</v>
      </c>
      <c r="V82" s="44" t="s">
        <v>31</v>
      </c>
    </row>
    <row r="83">
      <c r="A83" s="44" t="s">
        <v>54</v>
      </c>
      <c r="B83" s="44" t="s">
        <v>195</v>
      </c>
      <c r="C83" s="44" t="s">
        <v>211</v>
      </c>
      <c r="D83" s="44" t="s">
        <v>211</v>
      </c>
      <c r="E83" s="44" t="s">
        <v>44</v>
      </c>
      <c r="F83" s="44" t="s">
        <v>57</v>
      </c>
      <c r="G83" s="44" t="s">
        <v>27</v>
      </c>
      <c r="H83" s="44" t="s">
        <v>28</v>
      </c>
      <c r="I83" s="44">
        <v>995</v>
      </c>
      <c r="J83" s="44">
        <v>399</v>
      </c>
      <c r="K83" s="44">
        <v>399</v>
      </c>
      <c r="L83" s="44">
        <v>22</v>
      </c>
      <c r="M83" s="44">
        <v>300.53</v>
      </c>
      <c r="N83" s="44" t="s">
        <v>29</v>
      </c>
      <c r="O83" s="44">
        <v>16.7</v>
      </c>
      <c r="P83" s="44">
        <v>399</v>
      </c>
      <c r="Q83" s="41">
        <v>300.53</v>
      </c>
      <c r="R83" s="44" t="s">
        <v>30</v>
      </c>
      <c r="S83" s="41">
        <f>=IF(OR(Q83="", R83=""), "-", IF(ISNUMBER(SEARCH("7 Günlük", R83)), IF(Q83&lt;=M83, O83, "-"), "-"))</f>
        <v>16.7</v>
      </c>
      <c r="T83" s="44" t="str">
        <f>=IF(ISBLANK(Q83), "", "Hayır")</f>
        <v>Hayır</v>
      </c>
      <c r="V83" s="44" t="s">
        <v>31</v>
      </c>
    </row>
    <row r="84">
      <c r="A84" s="44" t="s">
        <v>54</v>
      </c>
      <c r="B84" s="44" t="s">
        <v>195</v>
      </c>
      <c r="C84" s="44" t="s">
        <v>212</v>
      </c>
      <c r="D84" s="44" t="s">
        <v>212</v>
      </c>
      <c r="E84" s="44" t="s">
        <v>213</v>
      </c>
      <c r="F84" s="44" t="s">
        <v>57</v>
      </c>
      <c r="G84" s="44" t="s">
        <v>27</v>
      </c>
      <c r="H84" s="44" t="s">
        <v>28</v>
      </c>
      <c r="I84" s="44">
        <v>999</v>
      </c>
      <c r="J84" s="44">
        <v>11546</v>
      </c>
      <c r="K84" s="44">
        <v>7606.43</v>
      </c>
      <c r="L84" s="44">
        <v>20.2</v>
      </c>
      <c r="M84" s="44">
        <v>6233.41</v>
      </c>
      <c r="N84" s="44" t="s">
        <v>29</v>
      </c>
      <c r="O84" s="44">
        <v>14.7</v>
      </c>
      <c r="P84" s="44">
        <v>7606.43</v>
      </c>
      <c r="Q84" s="41">
        <v>6233.41</v>
      </c>
      <c r="R84" s="44" t="s">
        <v>30</v>
      </c>
      <c r="S84" s="41">
        <f>=IF(OR(Q84="", R84=""), "-", IF(ISNUMBER(SEARCH("7 Günlük", R84)), IF(Q84&lt;=M84, O84, "-"), "-"))</f>
        <v>14.7</v>
      </c>
      <c r="T84" s="44" t="str">
        <f>=IF(ISBLANK(Q84), "", "Hayır")</f>
        <v>Hayır</v>
      </c>
      <c r="V84" s="44" t="s">
        <v>31</v>
      </c>
    </row>
    <row r="85">
      <c r="A85" s="44" t="s">
        <v>54</v>
      </c>
      <c r="B85" s="44" t="s">
        <v>195</v>
      </c>
      <c r="C85" s="44" t="s">
        <v>214</v>
      </c>
      <c r="D85" s="44" t="s">
        <v>214</v>
      </c>
      <c r="E85" s="44" t="s">
        <v>215</v>
      </c>
      <c r="F85" s="44" t="s">
        <v>57</v>
      </c>
      <c r="G85" s="44" t="s">
        <v>27</v>
      </c>
      <c r="H85" s="44" t="s">
        <v>28</v>
      </c>
      <c r="I85" s="44">
        <v>999</v>
      </c>
      <c r="J85" s="44">
        <v>9731</v>
      </c>
      <c r="K85" s="44">
        <v>6361.91</v>
      </c>
      <c r="L85" s="44">
        <v>20.2</v>
      </c>
      <c r="M85" s="44">
        <v>5220.47</v>
      </c>
      <c r="N85" s="44" t="s">
        <v>29</v>
      </c>
      <c r="O85" s="44">
        <v>14.6</v>
      </c>
      <c r="P85" s="44">
        <v>6361.91</v>
      </c>
      <c r="Q85" s="41">
        <v>5220.47</v>
      </c>
      <c r="R85" s="44" t="s">
        <v>30</v>
      </c>
      <c r="S85" s="41">
        <f>=IF(OR(Q85="", R85=""), "-", IF(ISNUMBER(SEARCH("7 Günlük", R85)), IF(Q85&lt;=M85, O85, "-"), "-"))</f>
        <v>14.6</v>
      </c>
      <c r="T85" s="44" t="str">
        <f>=IF(ISBLANK(Q85), "", "Hayır")</f>
        <v>Hayır</v>
      </c>
      <c r="V85" s="44" t="s">
        <v>31</v>
      </c>
    </row>
    <row r="86">
      <c r="A86" s="44" t="s">
        <v>54</v>
      </c>
      <c r="B86" s="44" t="s">
        <v>195</v>
      </c>
      <c r="C86" s="44" t="s">
        <v>216</v>
      </c>
      <c r="D86" s="44" t="s">
        <v>216</v>
      </c>
      <c r="E86" s="44" t="s">
        <v>217</v>
      </c>
      <c r="F86" s="44" t="s">
        <v>57</v>
      </c>
      <c r="G86" s="44" t="s">
        <v>27</v>
      </c>
      <c r="H86" s="44" t="s">
        <v>28</v>
      </c>
      <c r="I86" s="44">
        <v>999</v>
      </c>
      <c r="J86" s="44">
        <v>12300</v>
      </c>
      <c r="K86" s="44">
        <v>7983.06</v>
      </c>
      <c r="L86" s="44">
        <v>19.3</v>
      </c>
      <c r="M86" s="44">
        <v>7641.02</v>
      </c>
      <c r="N86" s="44" t="s">
        <v>29</v>
      </c>
      <c r="O86" s="44">
        <v>16.6</v>
      </c>
      <c r="P86" s="44">
        <v>7983.06</v>
      </c>
      <c r="Q86" s="41">
        <v>7641.02</v>
      </c>
      <c r="R86" s="44" t="s">
        <v>30</v>
      </c>
      <c r="S86" s="41">
        <f>=IF(OR(Q86="", R86=""), "-", IF(ISNUMBER(SEARCH("7 Günlük", R86)), IF(Q86&lt;=M86, O86, "-"), "-"))</f>
        <v>16.6</v>
      </c>
      <c r="T86" s="44" t="str">
        <f>=IF(ISBLANK(Q86), "", "Hayır")</f>
        <v>Hayır</v>
      </c>
      <c r="V86" s="44" t="s">
        <v>31</v>
      </c>
    </row>
    <row r="87">
      <c r="A87" s="44" t="s">
        <v>54</v>
      </c>
      <c r="B87" s="44" t="s">
        <v>195</v>
      </c>
      <c r="C87" s="44" t="s">
        <v>218</v>
      </c>
      <c r="D87" s="44" t="s">
        <v>218</v>
      </c>
      <c r="E87" s="44" t="s">
        <v>109</v>
      </c>
      <c r="F87" s="44" t="s">
        <v>57</v>
      </c>
      <c r="G87" s="44" t="s">
        <v>27</v>
      </c>
      <c r="H87" s="44" t="s">
        <v>28</v>
      </c>
      <c r="I87" s="44">
        <v>999</v>
      </c>
      <c r="J87" s="44">
        <v>7103</v>
      </c>
      <c r="K87" s="44">
        <v>4658.81</v>
      </c>
      <c r="L87" s="44">
        <v>20.2</v>
      </c>
      <c r="M87" s="44">
        <v>3821.3</v>
      </c>
      <c r="N87" s="44" t="s">
        <v>29</v>
      </c>
      <c r="O87" s="44">
        <v>14.7</v>
      </c>
      <c r="P87" s="44">
        <v>4658.81</v>
      </c>
      <c r="Q87" s="41">
        <v>3821.3</v>
      </c>
      <c r="R87" s="44" t="s">
        <v>30</v>
      </c>
      <c r="S87" s="41">
        <f>=IF(OR(Q87="", R87=""), "-", IF(ISNUMBER(SEARCH("7 Günlük", R87)), IF(Q87&lt;=M87, O87, "-"), "-"))</f>
        <v>14.7</v>
      </c>
      <c r="T87" s="44" t="str">
        <f>=IF(ISBLANK(Q87), "", "Hayır")</f>
        <v>Hayır</v>
      </c>
      <c r="V87" s="44" t="s">
        <v>31</v>
      </c>
    </row>
    <row r="88">
      <c r="A88" s="44" t="s">
        <v>54</v>
      </c>
      <c r="B88" s="44" t="s">
        <v>195</v>
      </c>
      <c r="C88" s="44" t="s">
        <v>219</v>
      </c>
      <c r="D88" s="44" t="s">
        <v>219</v>
      </c>
      <c r="E88" s="44" t="s">
        <v>220</v>
      </c>
      <c r="F88" s="44" t="s">
        <v>57</v>
      </c>
      <c r="G88" s="44" t="s">
        <v>27</v>
      </c>
      <c r="H88" s="44" t="s">
        <v>28</v>
      </c>
      <c r="I88" s="44">
        <v>999</v>
      </c>
      <c r="J88" s="44">
        <v>7489</v>
      </c>
      <c r="K88" s="44">
        <v>4876.13</v>
      </c>
      <c r="L88" s="44">
        <v>20.2</v>
      </c>
      <c r="M88" s="44">
        <v>4025.32</v>
      </c>
      <c r="N88" s="44" t="s">
        <v>29</v>
      </c>
      <c r="O88" s="44">
        <v>14.8</v>
      </c>
      <c r="P88" s="44">
        <v>4876.13</v>
      </c>
      <c r="Q88" s="41">
        <v>4025.32</v>
      </c>
      <c r="R88" s="44" t="s">
        <v>30</v>
      </c>
      <c r="S88" s="41">
        <f>=IF(OR(Q88="", R88=""), "-", IF(ISNUMBER(SEARCH("7 Günlük", R88)), IF(Q88&lt;=M88, O88, "-"), "-"))</f>
        <v>14.8</v>
      </c>
      <c r="T88" s="44" t="str">
        <f>=IF(ISBLANK(Q88), "", "Hayır")</f>
        <v>Hayır</v>
      </c>
      <c r="V88" s="44" t="s">
        <v>31</v>
      </c>
    </row>
    <row r="89">
      <c r="A89" s="44" t="s">
        <v>54</v>
      </c>
      <c r="B89" s="44" t="s">
        <v>195</v>
      </c>
      <c r="C89" s="44" t="s">
        <v>221</v>
      </c>
      <c r="D89" s="44" t="s">
        <v>221</v>
      </c>
      <c r="E89" s="44" t="s">
        <v>222</v>
      </c>
      <c r="F89" s="44" t="s">
        <v>57</v>
      </c>
      <c r="G89" s="44" t="s">
        <v>27</v>
      </c>
      <c r="H89" s="44" t="s">
        <v>28</v>
      </c>
      <c r="I89" s="44">
        <v>999</v>
      </c>
      <c r="J89" s="44">
        <v>9213</v>
      </c>
      <c r="K89" s="44">
        <v>6000.18</v>
      </c>
      <c r="L89" s="44">
        <v>20.2</v>
      </c>
      <c r="M89" s="44">
        <v>4918.86</v>
      </c>
      <c r="N89" s="44" t="s">
        <v>29</v>
      </c>
      <c r="O89" s="44">
        <v>14.6</v>
      </c>
      <c r="P89" s="44">
        <v>6000.18</v>
      </c>
      <c r="Q89" s="41">
        <v>4918.86</v>
      </c>
      <c r="R89" s="44" t="s">
        <v>30</v>
      </c>
      <c r="S89" s="41">
        <f>=IF(OR(Q89="", R89=""), "-", IF(ISNUMBER(SEARCH("7 Günlük", R89)), IF(Q89&lt;=M89, O89, "-"), "-"))</f>
        <v>14.6</v>
      </c>
      <c r="T89" s="44" t="str">
        <f>=IF(ISBLANK(Q89), "", "Hayır")</f>
        <v>Hayır</v>
      </c>
      <c r="V89" s="44" t="s">
        <v>31</v>
      </c>
    </row>
    <row r="90">
      <c r="A90" s="44" t="s">
        <v>54</v>
      </c>
      <c r="B90" s="44" t="s">
        <v>195</v>
      </c>
      <c r="C90" s="44" t="s">
        <v>223</v>
      </c>
      <c r="D90" s="44" t="s">
        <v>223</v>
      </c>
      <c r="E90" s="44" t="s">
        <v>97</v>
      </c>
      <c r="F90" s="44" t="s">
        <v>57</v>
      </c>
      <c r="G90" s="44" t="s">
        <v>27</v>
      </c>
      <c r="H90" s="44" t="s">
        <v>28</v>
      </c>
      <c r="I90" s="44">
        <v>999</v>
      </c>
      <c r="J90" s="44">
        <v>15968</v>
      </c>
      <c r="K90" s="44">
        <v>10379.04</v>
      </c>
      <c r="L90" s="44">
        <v>20.2</v>
      </c>
      <c r="M90" s="44">
        <v>8816.18</v>
      </c>
      <c r="N90" s="44" t="s">
        <v>29</v>
      </c>
      <c r="O90" s="44">
        <v>15</v>
      </c>
      <c r="P90" s="44">
        <v>10379.04</v>
      </c>
      <c r="Q90" s="41">
        <v>8816.18</v>
      </c>
      <c r="R90" s="44" t="s">
        <v>30</v>
      </c>
      <c r="S90" s="41">
        <f>=IF(OR(Q90="", R90=""), "-", IF(ISNUMBER(SEARCH("7 Günlük", R90)), IF(Q90&lt;=M90, O90, "-"), "-"))</f>
        <v>15.0</v>
      </c>
      <c r="T90" s="44" t="str">
        <f>=IF(ISBLANK(Q90), "", "Hayır")</f>
        <v>Hayır</v>
      </c>
      <c r="V90" s="44" t="s">
        <v>31</v>
      </c>
    </row>
    <row r="91">
      <c r="A91" s="44" t="s">
        <v>54</v>
      </c>
      <c r="B91" s="44" t="s">
        <v>195</v>
      </c>
      <c r="C91" s="44" t="s">
        <v>224</v>
      </c>
      <c r="D91" s="44" t="s">
        <v>224</v>
      </c>
      <c r="E91" s="44" t="s">
        <v>117</v>
      </c>
      <c r="F91" s="44" t="s">
        <v>57</v>
      </c>
      <c r="G91" s="44" t="s">
        <v>27</v>
      </c>
      <c r="H91" s="44" t="s">
        <v>28</v>
      </c>
      <c r="I91" s="44">
        <v>999</v>
      </c>
      <c r="J91" s="44">
        <v>18338</v>
      </c>
      <c r="K91" s="44">
        <v>11875.99</v>
      </c>
      <c r="L91" s="44">
        <v>20.2</v>
      </c>
      <c r="M91" s="44">
        <v>10045.25</v>
      </c>
      <c r="N91" s="44" t="s">
        <v>29</v>
      </c>
      <c r="O91" s="44">
        <v>14.9</v>
      </c>
      <c r="P91" s="44">
        <v>11875.99</v>
      </c>
      <c r="Q91" s="41">
        <v>10045.25</v>
      </c>
      <c r="R91" s="44" t="s">
        <v>30</v>
      </c>
      <c r="S91" s="41">
        <f>=IF(OR(Q91="", R91=""), "-", IF(ISNUMBER(SEARCH("7 Günlük", R91)), IF(Q91&lt;=M91, O91, "-"), "-"))</f>
        <v>14.9</v>
      </c>
      <c r="T91" s="44" t="str">
        <f>=IF(ISBLANK(Q91), "", "Hayır")</f>
        <v>Hayır</v>
      </c>
      <c r="V91" s="44" t="s">
        <v>31</v>
      </c>
    </row>
    <row r="92">
      <c r="A92" s="44" t="s">
        <v>54</v>
      </c>
      <c r="B92" s="44" t="s">
        <v>195</v>
      </c>
      <c r="C92" s="44" t="s">
        <v>225</v>
      </c>
      <c r="D92" s="44" t="s">
        <v>225</v>
      </c>
      <c r="E92" s="44" t="s">
        <v>123</v>
      </c>
      <c r="F92" s="44" t="s">
        <v>57</v>
      </c>
      <c r="G92" s="44" t="s">
        <v>27</v>
      </c>
      <c r="H92" s="44" t="s">
        <v>28</v>
      </c>
      <c r="I92" s="44">
        <v>999</v>
      </c>
      <c r="J92" s="44">
        <v>15427</v>
      </c>
      <c r="K92" s="44">
        <v>10062.96</v>
      </c>
      <c r="L92" s="44">
        <v>20.2</v>
      </c>
      <c r="M92" s="44">
        <v>8481.67</v>
      </c>
      <c r="N92" s="44" t="s">
        <v>29</v>
      </c>
      <c r="O92" s="44">
        <v>14.9</v>
      </c>
      <c r="P92" s="44">
        <v>10062.96</v>
      </c>
      <c r="Q92" s="41">
        <v>8481.67</v>
      </c>
      <c r="R92" s="44" t="s">
        <v>30</v>
      </c>
      <c r="S92" s="41">
        <f>=IF(OR(Q92="", R92=""), "-", IF(ISNUMBER(SEARCH("7 Günlük", R92)), IF(Q92&lt;=M92, O92, "-"), "-"))</f>
        <v>14.9</v>
      </c>
      <c r="T92" s="44" t="str">
        <f>=IF(ISBLANK(Q92), "", "Hayır")</f>
        <v>Hayır</v>
      </c>
      <c r="V92" s="44" t="s">
        <v>31</v>
      </c>
    </row>
    <row r="93">
      <c r="A93" s="44" t="s">
        <v>54</v>
      </c>
      <c r="B93" s="44" t="s">
        <v>195</v>
      </c>
      <c r="C93" s="44" t="s">
        <v>226</v>
      </c>
      <c r="D93" s="44" t="s">
        <v>226</v>
      </c>
      <c r="E93" s="44" t="s">
        <v>37</v>
      </c>
      <c r="F93" s="44" t="s">
        <v>57</v>
      </c>
      <c r="G93" s="44" t="s">
        <v>27</v>
      </c>
      <c r="H93" s="44" t="s">
        <v>28</v>
      </c>
      <c r="I93" s="44">
        <v>999</v>
      </c>
      <c r="J93" s="44">
        <v>10622</v>
      </c>
      <c r="K93" s="44">
        <v>6878</v>
      </c>
      <c r="L93" s="44">
        <v>19.2</v>
      </c>
      <c r="M93" s="44">
        <v>6564.51</v>
      </c>
      <c r="N93" s="44" t="s">
        <v>29</v>
      </c>
      <c r="O93" s="44">
        <v>16.5</v>
      </c>
      <c r="P93" s="44">
        <v>6878</v>
      </c>
      <c r="Q93" s="41">
        <v>6564.51</v>
      </c>
      <c r="R93" s="44" t="s">
        <v>30</v>
      </c>
      <c r="S93" s="41">
        <f>=IF(OR(Q93="", R93=""), "-", IF(ISNUMBER(SEARCH("7 Günlük", R93)), IF(Q93&lt;=M93, O93, "-"), "-"))</f>
        <v>16.5</v>
      </c>
      <c r="T93" s="44" t="str">
        <f>=IF(ISBLANK(Q93), "", "Hayır")</f>
        <v>Hayır</v>
      </c>
      <c r="V93" s="44" t="s">
        <v>31</v>
      </c>
    </row>
    <row r="94">
      <c r="A94" s="44" t="s">
        <v>54</v>
      </c>
      <c r="B94" s="44" t="s">
        <v>195</v>
      </c>
      <c r="C94" s="44" t="s">
        <v>227</v>
      </c>
      <c r="D94" s="44" t="s">
        <v>227</v>
      </c>
      <c r="E94" s="44" t="s">
        <v>228</v>
      </c>
      <c r="F94" s="44" t="s">
        <v>57</v>
      </c>
      <c r="G94" s="44" t="s">
        <v>27</v>
      </c>
      <c r="H94" s="44" t="s">
        <v>28</v>
      </c>
      <c r="I94" s="44">
        <v>998</v>
      </c>
      <c r="J94" s="44">
        <v>1399</v>
      </c>
      <c r="K94" s="44">
        <v>981.39</v>
      </c>
      <c r="L94" s="44">
        <v>19.9</v>
      </c>
      <c r="M94" s="44">
        <v>805.29</v>
      </c>
      <c r="N94" s="44" t="s">
        <v>29</v>
      </c>
      <c r="O94" s="44">
        <v>13</v>
      </c>
      <c r="P94" s="44">
        <v>981.39</v>
      </c>
      <c r="Q94" s="41">
        <v>805.29</v>
      </c>
      <c r="R94" s="44" t="s">
        <v>30</v>
      </c>
      <c r="S94" s="41">
        <f>=IF(OR(Q94="", R94=""), "-", IF(ISNUMBER(SEARCH("7 Günlük", R94)), IF(Q94&lt;=M94, O94, "-"), "-"))</f>
        <v>13.0</v>
      </c>
      <c r="T94" s="44" t="str">
        <f>=IF(ISBLANK(Q94), "", "Hayır")</f>
        <v>Hayır</v>
      </c>
      <c r="V94" s="44" t="s">
        <v>31</v>
      </c>
    </row>
    <row r="95">
      <c r="A95" s="44" t="s">
        <v>54</v>
      </c>
      <c r="B95" s="44" t="s">
        <v>195</v>
      </c>
      <c r="C95" s="44" t="s">
        <v>229</v>
      </c>
      <c r="D95" s="44" t="s">
        <v>229</v>
      </c>
      <c r="E95" s="44" t="s">
        <v>93</v>
      </c>
      <c r="F95" s="44" t="s">
        <v>57</v>
      </c>
      <c r="G95" s="44" t="s">
        <v>27</v>
      </c>
      <c r="H95" s="44" t="s">
        <v>28</v>
      </c>
      <c r="I95" s="44">
        <v>999</v>
      </c>
      <c r="J95" s="44">
        <v>13053</v>
      </c>
      <c r="K95" s="44">
        <v>8476.629999999999</v>
      </c>
      <c r="L95" s="44">
        <v>19.3</v>
      </c>
      <c r="M95" s="44">
        <v>8123.15</v>
      </c>
      <c r="N95" s="44" t="s">
        <v>29</v>
      </c>
      <c r="O95" s="44">
        <v>16.6</v>
      </c>
      <c r="P95" s="44">
        <v>8476.629999999999</v>
      </c>
      <c r="Q95" s="41">
        <v>8123.15</v>
      </c>
      <c r="R95" s="44" t="s">
        <v>30</v>
      </c>
      <c r="S95" s="41">
        <f>=IF(OR(Q95="", R95=""), "-", IF(ISNUMBER(SEARCH("7 Günlük", R95)), IF(Q95&lt;=M95, O95, "-"), "-"))</f>
        <v>16.6</v>
      </c>
      <c r="T95" s="44" t="str">
        <f>=IF(ISBLANK(Q95), "", "Hayır")</f>
        <v>Hayır</v>
      </c>
      <c r="V95" s="44" t="s">
        <v>31</v>
      </c>
    </row>
    <row r="96">
      <c r="A96" s="44" t="s">
        <v>54</v>
      </c>
      <c r="B96" s="44" t="s">
        <v>195</v>
      </c>
      <c r="C96" s="44" t="s">
        <v>230</v>
      </c>
      <c r="D96" s="44" t="s">
        <v>230</v>
      </c>
      <c r="E96" s="44" t="s">
        <v>129</v>
      </c>
      <c r="F96" s="44" t="s">
        <v>57</v>
      </c>
      <c r="G96" s="44" t="s">
        <v>27</v>
      </c>
      <c r="H96" s="44" t="s">
        <v>28</v>
      </c>
      <c r="I96" s="44">
        <v>999</v>
      </c>
      <c r="J96" s="44">
        <v>8116</v>
      </c>
      <c r="K96" s="44">
        <v>5340.89</v>
      </c>
      <c r="L96" s="44">
        <v>20.2</v>
      </c>
      <c r="M96" s="44">
        <v>4375.23</v>
      </c>
      <c r="N96" s="44" t="s">
        <v>29</v>
      </c>
      <c r="O96" s="44">
        <v>14.7</v>
      </c>
      <c r="P96" s="44">
        <v>5340.89</v>
      </c>
      <c r="Q96" s="41">
        <v>4375.23</v>
      </c>
      <c r="R96" s="44" t="s">
        <v>30</v>
      </c>
      <c r="S96" s="41">
        <f>=IF(OR(Q96="", R96=""), "-", IF(ISNUMBER(SEARCH("7 Günlük", R96)), IF(Q96&lt;=M96, O96, "-"), "-"))</f>
        <v>14.7</v>
      </c>
      <c r="T96" s="44" t="str">
        <f>=IF(ISBLANK(Q96), "", "Hayır")</f>
        <v>Hayır</v>
      </c>
      <c r="V96" s="44" t="s">
        <v>31</v>
      </c>
    </row>
    <row r="97">
      <c r="A97" s="44" t="s">
        <v>54</v>
      </c>
      <c r="B97" s="44" t="s">
        <v>195</v>
      </c>
      <c r="C97" s="44" t="s">
        <v>231</v>
      </c>
      <c r="D97" s="44" t="s">
        <v>231</v>
      </c>
      <c r="E97" s="44" t="s">
        <v>101</v>
      </c>
      <c r="F97" s="44" t="s">
        <v>57</v>
      </c>
      <c r="G97" s="44" t="s">
        <v>27</v>
      </c>
      <c r="H97" s="44" t="s">
        <v>28</v>
      </c>
      <c r="I97" s="44">
        <v>999</v>
      </c>
      <c r="J97" s="44">
        <v>16510</v>
      </c>
      <c r="K97" s="44">
        <v>10793.12</v>
      </c>
      <c r="L97" s="44">
        <v>20.2</v>
      </c>
      <c r="M97" s="44">
        <v>8875.68</v>
      </c>
      <c r="N97" s="44" t="s">
        <v>29</v>
      </c>
      <c r="O97" s="44">
        <v>14.7</v>
      </c>
      <c r="P97" s="44">
        <v>10793.12</v>
      </c>
      <c r="Q97" s="41">
        <v>8875.68</v>
      </c>
      <c r="R97" s="44" t="s">
        <v>30</v>
      </c>
      <c r="S97" s="41">
        <f>=IF(OR(Q97="", R97=""), "-", IF(ISNUMBER(SEARCH("7 Günlük", R97)), IF(Q97&lt;=M97, O97, "-"), "-"))</f>
        <v>14.7</v>
      </c>
      <c r="T97" s="44" t="str">
        <f>=IF(ISBLANK(Q97), "", "Hayır")</f>
        <v>Hayır</v>
      </c>
      <c r="V97" s="44" t="s">
        <v>31</v>
      </c>
    </row>
    <row r="98">
      <c r="A98" s="44" t="s">
        <v>54</v>
      </c>
      <c r="B98" s="44" t="s">
        <v>195</v>
      </c>
      <c r="C98" s="44" t="s">
        <v>232</v>
      </c>
      <c r="D98" s="44" t="s">
        <v>232</v>
      </c>
      <c r="E98" s="44" t="s">
        <v>121</v>
      </c>
      <c r="F98" s="44" t="s">
        <v>57</v>
      </c>
      <c r="G98" s="44" t="s">
        <v>27</v>
      </c>
      <c r="H98" s="44" t="s">
        <v>28</v>
      </c>
      <c r="I98" s="44">
        <v>999</v>
      </c>
      <c r="J98" s="44">
        <v>18018</v>
      </c>
      <c r="K98" s="44">
        <v>11655.53</v>
      </c>
      <c r="L98" s="44">
        <v>20.2</v>
      </c>
      <c r="M98" s="44">
        <v>9850.290000000001</v>
      </c>
      <c r="N98" s="44" t="s">
        <v>29</v>
      </c>
      <c r="O98" s="44">
        <v>14.9</v>
      </c>
      <c r="P98" s="44">
        <v>11655.53</v>
      </c>
      <c r="Q98" s="41">
        <v>9850.290000000001</v>
      </c>
      <c r="R98" s="44" t="s">
        <v>30</v>
      </c>
      <c r="S98" s="41">
        <f>=IF(OR(Q98="", R98=""), "-", IF(ISNUMBER(SEARCH("7 Günlük", R98)), IF(Q98&lt;=M98, O98, "-"), "-"))</f>
        <v>14.9</v>
      </c>
      <c r="T98" s="44" t="str">
        <f>=IF(ISBLANK(Q98), "", "Hayır")</f>
        <v>Hayır</v>
      </c>
      <c r="V98" s="44" t="s">
        <v>31</v>
      </c>
    </row>
    <row r="99">
      <c r="A99" s="44" t="s">
        <v>54</v>
      </c>
      <c r="B99" s="44" t="s">
        <v>195</v>
      </c>
      <c r="C99" s="44" t="s">
        <v>233</v>
      </c>
      <c r="D99" s="44" t="s">
        <v>233</v>
      </c>
      <c r="E99" s="44" t="s">
        <v>234</v>
      </c>
      <c r="F99" s="44" t="s">
        <v>57</v>
      </c>
      <c r="G99" s="44" t="s">
        <v>27</v>
      </c>
      <c r="H99" s="44" t="s">
        <v>28</v>
      </c>
      <c r="I99" s="44">
        <v>999</v>
      </c>
      <c r="J99" s="44">
        <v>8696</v>
      </c>
      <c r="K99" s="44">
        <v>5656.01</v>
      </c>
      <c r="L99" s="44">
        <v>20.2</v>
      </c>
      <c r="M99" s="44">
        <v>4644.55</v>
      </c>
      <c r="N99" s="44" t="s">
        <v>29</v>
      </c>
      <c r="O99" s="44">
        <v>14.6</v>
      </c>
      <c r="P99" s="44">
        <v>5656.01</v>
      </c>
      <c r="Q99" s="41">
        <v>4644.55</v>
      </c>
      <c r="R99" s="44" t="s">
        <v>30</v>
      </c>
      <c r="S99" s="41">
        <f>=IF(OR(Q99="", R99=""), "-", IF(ISNUMBER(SEARCH("7 Günlük", R99)), IF(Q99&lt;=M99, O99, "-"), "-"))</f>
        <v>14.6</v>
      </c>
      <c r="T99" s="44" t="str">
        <f>=IF(ISBLANK(Q99), "", "Hayır")</f>
        <v>Hayır</v>
      </c>
      <c r="V99" s="44" t="s">
        <v>31</v>
      </c>
    </row>
    <row r="100">
      <c r="A100" s="44" t="s">
        <v>54</v>
      </c>
      <c r="B100" s="44" t="s">
        <v>195</v>
      </c>
      <c r="C100" s="44" t="s">
        <v>235</v>
      </c>
      <c r="D100" s="44" t="s">
        <v>235</v>
      </c>
      <c r="E100" s="44" t="s">
        <v>99</v>
      </c>
      <c r="F100" s="44" t="s">
        <v>57</v>
      </c>
      <c r="G100" s="44" t="s">
        <v>27</v>
      </c>
      <c r="H100" s="44" t="s">
        <v>28</v>
      </c>
      <c r="I100" s="44">
        <v>999</v>
      </c>
      <c r="J100" s="44">
        <v>17576</v>
      </c>
      <c r="K100" s="44">
        <v>11309.01</v>
      </c>
      <c r="L100" s="44">
        <v>20.2</v>
      </c>
      <c r="M100" s="44">
        <v>9527.6</v>
      </c>
      <c r="N100" s="44" t="s">
        <v>29</v>
      </c>
      <c r="O100" s="44">
        <v>14.8</v>
      </c>
      <c r="P100" s="44">
        <v>11309.01</v>
      </c>
      <c r="Q100" s="41">
        <v>9527.6</v>
      </c>
      <c r="R100" s="44" t="s">
        <v>30</v>
      </c>
      <c r="S100" s="41">
        <f>=IF(OR(Q100="", R100=""), "-", IF(ISNUMBER(SEARCH("7 Günlük", R100)), IF(Q100&lt;=M100, O100, "-"), "-"))</f>
        <v>14.8</v>
      </c>
      <c r="T100" s="44" t="str">
        <f>=IF(ISBLANK(Q100), "", "Hayır")</f>
        <v>Hayır</v>
      </c>
      <c r="V100" s="44" t="s">
        <v>31</v>
      </c>
    </row>
    <row r="101">
      <c r="A101" s="44" t="s">
        <v>54</v>
      </c>
      <c r="B101" s="44" t="s">
        <v>195</v>
      </c>
      <c r="C101" s="44" t="s">
        <v>236</v>
      </c>
      <c r="D101" s="44" t="s">
        <v>236</v>
      </c>
      <c r="E101" s="44" t="s">
        <v>237</v>
      </c>
      <c r="F101" s="44" t="s">
        <v>57</v>
      </c>
      <c r="G101" s="44" t="s">
        <v>27</v>
      </c>
      <c r="H101" s="44" t="s">
        <v>28</v>
      </c>
      <c r="I101" s="44">
        <v>999</v>
      </c>
      <c r="J101" s="44">
        <v>12521</v>
      </c>
      <c r="K101" s="44">
        <v>8246</v>
      </c>
      <c r="L101" s="44">
        <v>20.2</v>
      </c>
      <c r="M101" s="44">
        <v>6727.37</v>
      </c>
      <c r="N101" s="44" t="s">
        <v>29</v>
      </c>
      <c r="O101" s="44">
        <v>14.6</v>
      </c>
      <c r="P101" s="44">
        <v>8246</v>
      </c>
      <c r="Q101" s="41">
        <v>6727.37</v>
      </c>
      <c r="R101" s="44" t="s">
        <v>30</v>
      </c>
      <c r="S101" s="41">
        <f>=IF(OR(Q101="", R101=""), "-", IF(ISNUMBER(SEARCH("7 Günlük", R101)), IF(Q101&lt;=M101, O101, "-"), "-"))</f>
        <v>14.6</v>
      </c>
      <c r="T101" s="44" t="str">
        <f>=IF(ISBLANK(Q101), "", "Hayır")</f>
        <v>Hayır</v>
      </c>
      <c r="V101" s="44" t="s">
        <v>31</v>
      </c>
    </row>
    <row r="102">
      <c r="A102" s="44" t="s">
        <v>54</v>
      </c>
      <c r="B102" s="44" t="s">
        <v>195</v>
      </c>
      <c r="C102" s="44" t="s">
        <v>238</v>
      </c>
      <c r="D102" s="44" t="s">
        <v>238</v>
      </c>
      <c r="E102" s="44" t="s">
        <v>239</v>
      </c>
      <c r="F102" s="44" t="s">
        <v>57</v>
      </c>
      <c r="G102" s="44" t="s">
        <v>27</v>
      </c>
      <c r="H102" s="44" t="s">
        <v>28</v>
      </c>
      <c r="I102" s="44">
        <v>999</v>
      </c>
      <c r="J102" s="44">
        <v>13163</v>
      </c>
      <c r="K102" s="44">
        <v>8608.33</v>
      </c>
      <c r="L102" s="44">
        <v>20.1</v>
      </c>
      <c r="M102" s="44">
        <v>7009.48</v>
      </c>
      <c r="N102" s="44" t="s">
        <v>29</v>
      </c>
      <c r="O102" s="44">
        <v>14.5</v>
      </c>
      <c r="P102" s="44">
        <v>8608.33</v>
      </c>
      <c r="Q102" s="41">
        <v>7009.48</v>
      </c>
      <c r="R102" s="44" t="s">
        <v>30</v>
      </c>
      <c r="S102" s="41">
        <f>=IF(OR(Q102="", R102=""), "-", IF(ISNUMBER(SEARCH("7 Günlük", R102)), IF(Q102&lt;=M102, O102, "-"), "-"))</f>
        <v>14.5</v>
      </c>
      <c r="T102" s="44" t="str">
        <f>=IF(ISBLANK(Q102), "", "Hayır")</f>
        <v>Hayır</v>
      </c>
      <c r="V102" s="44" t="s">
        <v>31</v>
      </c>
    </row>
    <row r="103">
      <c r="A103" s="44" t="s">
        <v>54</v>
      </c>
      <c r="B103" s="44" t="s">
        <v>195</v>
      </c>
      <c r="C103" s="44" t="s">
        <v>240</v>
      </c>
      <c r="D103" s="44" t="s">
        <v>240</v>
      </c>
      <c r="E103" s="44" t="s">
        <v>140</v>
      </c>
      <c r="F103" s="44" t="s">
        <v>57</v>
      </c>
      <c r="G103" s="44" t="s">
        <v>27</v>
      </c>
      <c r="H103" s="44" t="s">
        <v>28</v>
      </c>
      <c r="I103" s="44">
        <v>998</v>
      </c>
      <c r="J103" s="44">
        <v>1571</v>
      </c>
      <c r="K103" s="44">
        <v>1100.02</v>
      </c>
      <c r="L103" s="44">
        <v>21.1</v>
      </c>
      <c r="M103" s="44">
        <v>821</v>
      </c>
      <c r="N103" s="44" t="s">
        <v>29</v>
      </c>
      <c r="O103" s="44">
        <v>12.6</v>
      </c>
      <c r="P103" s="44">
        <v>1100.02</v>
      </c>
      <c r="Q103" s="41">
        <v>821</v>
      </c>
      <c r="R103" s="44" t="s">
        <v>30</v>
      </c>
      <c r="S103" s="41">
        <f>=IF(OR(Q103="", R103=""), "-", IF(ISNUMBER(SEARCH("7 Günlük", R103)), IF(Q103&lt;=M103, O103, "-"), "-"))</f>
        <v>12.6</v>
      </c>
      <c r="T103" s="44" t="str">
        <f>=IF(ISBLANK(Q103), "", "Hayır")</f>
        <v>Hayır</v>
      </c>
      <c r="V103" s="44" t="s">
        <v>31</v>
      </c>
    </row>
    <row r="104">
      <c r="A104" s="44" t="s">
        <v>241</v>
      </c>
      <c r="B104" s="44" t="s">
        <v>242</v>
      </c>
      <c r="C104" s="44" t="s">
        <v>243</v>
      </c>
      <c r="D104" s="44" t="s">
        <v>244</v>
      </c>
      <c r="E104" s="44" t="s">
        <v>44</v>
      </c>
      <c r="F104" s="44" t="s">
        <v>245</v>
      </c>
      <c r="G104" s="44" t="s">
        <v>27</v>
      </c>
      <c r="H104" s="44" t="s">
        <v>28</v>
      </c>
      <c r="I104" s="44">
        <v>998</v>
      </c>
      <c r="J104" s="44">
        <v>399</v>
      </c>
      <c r="K104" s="44">
        <v>399</v>
      </c>
      <c r="L104" s="44">
        <v>22</v>
      </c>
      <c r="M104" s="44">
        <v>300.24</v>
      </c>
      <c r="N104" s="44" t="s">
        <v>29</v>
      </c>
      <c r="O104" s="44">
        <v>16.7</v>
      </c>
      <c r="P104" s="44">
        <v>399</v>
      </c>
      <c r="Q104" s="41">
        <v>300.24</v>
      </c>
      <c r="R104" s="44" t="s">
        <v>30</v>
      </c>
      <c r="S104" s="41">
        <f>=IF(OR(Q104="", R104=""), "-", IF(ISNUMBER(SEARCH("7 Günlük", R104)), IF(Q104&lt;=M104, O104, "-"), "-"))</f>
        <v>16.7</v>
      </c>
      <c r="T104" s="44" t="str">
        <f>=IF(ISBLANK(Q104), "", "Hayır")</f>
        <v>Hayır</v>
      </c>
      <c r="V104" s="44" t="s">
        <v>31</v>
      </c>
    </row>
    <row r="105">
      <c r="A105" s="44" t="s">
        <v>241</v>
      </c>
      <c r="B105" s="44" t="s">
        <v>242</v>
      </c>
      <c r="C105" s="44" t="s">
        <v>246</v>
      </c>
      <c r="D105" s="44" t="s">
        <v>247</v>
      </c>
      <c r="E105" s="44" t="s">
        <v>248</v>
      </c>
      <c r="F105" s="44" t="s">
        <v>245</v>
      </c>
      <c r="G105" s="44" t="s">
        <v>27</v>
      </c>
      <c r="H105" s="44" t="s">
        <v>28</v>
      </c>
      <c r="I105" s="44">
        <v>998</v>
      </c>
      <c r="J105" s="44">
        <v>5265</v>
      </c>
      <c r="K105" s="44">
        <v>3527.19</v>
      </c>
      <c r="L105" s="44">
        <v>20.5</v>
      </c>
      <c r="M105" s="44">
        <v>3009.75</v>
      </c>
      <c r="N105" s="44" t="s">
        <v>29</v>
      </c>
      <c r="O105" s="44">
        <v>16.5</v>
      </c>
      <c r="P105" s="44">
        <v>3527.19</v>
      </c>
      <c r="Q105" s="41">
        <v>3009.75</v>
      </c>
      <c r="R105" s="44" t="s">
        <v>30</v>
      </c>
      <c r="S105" s="41">
        <f>=IF(OR(Q105="", R105=""), "-", IF(ISNUMBER(SEARCH("7 Günlük", R105)), IF(Q105&lt;=M105, O105, "-"), "-"))</f>
        <v>16.5</v>
      </c>
      <c r="T105" s="44" t="str">
        <f>=IF(ISBLANK(Q105), "", "Hayır")</f>
        <v>Hayır</v>
      </c>
      <c r="V105" s="44" t="s">
        <v>31</v>
      </c>
    </row>
    <row r="106">
      <c r="A106" s="44" t="s">
        <v>241</v>
      </c>
      <c r="B106" s="44" t="s">
        <v>242</v>
      </c>
      <c r="C106" s="44" t="s">
        <v>249</v>
      </c>
      <c r="D106" s="44" t="s">
        <v>250</v>
      </c>
      <c r="E106" s="44" t="s">
        <v>251</v>
      </c>
      <c r="F106" s="44" t="s">
        <v>245</v>
      </c>
      <c r="G106" s="44" t="s">
        <v>27</v>
      </c>
      <c r="H106" s="44" t="s">
        <v>28</v>
      </c>
      <c r="I106" s="44">
        <v>999</v>
      </c>
      <c r="J106" s="44">
        <v>14121</v>
      </c>
      <c r="K106" s="44">
        <v>9322.139999999999</v>
      </c>
      <c r="L106" s="44">
        <v>20.7</v>
      </c>
      <c r="M106" s="44">
        <v>8317.639999999999</v>
      </c>
      <c r="N106" s="44" t="s">
        <v>29</v>
      </c>
      <c r="O106" s="44">
        <v>17.4</v>
      </c>
      <c r="P106" s="44">
        <v>9322.139999999999</v>
      </c>
      <c r="Q106" s="41">
        <v>8317.639999999999</v>
      </c>
      <c r="R106" s="44" t="s">
        <v>30</v>
      </c>
      <c r="S106" s="41">
        <f>=IF(OR(Q106="", R106=""), "-", IF(ISNUMBER(SEARCH("7 Günlük", R106)), IF(Q106&lt;=M106, O106, "-"), "-"))</f>
        <v>17.4</v>
      </c>
      <c r="T106" s="44" t="str">
        <f>=IF(ISBLANK(Q106), "", "Hayır")</f>
        <v>Hayır</v>
      </c>
      <c r="V106" s="44" t="s">
        <v>31</v>
      </c>
    </row>
    <row r="107">
      <c r="A107" s="44" t="s">
        <v>241</v>
      </c>
      <c r="B107" s="44" t="s">
        <v>242</v>
      </c>
      <c r="C107" s="44" t="s">
        <v>252</v>
      </c>
      <c r="D107" s="44" t="s">
        <v>253</v>
      </c>
      <c r="E107" s="44" t="s">
        <v>222</v>
      </c>
      <c r="F107" s="44" t="s">
        <v>245</v>
      </c>
      <c r="G107" s="44" t="s">
        <v>27</v>
      </c>
      <c r="H107" s="44" t="s">
        <v>28</v>
      </c>
      <c r="I107" s="44">
        <v>999</v>
      </c>
      <c r="J107" s="44">
        <v>9213</v>
      </c>
      <c r="K107" s="44">
        <v>6074.32</v>
      </c>
      <c r="L107" s="44">
        <v>20.4</v>
      </c>
      <c r="M107" s="44">
        <v>5099.44</v>
      </c>
      <c r="N107" s="44" t="s">
        <v>29</v>
      </c>
      <c r="O107" s="44">
        <v>15.8</v>
      </c>
      <c r="P107" s="44">
        <v>6074.32</v>
      </c>
      <c r="Q107" s="41">
        <v>5099.44</v>
      </c>
      <c r="R107" s="44" t="s">
        <v>30</v>
      </c>
      <c r="S107" s="41">
        <f>=IF(OR(Q107="", R107=""), "-", IF(ISNUMBER(SEARCH("7 Günlük", R107)), IF(Q107&lt;=M107, O107, "-"), "-"))</f>
        <v>15.8</v>
      </c>
      <c r="T107" s="44" t="str">
        <f>=IF(ISBLANK(Q107), "", "Hayır")</f>
        <v>Hayır</v>
      </c>
      <c r="V107" s="44" t="s">
        <v>31</v>
      </c>
    </row>
    <row r="108">
      <c r="A108" s="44" t="s">
        <v>241</v>
      </c>
      <c r="B108" s="44" t="s">
        <v>242</v>
      </c>
      <c r="C108" s="44" t="s">
        <v>254</v>
      </c>
      <c r="D108" s="44" t="s">
        <v>255</v>
      </c>
      <c r="E108" s="44" t="s">
        <v>109</v>
      </c>
      <c r="F108" s="44" t="s">
        <v>245</v>
      </c>
      <c r="G108" s="44" t="s">
        <v>27</v>
      </c>
      <c r="H108" s="44" t="s">
        <v>28</v>
      </c>
      <c r="I108" s="44">
        <v>999</v>
      </c>
      <c r="J108" s="44">
        <v>7103</v>
      </c>
      <c r="K108" s="44">
        <v>4664.58</v>
      </c>
      <c r="L108" s="44">
        <v>20.5</v>
      </c>
      <c r="M108" s="44">
        <v>4059.63</v>
      </c>
      <c r="N108" s="44" t="s">
        <v>29</v>
      </c>
      <c r="O108" s="44">
        <v>16.3</v>
      </c>
      <c r="P108" s="44">
        <v>4664.58</v>
      </c>
      <c r="Q108" s="41">
        <v>4059.63</v>
      </c>
      <c r="R108" s="44" t="s">
        <v>30</v>
      </c>
      <c r="S108" s="41">
        <f>=IF(OR(Q108="", R108=""), "-", IF(ISNUMBER(SEARCH("7 Günlük", R108)), IF(Q108&lt;=M108, O108, "-"), "-"))</f>
        <v>16.3</v>
      </c>
      <c r="T108" s="44" t="str">
        <f>=IF(ISBLANK(Q108), "", "Hayır")</f>
        <v>Hayır</v>
      </c>
      <c r="V108" s="44" t="s">
        <v>31</v>
      </c>
    </row>
    <row r="109">
      <c r="A109" s="44" t="s">
        <v>241</v>
      </c>
      <c r="B109" s="44" t="s">
        <v>242</v>
      </c>
      <c r="C109" s="44" t="s">
        <v>256</v>
      </c>
      <c r="D109" s="44" t="s">
        <v>257</v>
      </c>
      <c r="E109" s="44" t="s">
        <v>234</v>
      </c>
      <c r="F109" s="44" t="s">
        <v>245</v>
      </c>
      <c r="G109" s="44" t="s">
        <v>27</v>
      </c>
      <c r="H109" s="44" t="s">
        <v>28</v>
      </c>
      <c r="I109" s="44">
        <v>999</v>
      </c>
      <c r="J109" s="44">
        <v>8696</v>
      </c>
      <c r="K109" s="44">
        <v>5737.41</v>
      </c>
      <c r="L109" s="44">
        <v>20.4</v>
      </c>
      <c r="M109" s="44">
        <v>4810.06</v>
      </c>
      <c r="N109" s="44" t="s">
        <v>29</v>
      </c>
      <c r="O109" s="44">
        <v>15.8</v>
      </c>
      <c r="P109" s="44">
        <v>5737.41</v>
      </c>
      <c r="Q109" s="41">
        <v>4810.06</v>
      </c>
      <c r="R109" s="44" t="s">
        <v>30</v>
      </c>
      <c r="S109" s="41">
        <f>=IF(OR(Q109="", R109=""), "-", IF(ISNUMBER(SEARCH("7 Günlük", R109)), IF(Q109&lt;=M109, O109, "-"), "-"))</f>
        <v>15.8</v>
      </c>
      <c r="T109" s="44" t="str">
        <f>=IF(ISBLANK(Q109), "", "Hayır")</f>
        <v>Hayır</v>
      </c>
      <c r="V109" s="44" t="s">
        <v>31</v>
      </c>
    </row>
    <row r="110">
      <c r="A110" s="44" t="s">
        <v>241</v>
      </c>
      <c r="B110" s="44" t="s">
        <v>242</v>
      </c>
      <c r="C110" s="44" t="s">
        <v>258</v>
      </c>
      <c r="D110" s="44" t="s">
        <v>259</v>
      </c>
      <c r="E110" s="44" t="s">
        <v>260</v>
      </c>
      <c r="F110" s="44" t="s">
        <v>245</v>
      </c>
      <c r="G110" s="44" t="s">
        <v>27</v>
      </c>
      <c r="H110" s="44" t="s">
        <v>28</v>
      </c>
      <c r="I110" s="44">
        <v>999</v>
      </c>
      <c r="J110" s="44">
        <v>5982</v>
      </c>
      <c r="K110" s="44">
        <v>3965.29</v>
      </c>
      <c r="L110" s="44">
        <v>20.7</v>
      </c>
      <c r="M110" s="44">
        <v>3542.22</v>
      </c>
      <c r="N110" s="44" t="s">
        <v>29</v>
      </c>
      <c r="O110" s="44">
        <v>17.5</v>
      </c>
      <c r="P110" s="44">
        <v>3965.29</v>
      </c>
      <c r="Q110" s="41">
        <v>3542.22</v>
      </c>
      <c r="R110" s="44" t="s">
        <v>30</v>
      </c>
      <c r="S110" s="41">
        <f>=IF(OR(Q110="", R110=""), "-", IF(ISNUMBER(SEARCH("7 Günlük", R110)), IF(Q110&lt;=M110, O110, "-"), "-"))</f>
        <v>17.5</v>
      </c>
      <c r="T110" s="44" t="str">
        <f>=IF(ISBLANK(Q110), "", "Hayır")</f>
        <v>Hayır</v>
      </c>
      <c r="V110" s="44" t="s">
        <v>31</v>
      </c>
    </row>
    <row r="111">
      <c r="A111" s="44" t="s">
        <v>241</v>
      </c>
      <c r="B111" s="44" t="s">
        <v>242</v>
      </c>
      <c r="C111" s="44" t="s">
        <v>261</v>
      </c>
      <c r="D111" s="44" t="s">
        <v>262</v>
      </c>
      <c r="E111" s="44" t="s">
        <v>263</v>
      </c>
      <c r="F111" s="44" t="s">
        <v>245</v>
      </c>
      <c r="G111" s="44" t="s">
        <v>27</v>
      </c>
      <c r="H111" s="44" t="s">
        <v>28</v>
      </c>
      <c r="I111" s="44">
        <v>999</v>
      </c>
      <c r="J111" s="44">
        <v>8806</v>
      </c>
      <c r="K111" s="44">
        <v>5748.84</v>
      </c>
      <c r="L111" s="44">
        <v>21.2</v>
      </c>
      <c r="M111" s="44">
        <v>4651.66</v>
      </c>
      <c r="N111" s="44" t="s">
        <v>29</v>
      </c>
      <c r="O111" s="44">
        <v>14.8</v>
      </c>
      <c r="P111" s="44">
        <v>5748.84</v>
      </c>
      <c r="Q111" s="41">
        <v>4651.66</v>
      </c>
      <c r="R111" s="44" t="s">
        <v>30</v>
      </c>
      <c r="S111" s="41">
        <f>=IF(OR(Q111="", R111=""), "-", IF(ISNUMBER(SEARCH("7 Günlük", R111)), IF(Q111&lt;=M111, O111, "-"), "-"))</f>
        <v>14.8</v>
      </c>
      <c r="T111" s="44" t="str">
        <f>=IF(ISBLANK(Q111), "", "Hayır")</f>
        <v>Hayır</v>
      </c>
      <c r="V111" s="44" t="s">
        <v>31</v>
      </c>
    </row>
    <row r="112">
      <c r="A112" s="44" t="s">
        <v>241</v>
      </c>
      <c r="B112" s="44" t="s">
        <v>242</v>
      </c>
      <c r="C112" s="44" t="s">
        <v>264</v>
      </c>
      <c r="D112" s="44" t="s">
        <v>265</v>
      </c>
      <c r="E112" s="44" t="s">
        <v>190</v>
      </c>
      <c r="F112" s="44" t="s">
        <v>245</v>
      </c>
      <c r="G112" s="44" t="s">
        <v>27</v>
      </c>
      <c r="H112" s="44" t="s">
        <v>28</v>
      </c>
      <c r="I112" s="44">
        <v>995</v>
      </c>
      <c r="J112" s="44">
        <v>889</v>
      </c>
      <c r="K112" s="44">
        <v>656.9400000000001</v>
      </c>
      <c r="L112" s="44">
        <v>20.5</v>
      </c>
      <c r="M112" s="44">
        <v>562.54</v>
      </c>
      <c r="N112" s="44" t="s">
        <v>29</v>
      </c>
      <c r="O112" s="44">
        <v>16.5</v>
      </c>
      <c r="P112" s="44">
        <v>656.9400000000001</v>
      </c>
      <c r="Q112" s="41">
        <v>562.54</v>
      </c>
      <c r="R112" s="44" t="s">
        <v>30</v>
      </c>
      <c r="S112" s="41">
        <f>=IF(OR(Q112="", R112=""), "-", IF(ISNUMBER(SEARCH("7 Günlük", R112)), IF(Q112&lt;=M112, O112, "-"), "-"))</f>
        <v>16.5</v>
      </c>
      <c r="T112" s="44" t="str">
        <f>=IF(ISBLANK(Q112), "", "Hayır")</f>
        <v>Hayır</v>
      </c>
      <c r="V112" s="44" t="s">
        <v>31</v>
      </c>
    </row>
    <row r="113">
      <c r="A113" s="44" t="s">
        <v>241</v>
      </c>
      <c r="B113" s="44" t="s">
        <v>242</v>
      </c>
      <c r="C113" s="44" t="s">
        <v>266</v>
      </c>
      <c r="D113" s="44" t="s">
        <v>267</v>
      </c>
      <c r="E113" s="44" t="s">
        <v>268</v>
      </c>
      <c r="F113" s="44" t="s">
        <v>245</v>
      </c>
      <c r="G113" s="44" t="s">
        <v>27</v>
      </c>
      <c r="H113" s="44" t="s">
        <v>28</v>
      </c>
      <c r="I113" s="44">
        <v>999</v>
      </c>
      <c r="J113" s="44">
        <v>11436</v>
      </c>
      <c r="K113" s="44">
        <v>7521.1</v>
      </c>
      <c r="L113" s="44">
        <v>20.4</v>
      </c>
      <c r="M113" s="44">
        <v>6300.1</v>
      </c>
      <c r="N113" s="44" t="s">
        <v>29</v>
      </c>
      <c r="O113" s="44">
        <v>15.8</v>
      </c>
      <c r="P113" s="44">
        <v>7521.1</v>
      </c>
      <c r="Q113" s="41">
        <v>6300.1</v>
      </c>
      <c r="R113" s="44" t="s">
        <v>30</v>
      </c>
      <c r="S113" s="41">
        <f>=IF(OR(Q113="", R113=""), "-", IF(ISNUMBER(SEARCH("7 Günlük", R113)), IF(Q113&lt;=M113, O113, "-"), "-"))</f>
        <v>15.8</v>
      </c>
      <c r="T113" s="44" t="str">
        <f>=IF(ISBLANK(Q113), "", "Hayır")</f>
        <v>Hayır</v>
      </c>
      <c r="V113" s="44" t="s">
        <v>31</v>
      </c>
    </row>
    <row r="114">
      <c r="A114" s="44" t="s">
        <v>241</v>
      </c>
      <c r="B114" s="44" t="s">
        <v>242</v>
      </c>
      <c r="C114" s="44" t="s">
        <v>269</v>
      </c>
      <c r="D114" s="44" t="s">
        <v>270</v>
      </c>
      <c r="E114" s="44" t="s">
        <v>61</v>
      </c>
      <c r="F114" s="44" t="s">
        <v>245</v>
      </c>
      <c r="G114" s="44" t="s">
        <v>27</v>
      </c>
      <c r="H114" s="44" t="s">
        <v>28</v>
      </c>
      <c r="I114" s="44">
        <v>999</v>
      </c>
      <c r="J114" s="44">
        <v>20066</v>
      </c>
      <c r="K114" s="44">
        <v>12557.9</v>
      </c>
      <c r="L114" s="44">
        <v>20.5</v>
      </c>
      <c r="M114" s="44">
        <v>11333.62</v>
      </c>
      <c r="N114" s="44" t="s">
        <v>29</v>
      </c>
      <c r="O114" s="44">
        <v>16.1</v>
      </c>
      <c r="P114" s="44">
        <v>12557.9</v>
      </c>
      <c r="Q114" s="41">
        <v>11333.62</v>
      </c>
      <c r="R114" s="44" t="s">
        <v>30</v>
      </c>
      <c r="S114" s="41">
        <f>=IF(OR(Q114="", R114=""), "-", IF(ISNUMBER(SEARCH("7 Günlük", R114)), IF(Q114&lt;=M114, O114, "-"), "-"))</f>
        <v>16.1</v>
      </c>
      <c r="T114" s="44" t="str">
        <f>=IF(ISBLANK(Q114), "", "Hayır")</f>
        <v>Hayır</v>
      </c>
      <c r="V114" s="44" t="s">
        <v>31</v>
      </c>
    </row>
    <row r="115">
      <c r="A115" s="44" t="s">
        <v>241</v>
      </c>
      <c r="B115" s="44" t="s">
        <v>242</v>
      </c>
      <c r="C115" s="44" t="s">
        <v>271</v>
      </c>
      <c r="D115" s="44" t="s">
        <v>272</v>
      </c>
      <c r="E115" s="44" t="s">
        <v>129</v>
      </c>
      <c r="F115" s="44" t="s">
        <v>245</v>
      </c>
      <c r="G115" s="44" t="s">
        <v>27</v>
      </c>
      <c r="H115" s="44" t="s">
        <v>28</v>
      </c>
      <c r="I115" s="44">
        <v>999</v>
      </c>
      <c r="J115" s="44">
        <v>8116</v>
      </c>
      <c r="K115" s="44">
        <v>5291.43</v>
      </c>
      <c r="L115" s="44">
        <v>21.2</v>
      </c>
      <c r="M115" s="44">
        <v>4269.28</v>
      </c>
      <c r="N115" s="44" t="s">
        <v>29</v>
      </c>
      <c r="O115" s="44">
        <v>14.7</v>
      </c>
      <c r="P115" s="44">
        <v>5291.43</v>
      </c>
      <c r="Q115" s="41">
        <v>4269.28</v>
      </c>
      <c r="R115" s="44" t="s">
        <v>30</v>
      </c>
      <c r="S115" s="41">
        <f>=IF(OR(Q115="", R115=""), "-", IF(ISNUMBER(SEARCH("7 Günlük", R115)), IF(Q115&lt;=M115, O115, "-"), "-"))</f>
        <v>14.7</v>
      </c>
      <c r="T115" s="44" t="str">
        <f>=IF(ISBLANK(Q115), "", "Hayır")</f>
        <v>Hayır</v>
      </c>
      <c r="V115" s="44" t="s">
        <v>31</v>
      </c>
    </row>
    <row r="116">
      <c r="A116" s="44" t="s">
        <v>241</v>
      </c>
      <c r="B116" s="44" t="s">
        <v>242</v>
      </c>
      <c r="C116" s="44" t="s">
        <v>273</v>
      </c>
      <c r="D116" s="44" t="s">
        <v>274</v>
      </c>
      <c r="E116" s="44" t="s">
        <v>107</v>
      </c>
      <c r="F116" s="44" t="s">
        <v>245</v>
      </c>
      <c r="G116" s="44" t="s">
        <v>27</v>
      </c>
      <c r="H116" s="44" t="s">
        <v>28</v>
      </c>
      <c r="I116" s="44">
        <v>999</v>
      </c>
      <c r="J116" s="44">
        <v>7599</v>
      </c>
      <c r="K116" s="44">
        <v>5001.29</v>
      </c>
      <c r="L116" s="44">
        <v>20.5</v>
      </c>
      <c r="M116" s="44">
        <v>4355.43</v>
      </c>
      <c r="N116" s="44" t="s">
        <v>29</v>
      </c>
      <c r="O116" s="44">
        <v>16.4</v>
      </c>
      <c r="P116" s="44">
        <v>5001.29</v>
      </c>
      <c r="Q116" s="41">
        <v>4355.43</v>
      </c>
      <c r="R116" s="44" t="s">
        <v>30</v>
      </c>
      <c r="S116" s="41">
        <f>=IF(OR(Q116="", R116=""), "-", IF(ISNUMBER(SEARCH("7 Günlük", R116)), IF(Q116&lt;=M116, O116, "-"), "-"))</f>
        <v>16.4</v>
      </c>
      <c r="T116" s="44" t="str">
        <f>=IF(ISBLANK(Q116), "", "Hayır")</f>
        <v>Hayır</v>
      </c>
      <c r="V116" s="44" t="s">
        <v>31</v>
      </c>
    </row>
    <row r="117">
      <c r="A117" s="44" t="s">
        <v>241</v>
      </c>
      <c r="B117" s="44" t="s">
        <v>242</v>
      </c>
      <c r="C117" s="44" t="s">
        <v>275</v>
      </c>
      <c r="D117" s="44" t="s">
        <v>276</v>
      </c>
      <c r="E117" s="44" t="s">
        <v>277</v>
      </c>
      <c r="F117" s="44" t="s">
        <v>245</v>
      </c>
      <c r="G117" s="44" t="s">
        <v>27</v>
      </c>
      <c r="H117" s="44" t="s">
        <v>28</v>
      </c>
      <c r="I117" s="44">
        <v>999</v>
      </c>
      <c r="J117" s="44">
        <v>5486</v>
      </c>
      <c r="K117" s="44">
        <v>3645.79</v>
      </c>
      <c r="L117" s="44">
        <v>20.8</v>
      </c>
      <c r="M117" s="44">
        <v>3254.83</v>
      </c>
      <c r="N117" s="44" t="s">
        <v>29</v>
      </c>
      <c r="O117" s="44">
        <v>17.5</v>
      </c>
      <c r="P117" s="44">
        <v>3645.79</v>
      </c>
      <c r="Q117" s="41">
        <v>3254.83</v>
      </c>
      <c r="R117" s="44" t="s">
        <v>30</v>
      </c>
      <c r="S117" s="41">
        <f>=IF(OR(Q117="", R117=""), "-", IF(ISNUMBER(SEARCH("7 Günlük", R117)), IF(Q117&lt;=M117, O117, "-"), "-"))</f>
        <v>17.5</v>
      </c>
      <c r="T117" s="44" t="str">
        <f>=IF(ISBLANK(Q117), "", "Hayır")</f>
        <v>Hayır</v>
      </c>
      <c r="V117" s="44" t="s">
        <v>31</v>
      </c>
    </row>
    <row r="118">
      <c r="A118" s="44" t="s">
        <v>241</v>
      </c>
      <c r="B118" s="44" t="s">
        <v>242</v>
      </c>
      <c r="C118" s="44" t="s">
        <v>278</v>
      </c>
      <c r="D118" s="44" t="s">
        <v>279</v>
      </c>
      <c r="E118" s="44" t="s">
        <v>280</v>
      </c>
      <c r="F118" s="44" t="s">
        <v>245</v>
      </c>
      <c r="G118" s="44" t="s">
        <v>27</v>
      </c>
      <c r="H118" s="44" t="s">
        <v>28</v>
      </c>
      <c r="I118" s="44">
        <v>999</v>
      </c>
      <c r="J118" s="44">
        <v>8992</v>
      </c>
      <c r="K118" s="44">
        <v>5936.6</v>
      </c>
      <c r="L118" s="44">
        <v>20.4</v>
      </c>
      <c r="M118" s="44">
        <v>4980.46</v>
      </c>
      <c r="N118" s="44" t="s">
        <v>29</v>
      </c>
      <c r="O118" s="44">
        <v>15.9</v>
      </c>
      <c r="P118" s="44">
        <v>5936.6</v>
      </c>
      <c r="Q118" s="41">
        <v>4980.46</v>
      </c>
      <c r="R118" s="44" t="s">
        <v>30</v>
      </c>
      <c r="S118" s="41">
        <f>=IF(OR(Q118="", R118=""), "-", IF(ISNUMBER(SEARCH("7 Günlük", R118)), IF(Q118&lt;=M118, O118, "-"), "-"))</f>
        <v>15.9</v>
      </c>
      <c r="T118" s="44" t="str">
        <f>=IF(ISBLANK(Q118), "", "Hayır")</f>
        <v>Hayır</v>
      </c>
      <c r="V118" s="44" t="s">
        <v>31</v>
      </c>
    </row>
    <row r="119">
      <c r="A119" s="44" t="s">
        <v>241</v>
      </c>
      <c r="B119" s="44" t="s">
        <v>242</v>
      </c>
      <c r="C119" s="44" t="s">
        <v>281</v>
      </c>
      <c r="D119" s="44" t="s">
        <v>282</v>
      </c>
      <c r="E119" s="44" t="s">
        <v>283</v>
      </c>
      <c r="F119" s="44" t="s">
        <v>245</v>
      </c>
      <c r="G119" s="44" t="s">
        <v>27</v>
      </c>
      <c r="H119" s="44" t="s">
        <v>28</v>
      </c>
      <c r="I119" s="44">
        <v>999</v>
      </c>
      <c r="J119" s="44">
        <v>5762</v>
      </c>
      <c r="K119" s="44">
        <v>3817.58</v>
      </c>
      <c r="L119" s="44">
        <v>20.4</v>
      </c>
      <c r="M119" s="44">
        <v>3207.21</v>
      </c>
      <c r="N119" s="44" t="s">
        <v>29</v>
      </c>
      <c r="O119" s="44">
        <v>15.9</v>
      </c>
      <c r="P119" s="44">
        <v>3817.58</v>
      </c>
      <c r="Q119" s="41">
        <v>3207.21</v>
      </c>
      <c r="R119" s="44" t="s">
        <v>30</v>
      </c>
      <c r="S119" s="41">
        <f>=IF(OR(Q119="", R119=""), "-", IF(ISNUMBER(SEARCH("7 Günlük", R119)), IF(Q119&lt;=M119, O119, "-"), "-"))</f>
        <v>15.9</v>
      </c>
      <c r="T119" s="44" t="str">
        <f>=IF(ISBLANK(Q119), "", "Hayır")</f>
        <v>Hayır</v>
      </c>
      <c r="V119" s="44" t="s">
        <v>31</v>
      </c>
    </row>
    <row r="120">
      <c r="A120" s="44" t="s">
        <v>241</v>
      </c>
      <c r="B120" s="44" t="s">
        <v>242</v>
      </c>
      <c r="C120" s="44" t="s">
        <v>284</v>
      </c>
      <c r="D120" s="44" t="s">
        <v>285</v>
      </c>
      <c r="E120" s="44" t="s">
        <v>103</v>
      </c>
      <c r="F120" s="44" t="s">
        <v>245</v>
      </c>
      <c r="G120" s="44" t="s">
        <v>27</v>
      </c>
      <c r="H120" s="44" t="s">
        <v>28</v>
      </c>
      <c r="I120" s="44">
        <v>999</v>
      </c>
      <c r="J120" s="44">
        <v>5486</v>
      </c>
      <c r="K120" s="44">
        <v>3655.1</v>
      </c>
      <c r="L120" s="44">
        <v>20.8</v>
      </c>
      <c r="M120" s="44">
        <v>3266.38</v>
      </c>
      <c r="N120" s="44" t="s">
        <v>29</v>
      </c>
      <c r="O120" s="44">
        <v>17.5</v>
      </c>
      <c r="P120" s="44">
        <v>3655.1</v>
      </c>
      <c r="Q120" s="41">
        <v>3266.38</v>
      </c>
      <c r="R120" s="44" t="s">
        <v>30</v>
      </c>
      <c r="S120" s="41">
        <f>=IF(OR(Q120="", R120=""), "-", IF(ISNUMBER(SEARCH("7 Günlük", R120)), IF(Q120&lt;=M120, O120, "-"), "-"))</f>
        <v>17.5</v>
      </c>
      <c r="T120" s="44" t="str">
        <f>=IF(ISBLANK(Q120), "", "Hayır")</f>
        <v>Hayır</v>
      </c>
      <c r="V120" s="44" t="s">
        <v>31</v>
      </c>
    </row>
    <row r="121">
      <c r="A121" s="44" t="s">
        <v>241</v>
      </c>
      <c r="B121" s="44" t="s">
        <v>242</v>
      </c>
      <c r="C121" s="44" t="s">
        <v>286</v>
      </c>
      <c r="D121" s="44" t="s">
        <v>287</v>
      </c>
      <c r="E121" s="44" t="s">
        <v>288</v>
      </c>
      <c r="F121" s="44" t="s">
        <v>245</v>
      </c>
      <c r="G121" s="44" t="s">
        <v>27</v>
      </c>
      <c r="H121" s="44" t="s">
        <v>28</v>
      </c>
      <c r="I121" s="44">
        <v>999</v>
      </c>
      <c r="J121" s="44">
        <v>14554</v>
      </c>
      <c r="K121" s="44">
        <v>9648.67</v>
      </c>
      <c r="L121" s="44">
        <v>20.7</v>
      </c>
      <c r="M121" s="44">
        <v>8627.01</v>
      </c>
      <c r="N121" s="44" t="s">
        <v>29</v>
      </c>
      <c r="O121" s="44">
        <v>17.4</v>
      </c>
      <c r="P121" s="44">
        <v>9648.67</v>
      </c>
      <c r="Q121" s="41">
        <v>8627.01</v>
      </c>
      <c r="R121" s="44" t="s">
        <v>30</v>
      </c>
      <c r="S121" s="41">
        <f>=IF(OR(Q121="", R121=""), "-", IF(ISNUMBER(SEARCH("7 Günlük", R121)), IF(Q121&lt;=M121, O121, "-"), "-"))</f>
        <v>17.4</v>
      </c>
      <c r="T121" s="44" t="str">
        <f>=IF(ISBLANK(Q121), "", "Hayır")</f>
        <v>Hayır</v>
      </c>
      <c r="V121" s="44" t="s">
        <v>31</v>
      </c>
    </row>
    <row r="122">
      <c r="A122" s="44" t="s">
        <v>241</v>
      </c>
      <c r="B122" s="44" t="s">
        <v>242</v>
      </c>
      <c r="C122" s="44" t="s">
        <v>289</v>
      </c>
      <c r="D122" s="44" t="s">
        <v>290</v>
      </c>
      <c r="E122" s="44" t="s">
        <v>291</v>
      </c>
      <c r="F122" s="44" t="s">
        <v>245</v>
      </c>
      <c r="G122" s="44" t="s">
        <v>27</v>
      </c>
      <c r="H122" s="44" t="s">
        <v>28</v>
      </c>
      <c r="I122" s="44">
        <v>999</v>
      </c>
      <c r="J122" s="44">
        <v>4191</v>
      </c>
      <c r="K122" s="44">
        <v>2815.69</v>
      </c>
      <c r="L122" s="44">
        <v>21.3</v>
      </c>
      <c r="M122" s="44">
        <v>2309.1</v>
      </c>
      <c r="N122" s="44" t="s">
        <v>29</v>
      </c>
      <c r="O122" s="44">
        <v>15.3</v>
      </c>
      <c r="P122" s="44">
        <v>2815.69</v>
      </c>
      <c r="Q122" s="41">
        <v>2309.1</v>
      </c>
      <c r="R122" s="44" t="s">
        <v>30</v>
      </c>
      <c r="S122" s="41">
        <f>=IF(OR(Q122="", R122=""), "-", IF(ISNUMBER(SEARCH("7 Günlük", R122)), IF(Q122&lt;=M122, O122, "-"), "-"))</f>
        <v>15.3</v>
      </c>
      <c r="T122" s="44" t="str">
        <f>=IF(ISBLANK(Q122), "", "Hayır")</f>
        <v>Hayır</v>
      </c>
      <c r="V122" s="44" t="s">
        <v>31</v>
      </c>
    </row>
    <row r="123">
      <c r="A123" s="44" t="s">
        <v>241</v>
      </c>
      <c r="B123" s="44" t="s">
        <v>242</v>
      </c>
      <c r="C123" s="44" t="s">
        <v>292</v>
      </c>
      <c r="D123" s="44" t="s">
        <v>293</v>
      </c>
      <c r="E123" s="44" t="s">
        <v>294</v>
      </c>
      <c r="F123" s="44" t="s">
        <v>245</v>
      </c>
      <c r="G123" s="44" t="s">
        <v>27</v>
      </c>
      <c r="H123" s="44" t="s">
        <v>28</v>
      </c>
      <c r="I123" s="44">
        <v>999</v>
      </c>
      <c r="J123" s="44">
        <v>10919</v>
      </c>
      <c r="K123" s="44">
        <v>7240.68</v>
      </c>
      <c r="L123" s="44">
        <v>20.3</v>
      </c>
      <c r="M123" s="44">
        <v>6099.73</v>
      </c>
      <c r="N123" s="44" t="s">
        <v>29</v>
      </c>
      <c r="O123" s="44">
        <v>15.5</v>
      </c>
      <c r="P123" s="44">
        <v>7240.68</v>
      </c>
      <c r="Q123" s="41">
        <v>6099.73</v>
      </c>
      <c r="R123" s="44" t="s">
        <v>30</v>
      </c>
      <c r="S123" s="41">
        <f>=IF(OR(Q123="", R123=""), "-", IF(ISNUMBER(SEARCH("7 Günlük", R123)), IF(Q123&lt;=M123, O123, "-"), "-"))</f>
        <v>15.5</v>
      </c>
      <c r="T123" s="44" t="str">
        <f>=IF(ISBLANK(Q123), "", "Hayır")</f>
        <v>Hayır</v>
      </c>
      <c r="V123" s="44" t="s">
        <v>31</v>
      </c>
    </row>
    <row r="124">
      <c r="A124" s="44" t="s">
        <v>241</v>
      </c>
      <c r="B124" s="44" t="s">
        <v>242</v>
      </c>
      <c r="C124" s="44" t="s">
        <v>295</v>
      </c>
      <c r="D124" s="44" t="s">
        <v>296</v>
      </c>
      <c r="E124" s="44" t="s">
        <v>297</v>
      </c>
      <c r="F124" s="44" t="s">
        <v>245</v>
      </c>
      <c r="G124" s="44" t="s">
        <v>27</v>
      </c>
      <c r="H124" s="44" t="s">
        <v>28</v>
      </c>
      <c r="I124" s="44">
        <v>999</v>
      </c>
      <c r="J124" s="44">
        <v>6521</v>
      </c>
      <c r="K124" s="44">
        <v>4333.29</v>
      </c>
      <c r="L124" s="44">
        <v>20.7</v>
      </c>
      <c r="M124" s="44">
        <v>3870.13</v>
      </c>
      <c r="N124" s="44" t="s">
        <v>29</v>
      </c>
      <c r="O124" s="44">
        <v>17.5</v>
      </c>
      <c r="P124" s="44">
        <v>4333.29</v>
      </c>
      <c r="Q124" s="41">
        <v>3870.13</v>
      </c>
      <c r="R124" s="44" t="s">
        <v>30</v>
      </c>
      <c r="S124" s="41">
        <f>=IF(OR(Q124="", R124=""), "-", IF(ISNUMBER(SEARCH("7 Günlük", R124)), IF(Q124&lt;=M124, O124, "-"), "-"))</f>
        <v>17.5</v>
      </c>
      <c r="T124" s="44" t="str">
        <f>=IF(ISBLANK(Q124), "", "Hayır")</f>
        <v>Hayır</v>
      </c>
      <c r="V124" s="44" t="s">
        <v>31</v>
      </c>
    </row>
    <row r="125">
      <c r="A125" s="44" t="s">
        <v>241</v>
      </c>
      <c r="B125" s="44" t="s">
        <v>242</v>
      </c>
      <c r="C125" s="44" t="s">
        <v>298</v>
      </c>
      <c r="D125" s="44" t="s">
        <v>299</v>
      </c>
      <c r="E125" s="44" t="s">
        <v>300</v>
      </c>
      <c r="F125" s="44" t="s">
        <v>245</v>
      </c>
      <c r="G125" s="44" t="s">
        <v>27</v>
      </c>
      <c r="H125" s="44" t="s">
        <v>28</v>
      </c>
      <c r="I125" s="44">
        <v>999</v>
      </c>
      <c r="J125" s="44">
        <v>10919</v>
      </c>
      <c r="K125" s="44">
        <v>7261.31</v>
      </c>
      <c r="L125" s="44">
        <v>20.5</v>
      </c>
      <c r="M125" s="44">
        <v>6346.48</v>
      </c>
      <c r="N125" s="44" t="s">
        <v>29</v>
      </c>
      <c r="O125" s="44">
        <v>16.5</v>
      </c>
      <c r="P125" s="44">
        <v>7261.31</v>
      </c>
      <c r="Q125" s="41">
        <v>6346.48</v>
      </c>
      <c r="R125" s="44" t="s">
        <v>30</v>
      </c>
      <c r="S125" s="41">
        <f>=IF(OR(Q125="", R125=""), "-", IF(ISNUMBER(SEARCH("7 Günlük", R125)), IF(Q125&lt;=M125, O125, "-"), "-"))</f>
        <v>16.5</v>
      </c>
      <c r="T125" s="44" t="str">
        <f>=IF(ISBLANK(Q125), "", "Hayır")</f>
        <v>Hayır</v>
      </c>
      <c r="V125" s="44" t="s">
        <v>31</v>
      </c>
    </row>
    <row r="126">
      <c r="A126" s="44" t="s">
        <v>241</v>
      </c>
      <c r="B126" s="44" t="s">
        <v>242</v>
      </c>
      <c r="C126" s="44" t="s">
        <v>301</v>
      </c>
      <c r="D126" s="44" t="s">
        <v>302</v>
      </c>
      <c r="E126" s="44" t="s">
        <v>220</v>
      </c>
      <c r="F126" s="44" t="s">
        <v>245</v>
      </c>
      <c r="G126" s="44" t="s">
        <v>27</v>
      </c>
      <c r="H126" s="44" t="s">
        <v>28</v>
      </c>
      <c r="I126" s="44">
        <v>999</v>
      </c>
      <c r="J126" s="44">
        <v>7489</v>
      </c>
      <c r="K126" s="44">
        <v>4928.52</v>
      </c>
      <c r="L126" s="44">
        <v>20.5</v>
      </c>
      <c r="M126" s="44">
        <v>4291.92</v>
      </c>
      <c r="N126" s="44" t="s">
        <v>29</v>
      </c>
      <c r="O126" s="44">
        <v>16.3</v>
      </c>
      <c r="P126" s="44">
        <v>4928.52</v>
      </c>
      <c r="Q126" s="41">
        <v>4291.92</v>
      </c>
      <c r="R126" s="44" t="s">
        <v>30</v>
      </c>
      <c r="S126" s="41">
        <f>=IF(OR(Q126="", R126=""), "-", IF(ISNUMBER(SEARCH("7 Günlük", R126)), IF(Q126&lt;=M126, O126, "-"), "-"))</f>
        <v>16.3</v>
      </c>
      <c r="T126" s="44" t="str">
        <f>=IF(ISBLANK(Q126), "", "Hayır")</f>
        <v>Hayır</v>
      </c>
      <c r="V126" s="44" t="s">
        <v>31</v>
      </c>
    </row>
    <row r="127">
      <c r="A127" s="44" t="s">
        <v>241</v>
      </c>
      <c r="B127" s="44" t="s">
        <v>242</v>
      </c>
      <c r="C127" s="44" t="s">
        <v>303</v>
      </c>
      <c r="D127" s="44" t="s">
        <v>304</v>
      </c>
      <c r="E127" s="44" t="s">
        <v>305</v>
      </c>
      <c r="F127" s="44" t="s">
        <v>245</v>
      </c>
      <c r="G127" s="44" t="s">
        <v>27</v>
      </c>
      <c r="H127" s="44" t="s">
        <v>28</v>
      </c>
      <c r="I127" s="44">
        <v>999</v>
      </c>
      <c r="J127" s="44">
        <v>6190</v>
      </c>
      <c r="K127" s="44">
        <v>4070.61</v>
      </c>
      <c r="L127" s="44">
        <v>20.6</v>
      </c>
      <c r="M127" s="44">
        <v>3622.24</v>
      </c>
      <c r="N127" s="44" t="s">
        <v>29</v>
      </c>
      <c r="O127" s="44">
        <v>16.7</v>
      </c>
      <c r="P127" s="44">
        <v>4070.61</v>
      </c>
      <c r="Q127" s="41">
        <v>3622.24</v>
      </c>
      <c r="R127" s="44" t="s">
        <v>30</v>
      </c>
      <c r="S127" s="41">
        <f>=IF(OR(Q127="", R127=""), "-", IF(ISNUMBER(SEARCH("7 Günlük", R127)), IF(Q127&lt;=M127, O127, "-"), "-"))</f>
        <v>16.7</v>
      </c>
      <c r="T127" s="44" t="str">
        <f>=IF(ISBLANK(Q127), "", "Hayır")</f>
        <v>Hayır</v>
      </c>
      <c r="V127" s="44" t="s">
        <v>31</v>
      </c>
    </row>
    <row r="128">
      <c r="A128" s="44" t="s">
        <v>241</v>
      </c>
      <c r="B128" s="44" t="s">
        <v>242</v>
      </c>
      <c r="C128" s="44" t="s">
        <v>306</v>
      </c>
      <c r="D128" s="44" t="s">
        <v>307</v>
      </c>
      <c r="E128" s="44" t="s">
        <v>308</v>
      </c>
      <c r="F128" s="44" t="s">
        <v>245</v>
      </c>
      <c r="G128" s="44" t="s">
        <v>27</v>
      </c>
      <c r="H128" s="44" t="s">
        <v>28</v>
      </c>
      <c r="I128" s="44">
        <v>999</v>
      </c>
      <c r="J128" s="44">
        <v>10215</v>
      </c>
      <c r="K128" s="44">
        <v>6784.05</v>
      </c>
      <c r="L128" s="44">
        <v>20.5</v>
      </c>
      <c r="M128" s="44">
        <v>5926.06</v>
      </c>
      <c r="N128" s="44" t="s">
        <v>29</v>
      </c>
      <c r="O128" s="44">
        <v>16.5</v>
      </c>
      <c r="P128" s="44">
        <v>6784.05</v>
      </c>
      <c r="Q128" s="41">
        <v>5926.06</v>
      </c>
      <c r="R128" s="44" t="s">
        <v>30</v>
      </c>
      <c r="S128" s="41">
        <f>=IF(OR(Q128="", R128=""), "-", IF(ISNUMBER(SEARCH("7 Günlük", R128)), IF(Q128&lt;=M128, O128, "-"), "-"))</f>
        <v>16.5</v>
      </c>
      <c r="T128" s="44" t="str">
        <f>=IF(ISBLANK(Q128), "", "Hayır")</f>
        <v>Hayır</v>
      </c>
      <c r="V128" s="44" t="s">
        <v>31</v>
      </c>
    </row>
    <row r="129">
      <c r="A129" s="44" t="s">
        <v>241</v>
      </c>
      <c r="B129" s="44" t="s">
        <v>242</v>
      </c>
      <c r="C129" s="44" t="s">
        <v>309</v>
      </c>
      <c r="D129" s="44" t="s">
        <v>310</v>
      </c>
      <c r="E129" s="44" t="s">
        <v>119</v>
      </c>
      <c r="F129" s="44" t="s">
        <v>245</v>
      </c>
      <c r="G129" s="44" t="s">
        <v>27</v>
      </c>
      <c r="H129" s="44" t="s">
        <v>28</v>
      </c>
      <c r="I129" s="44">
        <v>999</v>
      </c>
      <c r="J129" s="44">
        <v>6521</v>
      </c>
      <c r="K129" s="44">
        <v>4272.06</v>
      </c>
      <c r="L129" s="44">
        <v>20.5</v>
      </c>
      <c r="M129" s="44">
        <v>3713.6</v>
      </c>
      <c r="N129" s="44" t="s">
        <v>29</v>
      </c>
      <c r="O129" s="44">
        <v>16.3</v>
      </c>
      <c r="P129" s="44">
        <v>4272.06</v>
      </c>
      <c r="Q129" s="41">
        <v>3713.6</v>
      </c>
      <c r="R129" s="44" t="s">
        <v>30</v>
      </c>
      <c r="S129" s="41">
        <f>=IF(OR(Q129="", R129=""), "-", IF(ISNUMBER(SEARCH("7 Günlük", R129)), IF(Q129&lt;=M129, O129, "-"), "-"))</f>
        <v>16.3</v>
      </c>
      <c r="T129" s="44" t="str">
        <f>=IF(ISBLANK(Q129), "", "Hayır")</f>
        <v>Hayır</v>
      </c>
      <c r="V129" s="44" t="s">
        <v>31</v>
      </c>
    </row>
    <row r="130">
      <c r="A130" s="44" t="s">
        <v>241</v>
      </c>
      <c r="B130" s="44" t="s">
        <v>242</v>
      </c>
      <c r="C130" s="44" t="s">
        <v>311</v>
      </c>
      <c r="D130" s="44" t="s">
        <v>312</v>
      </c>
      <c r="E130" s="44" t="s">
        <v>213</v>
      </c>
      <c r="F130" s="44" t="s">
        <v>245</v>
      </c>
      <c r="G130" s="44" t="s">
        <v>27</v>
      </c>
      <c r="H130" s="44" t="s">
        <v>28</v>
      </c>
      <c r="I130" s="44">
        <v>999</v>
      </c>
      <c r="J130" s="44">
        <v>11546</v>
      </c>
      <c r="K130" s="44">
        <v>7554.87</v>
      </c>
      <c r="L130" s="44">
        <v>20.5</v>
      </c>
      <c r="M130" s="44">
        <v>6738.86</v>
      </c>
      <c r="N130" s="44" t="s">
        <v>29</v>
      </c>
      <c r="O130" s="44">
        <v>16.6</v>
      </c>
      <c r="P130" s="44">
        <v>7554.87</v>
      </c>
      <c r="Q130" s="41">
        <v>6738.86</v>
      </c>
      <c r="R130" s="44" t="s">
        <v>30</v>
      </c>
      <c r="S130" s="41">
        <f>=IF(OR(Q130="", R130=""), "-", IF(ISNUMBER(SEARCH("7 Günlük", R130)), IF(Q130&lt;=M130, O130, "-"), "-"))</f>
        <v>16.6</v>
      </c>
      <c r="T130" s="44" t="str">
        <f>=IF(ISBLANK(Q130), "", "Hayır")</f>
        <v>Hayır</v>
      </c>
      <c r="V130" s="44" t="s">
        <v>31</v>
      </c>
    </row>
    <row r="131">
      <c r="A131" s="44" t="s">
        <v>241</v>
      </c>
      <c r="B131" s="44" t="s">
        <v>242</v>
      </c>
      <c r="C131" s="44" t="s">
        <v>313</v>
      </c>
      <c r="D131" s="44" t="s">
        <v>314</v>
      </c>
      <c r="E131" s="44" t="s">
        <v>140</v>
      </c>
      <c r="F131" s="44" t="s">
        <v>245</v>
      </c>
      <c r="G131" s="44" t="s">
        <v>27</v>
      </c>
      <c r="H131" s="44" t="s">
        <v>28</v>
      </c>
      <c r="I131" s="44">
        <v>998</v>
      </c>
      <c r="J131" s="44">
        <v>1571</v>
      </c>
      <c r="K131" s="44">
        <v>1105.34</v>
      </c>
      <c r="L131" s="44">
        <v>21.1</v>
      </c>
      <c r="M131" s="44">
        <v>864.1</v>
      </c>
      <c r="N131" s="44" t="s">
        <v>29</v>
      </c>
      <c r="O131" s="44">
        <v>13.9</v>
      </c>
      <c r="P131" s="44">
        <v>1105.34</v>
      </c>
      <c r="Q131" s="41">
        <v>864.1</v>
      </c>
      <c r="R131" s="44" t="s">
        <v>30</v>
      </c>
      <c r="S131" s="41">
        <f>=IF(OR(Q131="", R131=""), "-", IF(ISNUMBER(SEARCH("7 Günlük", R131)), IF(Q131&lt;=M131, O131, "-"), "-"))</f>
        <v>13.9</v>
      </c>
      <c r="T131" s="44" t="str">
        <f>=IF(ISBLANK(Q131), "", "Hayır")</f>
        <v>Hayır</v>
      </c>
      <c r="V131" s="44" t="s">
        <v>31</v>
      </c>
    </row>
    <row r="132">
      <c r="A132" s="44" t="s">
        <v>241</v>
      </c>
      <c r="B132" s="44" t="s">
        <v>242</v>
      </c>
      <c r="C132" s="44" t="s">
        <v>315</v>
      </c>
      <c r="D132" s="44" t="s">
        <v>316</v>
      </c>
      <c r="E132" s="44" t="s">
        <v>317</v>
      </c>
      <c r="F132" s="44" t="s">
        <v>245</v>
      </c>
      <c r="G132" s="44" t="s">
        <v>27</v>
      </c>
      <c r="H132" s="44" t="s">
        <v>28</v>
      </c>
      <c r="I132" s="44">
        <v>999</v>
      </c>
      <c r="J132" s="44">
        <v>1949</v>
      </c>
      <c r="K132" s="44">
        <v>1347.63</v>
      </c>
      <c r="L132" s="44">
        <v>21.3</v>
      </c>
      <c r="M132" s="44">
        <v>1135.31</v>
      </c>
      <c r="N132" s="44" t="s">
        <v>29</v>
      </c>
      <c r="O132" s="44">
        <v>16.1</v>
      </c>
      <c r="P132" s="44">
        <v>1347.63</v>
      </c>
      <c r="Q132" s="41">
        <v>1135.31</v>
      </c>
      <c r="R132" s="44" t="s">
        <v>30</v>
      </c>
      <c r="S132" s="41">
        <f>=IF(OR(Q132="", R132=""), "-", IF(ISNUMBER(SEARCH("7 Günlük", R132)), IF(Q132&lt;=M132, O132, "-"), "-"))</f>
        <v>16.1</v>
      </c>
      <c r="T132" s="44" t="str">
        <f>=IF(ISBLANK(Q132), "", "Hayır")</f>
        <v>Hayır</v>
      </c>
      <c r="V132" s="44" t="s">
        <v>31</v>
      </c>
    </row>
    <row r="133">
      <c r="A133" s="44" t="s">
        <v>318</v>
      </c>
      <c r="B133" s="44" t="s">
        <v>319</v>
      </c>
      <c r="C133" s="44" t="s">
        <v>320</v>
      </c>
      <c r="D133" s="44" t="s">
        <v>320</v>
      </c>
      <c r="F133" s="44" t="s">
        <v>321</v>
      </c>
      <c r="G133" s="44" t="s">
        <v>322</v>
      </c>
      <c r="H133" s="44" t="s">
        <v>28</v>
      </c>
      <c r="I133" s="44">
        <v>992</v>
      </c>
      <c r="J133" s="44">
        <v>493</v>
      </c>
      <c r="K133" s="44">
        <v>451.79</v>
      </c>
      <c r="L133" s="44">
        <v>21</v>
      </c>
      <c r="M133" s="44">
        <v>333.66</v>
      </c>
      <c r="N133" s="44" t="s">
        <v>29</v>
      </c>
      <c r="O133" s="44">
        <v>14.3</v>
      </c>
      <c r="P133" s="44">
        <v>451.79</v>
      </c>
      <c r="Q133" s="41">
        <v>333.66</v>
      </c>
      <c r="R133" s="44" t="s">
        <v>30</v>
      </c>
      <c r="S133" s="41">
        <f>=IF(OR(Q133="", R133=""), "-", IF(ISNUMBER(SEARCH("7 Günlük", R133)), IF(Q133&lt;=M133, O133, "-"), "-"))</f>
        <v>14.3</v>
      </c>
      <c r="T133" s="44" t="str">
        <f>=IF(ISBLANK(Q133), "", "Hayır")</f>
        <v>Hayır</v>
      </c>
      <c r="V133" s="44" t="s">
        <v>31</v>
      </c>
    </row>
    <row r="134">
      <c r="A134" s="44" t="s">
        <v>323</v>
      </c>
      <c r="B134" s="44" t="s">
        <v>324</v>
      </c>
      <c r="C134" s="44" t="s">
        <v>325</v>
      </c>
      <c r="D134" s="44" t="s">
        <v>325</v>
      </c>
      <c r="F134" s="44" t="s">
        <v>326</v>
      </c>
      <c r="G134" s="44" t="s">
        <v>322</v>
      </c>
      <c r="H134" s="44" t="s">
        <v>28</v>
      </c>
      <c r="I134" s="44">
        <v>992</v>
      </c>
      <c r="J134" s="44">
        <v>687</v>
      </c>
      <c r="K134" s="44">
        <v>485.56</v>
      </c>
      <c r="L134" s="44">
        <v>18.1</v>
      </c>
      <c r="M134" s="44">
        <v>459.5</v>
      </c>
      <c r="N134" s="44" t="s">
        <v>29</v>
      </c>
      <c r="O134" s="44">
        <v>15.4</v>
      </c>
      <c r="P134" s="44">
        <v>485.56</v>
      </c>
      <c r="Q134" s="41">
        <v>459.5</v>
      </c>
      <c r="R134" s="44" t="s">
        <v>30</v>
      </c>
      <c r="S134" s="41">
        <f>=IF(OR(Q134="", R134=""), "-", IF(ISNUMBER(SEARCH("7 Günlük", R134)), IF(Q134&lt;=M134, O134, "-"), "-"))</f>
        <v>15.4</v>
      </c>
      <c r="T134" s="44" t="str">
        <f>=IF(ISBLANK(Q134), "", "Hayır")</f>
        <v>Hayır</v>
      </c>
      <c r="V134" s="44" t="s">
        <v>31</v>
      </c>
    </row>
    <row r="135">
      <c r="A135" s="44" t="s">
        <v>327</v>
      </c>
      <c r="B135" s="44" t="s">
        <v>328</v>
      </c>
      <c r="C135" s="44" t="s">
        <v>329</v>
      </c>
      <c r="D135" s="44" t="s">
        <v>330</v>
      </c>
      <c r="E135" s="44" t="s">
        <v>44</v>
      </c>
      <c r="F135" s="44" t="s">
        <v>245</v>
      </c>
      <c r="G135" s="44" t="s">
        <v>27</v>
      </c>
      <c r="H135" s="44" t="s">
        <v>28</v>
      </c>
      <c r="I135" s="44">
        <v>998</v>
      </c>
      <c r="J135" s="44">
        <v>399</v>
      </c>
      <c r="K135" s="44">
        <v>399</v>
      </c>
      <c r="L135" s="44">
        <v>22</v>
      </c>
      <c r="M135" s="44">
        <v>300.14</v>
      </c>
      <c r="N135" s="44" t="s">
        <v>29</v>
      </c>
      <c r="O135" s="44">
        <v>16.7</v>
      </c>
      <c r="P135" s="44">
        <v>399</v>
      </c>
      <c r="Q135" s="41">
        <v>300.14</v>
      </c>
      <c r="R135" s="44" t="s">
        <v>30</v>
      </c>
      <c r="S135" s="41">
        <f>=IF(OR(Q135="", R135=""), "-", IF(ISNUMBER(SEARCH("7 Günlük", R135)), IF(Q135&lt;=M135, O135, "-"), "-"))</f>
        <v>16.7</v>
      </c>
      <c r="T135" s="44" t="str">
        <f>=IF(ISBLANK(Q135), "", "Hayır")</f>
        <v>Hayır</v>
      </c>
      <c r="V135" s="44" t="s">
        <v>31</v>
      </c>
    </row>
    <row r="136">
      <c r="A136" s="44" t="s">
        <v>327</v>
      </c>
      <c r="B136" s="44" t="s">
        <v>328</v>
      </c>
      <c r="C136" s="44" t="s">
        <v>331</v>
      </c>
      <c r="D136" s="44" t="s">
        <v>332</v>
      </c>
      <c r="E136" s="44" t="s">
        <v>69</v>
      </c>
      <c r="F136" s="44" t="s">
        <v>245</v>
      </c>
      <c r="G136" s="44" t="s">
        <v>27</v>
      </c>
      <c r="H136" s="44" t="s">
        <v>28</v>
      </c>
      <c r="I136" s="44">
        <v>999</v>
      </c>
      <c r="J136" s="44">
        <v>1264</v>
      </c>
      <c r="K136" s="44">
        <v>1264</v>
      </c>
      <c r="L136" s="44">
        <v>22</v>
      </c>
      <c r="M136" s="44">
        <v>645.35</v>
      </c>
      <c r="N136" s="44" t="s">
        <v>29</v>
      </c>
      <c r="O136" s="44">
        <v>12.8</v>
      </c>
      <c r="P136" s="44">
        <v>1264</v>
      </c>
      <c r="Q136" s="41">
        <v>645.35</v>
      </c>
      <c r="R136" s="44" t="s">
        <v>30</v>
      </c>
      <c r="S136" s="41">
        <f>=IF(OR(Q136="", R136=""), "-", IF(ISNUMBER(SEARCH("7 Günlük", R136)), IF(Q136&lt;=M136, O136, "-"), "-"))</f>
        <v>12.8</v>
      </c>
      <c r="T136" s="44" t="str">
        <f>=IF(ISBLANK(Q136), "", "Hayır")</f>
        <v>Hayır</v>
      </c>
      <c r="V136" s="44" t="s">
        <v>31</v>
      </c>
    </row>
    <row r="137">
      <c r="A137" s="44" t="s">
        <v>327</v>
      </c>
      <c r="B137" s="44" t="s">
        <v>328</v>
      </c>
      <c r="C137" s="44" t="s">
        <v>333</v>
      </c>
      <c r="D137" s="44" t="s">
        <v>334</v>
      </c>
      <c r="E137" s="44" t="s">
        <v>59</v>
      </c>
      <c r="F137" s="44" t="s">
        <v>245</v>
      </c>
      <c r="G137" s="44" t="s">
        <v>27</v>
      </c>
      <c r="H137" s="44" t="s">
        <v>28</v>
      </c>
      <c r="I137" s="44">
        <v>999</v>
      </c>
      <c r="J137" s="44">
        <v>1095</v>
      </c>
      <c r="K137" s="44">
        <v>1095</v>
      </c>
      <c r="L137" s="44">
        <v>22</v>
      </c>
      <c r="M137" s="44">
        <v>567.4299999999999</v>
      </c>
      <c r="N137" s="44" t="s">
        <v>29</v>
      </c>
      <c r="O137" s="44">
        <v>13</v>
      </c>
      <c r="P137" s="44">
        <v>1095</v>
      </c>
      <c r="Q137" s="41">
        <v>567.4299999999999</v>
      </c>
      <c r="R137" s="44" t="s">
        <v>30</v>
      </c>
      <c r="S137" s="41">
        <f>=IF(OR(Q137="", R137=""), "-", IF(ISNUMBER(SEARCH("7 Günlük", R137)), IF(Q137&lt;=M137, O137, "-"), "-"))</f>
        <v>13.0</v>
      </c>
      <c r="T137" s="44" t="str">
        <f>=IF(ISBLANK(Q137), "", "Hayır")</f>
        <v>Hayır</v>
      </c>
      <c r="V137" s="44" t="s">
        <v>31</v>
      </c>
    </row>
    <row r="138">
      <c r="A138" s="44" t="s">
        <v>335</v>
      </c>
      <c r="B138" s="44" t="s">
        <v>336</v>
      </c>
      <c r="C138" s="44" t="s">
        <v>337</v>
      </c>
      <c r="D138" s="44" t="s">
        <v>337</v>
      </c>
      <c r="F138" s="44" t="s">
        <v>338</v>
      </c>
      <c r="G138" s="44" t="s">
        <v>322</v>
      </c>
      <c r="H138" s="44" t="s">
        <v>28</v>
      </c>
      <c r="I138" s="44">
        <v>998</v>
      </c>
      <c r="J138" s="44">
        <v>624</v>
      </c>
      <c r="K138" s="44">
        <v>513.84</v>
      </c>
      <c r="L138" s="44">
        <v>19.8</v>
      </c>
      <c r="M138" s="44">
        <v>368.02</v>
      </c>
      <c r="N138" s="44" t="s">
        <v>29</v>
      </c>
      <c r="O138" s="44">
        <v>9.199999999999999</v>
      </c>
      <c r="P138" s="44">
        <v>513.84</v>
      </c>
      <c r="Q138" s="41">
        <v>368.02</v>
      </c>
      <c r="R138" s="44" t="s">
        <v>30</v>
      </c>
      <c r="S138" s="41">
        <f>=IF(OR(Q138="", R138=""), "-", IF(ISNUMBER(SEARCH("7 Günlük", R138)), IF(Q138&lt;=M138, O138, "-"), "-"))</f>
        <v>9.2</v>
      </c>
      <c r="T138" s="44" t="str">
        <f>=IF(ISBLANK(Q138), "", "Hayır")</f>
        <v>Hayır</v>
      </c>
      <c r="V138" s="44" t="s">
        <v>31</v>
      </c>
    </row>
    <row r="139">
      <c r="A139" s="44" t="s">
        <v>339</v>
      </c>
      <c r="B139" s="44" t="s">
        <v>340</v>
      </c>
      <c r="C139" s="44" t="s">
        <v>341</v>
      </c>
      <c r="D139" s="44" t="s">
        <v>342</v>
      </c>
      <c r="E139" s="44" t="s">
        <v>343</v>
      </c>
      <c r="F139" s="44" t="s">
        <v>245</v>
      </c>
      <c r="G139" s="44" t="s">
        <v>27</v>
      </c>
      <c r="H139" s="44" t="s">
        <v>28</v>
      </c>
      <c r="I139" s="44">
        <v>999</v>
      </c>
      <c r="J139" s="44">
        <v>21692</v>
      </c>
      <c r="K139" s="44">
        <v>13612.68</v>
      </c>
      <c r="L139" s="44">
        <v>20.4</v>
      </c>
      <c r="M139" s="44">
        <v>11776.37</v>
      </c>
      <c r="N139" s="44" t="s">
        <v>29</v>
      </c>
      <c r="O139" s="44">
        <v>16</v>
      </c>
      <c r="P139" s="44">
        <v>13612.68</v>
      </c>
      <c r="Q139" s="41">
        <v>11776.37</v>
      </c>
      <c r="R139" s="44" t="s">
        <v>30</v>
      </c>
      <c r="S139" s="41">
        <f>=IF(OR(Q139="", R139=""), "-", IF(ISNUMBER(SEARCH("7 Günlük", R139)), IF(Q139&lt;=M139, O139, "-"), "-"))</f>
        <v>16.0</v>
      </c>
      <c r="T139" s="44" t="str">
        <f>=IF(ISBLANK(Q139), "", "Hayır")</f>
        <v>Hayır</v>
      </c>
      <c r="V139" s="44" t="s">
        <v>31</v>
      </c>
    </row>
    <row r="140">
      <c r="A140" s="44" t="s">
        <v>339</v>
      </c>
      <c r="B140" s="44" t="s">
        <v>340</v>
      </c>
      <c r="C140" s="44" t="s">
        <v>344</v>
      </c>
      <c r="D140" s="44" t="s">
        <v>345</v>
      </c>
      <c r="E140" s="44" t="s">
        <v>65</v>
      </c>
      <c r="F140" s="44" t="s">
        <v>245</v>
      </c>
      <c r="G140" s="44" t="s">
        <v>27</v>
      </c>
      <c r="H140" s="44" t="s">
        <v>28</v>
      </c>
      <c r="I140" s="44">
        <v>998</v>
      </c>
      <c r="J140" s="44">
        <v>3449</v>
      </c>
      <c r="K140" s="44">
        <v>2330.53</v>
      </c>
      <c r="L140" s="44">
        <v>20.6</v>
      </c>
      <c r="M140" s="44">
        <v>2051.92</v>
      </c>
      <c r="N140" s="44" t="s">
        <v>29</v>
      </c>
      <c r="O140" s="44">
        <v>16.6</v>
      </c>
      <c r="P140" s="44">
        <v>2330.53</v>
      </c>
      <c r="Q140" s="41">
        <v>2051.92</v>
      </c>
      <c r="R140" s="44" t="s">
        <v>30</v>
      </c>
      <c r="S140" s="41">
        <f>=IF(OR(Q140="", R140=""), "-", IF(ISNUMBER(SEARCH("7 Günlük", R140)), IF(Q140&lt;=M140, O140, "-"), "-"))</f>
        <v>16.6</v>
      </c>
      <c r="T140" s="44" t="str">
        <f>=IF(ISBLANK(Q140), "", "Hayır")</f>
        <v>Hayır</v>
      </c>
      <c r="V140" s="44" t="s">
        <v>31</v>
      </c>
    </row>
    <row r="141">
      <c r="A141" s="44" t="s">
        <v>339</v>
      </c>
      <c r="B141" s="44" t="s">
        <v>340</v>
      </c>
      <c r="C141" s="44" t="s">
        <v>346</v>
      </c>
      <c r="D141" s="44" t="s">
        <v>347</v>
      </c>
      <c r="E141" s="44" t="s">
        <v>348</v>
      </c>
      <c r="F141" s="44" t="s">
        <v>245</v>
      </c>
      <c r="G141" s="44" t="s">
        <v>27</v>
      </c>
      <c r="H141" s="44" t="s">
        <v>28</v>
      </c>
      <c r="I141" s="44">
        <v>999</v>
      </c>
      <c r="J141" s="44">
        <v>4904</v>
      </c>
      <c r="K141" s="44">
        <v>3248.9</v>
      </c>
      <c r="L141" s="44">
        <v>20.5</v>
      </c>
      <c r="M141" s="44">
        <v>2883.86</v>
      </c>
      <c r="N141" s="44" t="s">
        <v>29</v>
      </c>
      <c r="O141" s="44">
        <v>16.6</v>
      </c>
      <c r="P141" s="44">
        <v>3248.9</v>
      </c>
      <c r="Q141" s="41">
        <v>2883.86</v>
      </c>
      <c r="R141" s="44" t="s">
        <v>30</v>
      </c>
      <c r="S141" s="41">
        <f>=IF(OR(Q141="", R141=""), "-", IF(ISNUMBER(SEARCH("7 Günlük", R141)), IF(Q141&lt;=M141, O141, "-"), "-"))</f>
        <v>16.6</v>
      </c>
      <c r="T141" s="44" t="str">
        <f>=IF(ISBLANK(Q141), "", "Hayır")</f>
        <v>Hayır</v>
      </c>
      <c r="V141" s="44" t="s">
        <v>31</v>
      </c>
    </row>
    <row r="142">
      <c r="A142" s="44" t="s">
        <v>339</v>
      </c>
      <c r="B142" s="44" t="s">
        <v>340</v>
      </c>
      <c r="C142" s="44" t="s">
        <v>349</v>
      </c>
      <c r="D142" s="44" t="s">
        <v>350</v>
      </c>
      <c r="E142" s="44" t="s">
        <v>260</v>
      </c>
      <c r="F142" s="44" t="s">
        <v>245</v>
      </c>
      <c r="G142" s="44" t="s">
        <v>27</v>
      </c>
      <c r="H142" s="44" t="s">
        <v>28</v>
      </c>
      <c r="I142" s="44">
        <v>999</v>
      </c>
      <c r="J142" s="44">
        <v>5982</v>
      </c>
      <c r="K142" s="44">
        <v>3922.63</v>
      </c>
      <c r="L142" s="44">
        <v>20.5</v>
      </c>
      <c r="M142" s="44">
        <v>3406.8</v>
      </c>
      <c r="N142" s="44" t="s">
        <v>29</v>
      </c>
      <c r="O142" s="44">
        <v>16.3</v>
      </c>
      <c r="P142" s="44">
        <v>3922.63</v>
      </c>
      <c r="Q142" s="41">
        <v>3406.8</v>
      </c>
      <c r="R142" s="44" t="s">
        <v>30</v>
      </c>
      <c r="S142" s="41">
        <f>=IF(OR(Q142="", R142=""), "-", IF(ISNUMBER(SEARCH("7 Günlük", R142)), IF(Q142&lt;=M142, O142, "-"), "-"))</f>
        <v>16.3</v>
      </c>
      <c r="T142" s="44" t="str">
        <f>=IF(ISBLANK(Q142), "", "Hayır")</f>
        <v>Hayır</v>
      </c>
      <c r="V142" s="44" t="s">
        <v>31</v>
      </c>
    </row>
    <row r="143">
      <c r="A143" s="44" t="s">
        <v>339</v>
      </c>
      <c r="B143" s="44" t="s">
        <v>340</v>
      </c>
      <c r="C143" s="44" t="s">
        <v>351</v>
      </c>
      <c r="D143" s="44" t="s">
        <v>352</v>
      </c>
      <c r="E143" s="44" t="s">
        <v>308</v>
      </c>
      <c r="F143" s="44" t="s">
        <v>245</v>
      </c>
      <c r="G143" s="44" t="s">
        <v>27</v>
      </c>
      <c r="H143" s="44" t="s">
        <v>28</v>
      </c>
      <c r="I143" s="44">
        <v>999</v>
      </c>
      <c r="J143" s="44">
        <v>10215</v>
      </c>
      <c r="K143" s="44">
        <v>6651.52</v>
      </c>
      <c r="L143" s="44">
        <v>21.2</v>
      </c>
      <c r="M143" s="44">
        <v>5324.23</v>
      </c>
      <c r="N143" s="44" t="s">
        <v>29</v>
      </c>
      <c r="O143" s="44">
        <v>14.6</v>
      </c>
      <c r="P143" s="44">
        <v>6651.52</v>
      </c>
      <c r="Q143" s="41">
        <v>5324.23</v>
      </c>
      <c r="R143" s="44" t="s">
        <v>30</v>
      </c>
      <c r="S143" s="41">
        <f>=IF(OR(Q143="", R143=""), "-", IF(ISNUMBER(SEARCH("7 Günlük", R143)), IF(Q143&lt;=M143, O143, "-"), "-"))</f>
        <v>14.6</v>
      </c>
      <c r="T143" s="44" t="str">
        <f>=IF(ISBLANK(Q143), "", "Hayır")</f>
        <v>Hayır</v>
      </c>
      <c r="V143" s="44" t="s">
        <v>31</v>
      </c>
    </row>
    <row r="144">
      <c r="A144" s="44" t="s">
        <v>339</v>
      </c>
      <c r="B144" s="44" t="s">
        <v>340</v>
      </c>
      <c r="C144" s="44" t="s">
        <v>353</v>
      </c>
      <c r="D144" s="44" t="s">
        <v>354</v>
      </c>
      <c r="E144" s="44" t="s">
        <v>263</v>
      </c>
      <c r="F144" s="44" t="s">
        <v>245</v>
      </c>
      <c r="G144" s="44" t="s">
        <v>27</v>
      </c>
      <c r="H144" s="44" t="s">
        <v>28</v>
      </c>
      <c r="I144" s="44">
        <v>999</v>
      </c>
      <c r="J144" s="44">
        <v>8806</v>
      </c>
      <c r="K144" s="44">
        <v>5850.78</v>
      </c>
      <c r="L144" s="44">
        <v>20.5</v>
      </c>
      <c r="M144" s="44">
        <v>5107.22</v>
      </c>
      <c r="N144" s="44" t="s">
        <v>29</v>
      </c>
      <c r="O144" s="44">
        <v>16.5</v>
      </c>
      <c r="P144" s="44">
        <v>5850.78</v>
      </c>
      <c r="Q144" s="41">
        <v>5107.22</v>
      </c>
      <c r="R144" s="44" t="s">
        <v>30</v>
      </c>
      <c r="S144" s="41">
        <f>=IF(OR(Q144="", R144=""), "-", IF(ISNUMBER(SEARCH("7 Günlük", R144)), IF(Q144&lt;=M144, O144, "-"), "-"))</f>
        <v>16.5</v>
      </c>
      <c r="T144" s="44" t="str">
        <f>=IF(ISBLANK(Q144), "", "Hayır")</f>
        <v>Hayır</v>
      </c>
      <c r="V144" s="44" t="s">
        <v>31</v>
      </c>
    </row>
    <row r="145">
      <c r="A145" s="44" t="s">
        <v>339</v>
      </c>
      <c r="B145" s="44" t="s">
        <v>340</v>
      </c>
      <c r="C145" s="44" t="s">
        <v>355</v>
      </c>
      <c r="D145" s="44" t="s">
        <v>356</v>
      </c>
      <c r="E145" s="44" t="s">
        <v>357</v>
      </c>
      <c r="F145" s="44" t="s">
        <v>245</v>
      </c>
      <c r="G145" s="44" t="s">
        <v>27</v>
      </c>
      <c r="H145" s="44" t="s">
        <v>28</v>
      </c>
      <c r="I145" s="44">
        <v>999</v>
      </c>
      <c r="J145" s="44">
        <v>5014</v>
      </c>
      <c r="K145" s="44">
        <v>3337.18</v>
      </c>
      <c r="L145" s="44">
        <v>20.5</v>
      </c>
      <c r="M145" s="44">
        <v>2910.28</v>
      </c>
      <c r="N145" s="44" t="s">
        <v>29</v>
      </c>
      <c r="O145" s="44">
        <v>16.4</v>
      </c>
      <c r="P145" s="44">
        <v>3337.18</v>
      </c>
      <c r="Q145" s="41">
        <v>2910.28</v>
      </c>
      <c r="R145" s="44" t="s">
        <v>30</v>
      </c>
      <c r="S145" s="41">
        <f>=IF(OR(Q145="", R145=""), "-", IF(ISNUMBER(SEARCH("7 Günlük", R145)), IF(Q145&lt;=M145, O145, "-"), "-"))</f>
        <v>16.4</v>
      </c>
      <c r="T145" s="44" t="str">
        <f>=IF(ISBLANK(Q145), "", "Hayır")</f>
        <v>Hayır</v>
      </c>
      <c r="V145" s="44" t="s">
        <v>31</v>
      </c>
    </row>
    <row r="146">
      <c r="A146" s="44" t="s">
        <v>339</v>
      </c>
      <c r="B146" s="44" t="s">
        <v>340</v>
      </c>
      <c r="C146" s="44" t="s">
        <v>358</v>
      </c>
      <c r="D146" s="44" t="s">
        <v>359</v>
      </c>
      <c r="E146" s="44" t="s">
        <v>93</v>
      </c>
      <c r="F146" s="44" t="s">
        <v>245</v>
      </c>
      <c r="G146" s="44" t="s">
        <v>27</v>
      </c>
      <c r="H146" s="44" t="s">
        <v>28</v>
      </c>
      <c r="I146" s="44">
        <v>999</v>
      </c>
      <c r="J146" s="44">
        <v>13053</v>
      </c>
      <c r="K146" s="44">
        <v>8586.02</v>
      </c>
      <c r="L146" s="44">
        <v>21.2</v>
      </c>
      <c r="M146" s="44">
        <v>6647.9</v>
      </c>
      <c r="N146" s="44" t="s">
        <v>29</v>
      </c>
      <c r="O146" s="44">
        <v>13.8</v>
      </c>
      <c r="P146" s="44">
        <v>8586.02</v>
      </c>
      <c r="Q146" s="41">
        <v>6647.9</v>
      </c>
      <c r="R146" s="44" t="s">
        <v>30</v>
      </c>
      <c r="S146" s="41">
        <f>=IF(OR(Q146="", R146=""), "-", IF(ISNUMBER(SEARCH("7 Günlük", R146)), IF(Q146&lt;=M146, O146, "-"), "-"))</f>
        <v>13.8</v>
      </c>
      <c r="T146" s="44" t="str">
        <f>=IF(ISBLANK(Q146), "", "Hayır")</f>
        <v>Hayır</v>
      </c>
      <c r="V146" s="44" t="s">
        <v>31</v>
      </c>
    </row>
    <row r="147">
      <c r="A147" s="44" t="s">
        <v>339</v>
      </c>
      <c r="B147" s="44" t="s">
        <v>340</v>
      </c>
      <c r="C147" s="44" t="s">
        <v>360</v>
      </c>
      <c r="D147" s="44" t="s">
        <v>361</v>
      </c>
      <c r="E147" s="44" t="s">
        <v>297</v>
      </c>
      <c r="F147" s="44" t="s">
        <v>245</v>
      </c>
      <c r="G147" s="44" t="s">
        <v>27</v>
      </c>
      <c r="H147" s="44" t="s">
        <v>28</v>
      </c>
      <c r="I147" s="44">
        <v>999</v>
      </c>
      <c r="J147" s="44">
        <v>6521</v>
      </c>
      <c r="K147" s="44">
        <v>4249.4</v>
      </c>
      <c r="L147" s="44">
        <v>21.2</v>
      </c>
      <c r="M147" s="44">
        <v>3418.22</v>
      </c>
      <c r="N147" s="44" t="s">
        <v>29</v>
      </c>
      <c r="O147" s="44">
        <v>14.7</v>
      </c>
      <c r="P147" s="44">
        <v>4249.4</v>
      </c>
      <c r="Q147" s="41">
        <v>3418.22</v>
      </c>
      <c r="R147" s="44" t="s">
        <v>30</v>
      </c>
      <c r="S147" s="41">
        <f>=IF(OR(Q147="", R147=""), "-", IF(ISNUMBER(SEARCH("7 Günlük", R147)), IF(Q147&lt;=M147, O147, "-"), "-"))</f>
        <v>14.7</v>
      </c>
      <c r="T147" s="44" t="str">
        <f>=IF(ISBLANK(Q147), "", "Hayır")</f>
        <v>Hayır</v>
      </c>
      <c r="V147" s="44" t="s">
        <v>31</v>
      </c>
    </row>
    <row r="148">
      <c r="A148" s="44" t="s">
        <v>339</v>
      </c>
      <c r="B148" s="44" t="s">
        <v>340</v>
      </c>
      <c r="C148" s="44" t="s">
        <v>362</v>
      </c>
      <c r="D148" s="44" t="s">
        <v>363</v>
      </c>
      <c r="E148" s="44" t="s">
        <v>44</v>
      </c>
      <c r="F148" s="44" t="s">
        <v>245</v>
      </c>
      <c r="G148" s="44" t="s">
        <v>27</v>
      </c>
      <c r="H148" s="44" t="s">
        <v>28</v>
      </c>
      <c r="I148" s="44">
        <v>998</v>
      </c>
      <c r="J148" s="44">
        <v>399</v>
      </c>
      <c r="K148" s="44">
        <v>399</v>
      </c>
      <c r="L148" s="44">
        <v>22</v>
      </c>
      <c r="M148" s="44">
        <v>287.28</v>
      </c>
      <c r="N148" s="44" t="s">
        <v>29</v>
      </c>
      <c r="O148" s="44">
        <v>15.9</v>
      </c>
      <c r="P148" s="44">
        <v>399</v>
      </c>
      <c r="Q148" s="41">
        <v>287.28</v>
      </c>
      <c r="R148" s="44" t="s">
        <v>30</v>
      </c>
      <c r="S148" s="41">
        <f>=IF(OR(Q148="", R148=""), "-", IF(ISNUMBER(SEARCH("7 Günlük", R148)), IF(Q148&lt;=M148, O148, "-"), "-"))</f>
        <v>15.9</v>
      </c>
      <c r="T148" s="44" t="str">
        <f>=IF(ISBLANK(Q148), "", "Hayır")</f>
        <v>Hayır</v>
      </c>
      <c r="V148" s="44" t="s">
        <v>31</v>
      </c>
    </row>
    <row r="149">
      <c r="A149" s="44" t="s">
        <v>339</v>
      </c>
      <c r="B149" s="44" t="s">
        <v>340</v>
      </c>
      <c r="C149" s="44" t="s">
        <v>364</v>
      </c>
      <c r="D149" s="44" t="s">
        <v>365</v>
      </c>
      <c r="E149" s="44" t="s">
        <v>366</v>
      </c>
      <c r="F149" s="44" t="s">
        <v>245</v>
      </c>
      <c r="G149" s="44" t="s">
        <v>27</v>
      </c>
      <c r="H149" s="44" t="s">
        <v>28</v>
      </c>
      <c r="I149" s="44">
        <v>999</v>
      </c>
      <c r="J149" s="44">
        <v>6788</v>
      </c>
      <c r="K149" s="44">
        <v>4471.06</v>
      </c>
      <c r="L149" s="44">
        <v>20.5</v>
      </c>
      <c r="M149" s="44">
        <v>3890.23</v>
      </c>
      <c r="N149" s="44" t="s">
        <v>29</v>
      </c>
      <c r="O149" s="44">
        <v>16.3</v>
      </c>
      <c r="P149" s="44">
        <v>4471.06</v>
      </c>
      <c r="Q149" s="41">
        <v>3890.23</v>
      </c>
      <c r="R149" s="44" t="s">
        <v>30</v>
      </c>
      <c r="S149" s="41">
        <f>=IF(OR(Q149="", R149=""), "-", IF(ISNUMBER(SEARCH("7 Günlük", R149)), IF(Q149&lt;=M149, O149, "-"), "-"))</f>
        <v>16.3</v>
      </c>
      <c r="T149" s="44" t="str">
        <f>=IF(ISBLANK(Q149), "", "Hayır")</f>
        <v>Hayır</v>
      </c>
      <c r="V149" s="44" t="s">
        <v>31</v>
      </c>
    </row>
    <row r="150">
      <c r="A150" s="44" t="s">
        <v>339</v>
      </c>
      <c r="B150" s="44" t="s">
        <v>340</v>
      </c>
      <c r="C150" s="44" t="s">
        <v>367</v>
      </c>
      <c r="D150" s="44" t="s">
        <v>368</v>
      </c>
      <c r="E150" s="44" t="s">
        <v>248</v>
      </c>
      <c r="F150" s="44" t="s">
        <v>245</v>
      </c>
      <c r="G150" s="44" t="s">
        <v>27</v>
      </c>
      <c r="H150" s="44" t="s">
        <v>28</v>
      </c>
      <c r="I150" s="44">
        <v>999</v>
      </c>
      <c r="J150" s="44">
        <v>5265</v>
      </c>
      <c r="K150" s="44">
        <v>3501.96</v>
      </c>
      <c r="L150" s="44">
        <v>20.6</v>
      </c>
      <c r="M150" s="44">
        <v>3133.41</v>
      </c>
      <c r="N150" s="44" t="s">
        <v>29</v>
      </c>
      <c r="O150" s="44">
        <v>16.8</v>
      </c>
      <c r="P150" s="44">
        <v>3501.96</v>
      </c>
      <c r="Q150" s="41">
        <v>3133.41</v>
      </c>
      <c r="R150" s="44" t="s">
        <v>30</v>
      </c>
      <c r="S150" s="41">
        <f>=IF(OR(Q150="", R150=""), "-", IF(ISNUMBER(SEARCH("7 Günlük", R150)), IF(Q150&lt;=M150, O150, "-"), "-"))</f>
        <v>16.8</v>
      </c>
      <c r="T150" s="44" t="str">
        <f>=IF(ISBLANK(Q150), "", "Hayır")</f>
        <v>Hayır</v>
      </c>
      <c r="V150" s="44" t="s">
        <v>31</v>
      </c>
    </row>
    <row r="151">
      <c r="A151" s="44" t="s">
        <v>339</v>
      </c>
      <c r="B151" s="44" t="s">
        <v>340</v>
      </c>
      <c r="C151" s="44" t="s">
        <v>369</v>
      </c>
      <c r="D151" s="44" t="s">
        <v>370</v>
      </c>
      <c r="E151" s="44" t="s">
        <v>75</v>
      </c>
      <c r="F151" s="44" t="s">
        <v>245</v>
      </c>
      <c r="G151" s="44" t="s">
        <v>27</v>
      </c>
      <c r="H151" s="44" t="s">
        <v>28</v>
      </c>
      <c r="I151" s="44">
        <v>999</v>
      </c>
      <c r="J151" s="44">
        <v>1949</v>
      </c>
      <c r="K151" s="44">
        <v>1345.43</v>
      </c>
      <c r="L151" s="44">
        <v>21.3</v>
      </c>
      <c r="M151" s="44">
        <v>1099.15</v>
      </c>
      <c r="N151" s="44" t="s">
        <v>29</v>
      </c>
      <c r="O151" s="44">
        <v>15.3</v>
      </c>
      <c r="P151" s="44">
        <v>1345.43</v>
      </c>
      <c r="Q151" s="41">
        <v>1099.15</v>
      </c>
      <c r="R151" s="44" t="s">
        <v>30</v>
      </c>
      <c r="S151" s="41">
        <f>=IF(OR(Q151="", R151=""), "-", IF(ISNUMBER(SEARCH("7 Günlük", R151)), IF(Q151&lt;=M151, O151, "-"), "-"))</f>
        <v>15.3</v>
      </c>
      <c r="T151" s="44" t="str">
        <f>=IF(ISBLANK(Q151), "", "Hayır")</f>
        <v>Hayır</v>
      </c>
      <c r="V151" s="44" t="s">
        <v>31</v>
      </c>
    </row>
    <row r="152">
      <c r="A152" s="44" t="s">
        <v>339</v>
      </c>
      <c r="B152" s="44" t="s">
        <v>340</v>
      </c>
      <c r="C152" s="44" t="s">
        <v>371</v>
      </c>
      <c r="D152" s="44" t="s">
        <v>372</v>
      </c>
      <c r="E152" s="44" t="s">
        <v>234</v>
      </c>
      <c r="F152" s="44" t="s">
        <v>245</v>
      </c>
      <c r="G152" s="44" t="s">
        <v>27</v>
      </c>
      <c r="H152" s="44" t="s">
        <v>28</v>
      </c>
      <c r="I152" s="44">
        <v>999</v>
      </c>
      <c r="J152" s="44">
        <v>8696</v>
      </c>
      <c r="K152" s="44">
        <v>5656.06</v>
      </c>
      <c r="L152" s="44">
        <v>21.2</v>
      </c>
      <c r="M152" s="44">
        <v>4556.04</v>
      </c>
      <c r="N152" s="44" t="s">
        <v>29</v>
      </c>
      <c r="O152" s="44">
        <v>14.6</v>
      </c>
      <c r="P152" s="44">
        <v>5656.06</v>
      </c>
      <c r="Q152" s="41">
        <v>4556.04</v>
      </c>
      <c r="R152" s="44" t="s">
        <v>30</v>
      </c>
      <c r="S152" s="41">
        <f>=IF(OR(Q152="", R152=""), "-", IF(ISNUMBER(SEARCH("7 Günlük", R152)), IF(Q152&lt;=M152, O152, "-"), "-"))</f>
        <v>14.6</v>
      </c>
      <c r="T152" s="44" t="str">
        <f>=IF(ISBLANK(Q152), "", "Hayır")</f>
        <v>Hayır</v>
      </c>
      <c r="V152" s="44" t="s">
        <v>31</v>
      </c>
    </row>
    <row r="153">
      <c r="A153" s="44" t="s">
        <v>339</v>
      </c>
      <c r="B153" s="44" t="s">
        <v>340</v>
      </c>
      <c r="C153" s="44" t="s">
        <v>373</v>
      </c>
      <c r="D153" s="44" t="s">
        <v>374</v>
      </c>
      <c r="E153" s="44" t="s">
        <v>375</v>
      </c>
      <c r="F153" s="44" t="s">
        <v>245</v>
      </c>
      <c r="G153" s="44" t="s">
        <v>27</v>
      </c>
      <c r="H153" s="44" t="s">
        <v>28</v>
      </c>
      <c r="I153" s="44">
        <v>999</v>
      </c>
      <c r="J153" s="44">
        <v>3939</v>
      </c>
      <c r="K153" s="44">
        <v>2630.12</v>
      </c>
      <c r="L153" s="44">
        <v>20.8</v>
      </c>
      <c r="M153" s="44">
        <v>2351.19</v>
      </c>
      <c r="N153" s="44" t="s">
        <v>29</v>
      </c>
      <c r="O153" s="44">
        <v>17.5</v>
      </c>
      <c r="P153" s="44">
        <v>2630.12</v>
      </c>
      <c r="Q153" s="41">
        <v>2351.19</v>
      </c>
      <c r="R153" s="44" t="s">
        <v>30</v>
      </c>
      <c r="S153" s="41">
        <f>=IF(OR(Q153="", R153=""), "-", IF(ISNUMBER(SEARCH("7 Günlük", R153)), IF(Q153&lt;=M153, O153, "-"), "-"))</f>
        <v>17.5</v>
      </c>
      <c r="T153" s="44" t="str">
        <f>=IF(ISBLANK(Q153), "", "Hayır")</f>
        <v>Hayır</v>
      </c>
      <c r="V153" s="44" t="s">
        <v>31</v>
      </c>
    </row>
    <row r="154">
      <c r="A154" s="44" t="s">
        <v>339</v>
      </c>
      <c r="B154" s="44" t="s">
        <v>340</v>
      </c>
      <c r="C154" s="44" t="s">
        <v>376</v>
      </c>
      <c r="D154" s="44" t="s">
        <v>377</v>
      </c>
      <c r="E154" s="44" t="s">
        <v>109</v>
      </c>
      <c r="F154" s="44" t="s">
        <v>245</v>
      </c>
      <c r="G154" s="44" t="s">
        <v>27</v>
      </c>
      <c r="H154" s="44" t="s">
        <v>28</v>
      </c>
      <c r="I154" s="44">
        <v>999</v>
      </c>
      <c r="J154" s="44">
        <v>7103</v>
      </c>
      <c r="K154" s="44">
        <v>4642.45</v>
      </c>
      <c r="L154" s="44">
        <v>21.2</v>
      </c>
      <c r="M154" s="44">
        <v>3741.9</v>
      </c>
      <c r="N154" s="44" t="s">
        <v>29</v>
      </c>
      <c r="O154" s="44">
        <v>14.7</v>
      </c>
      <c r="P154" s="44">
        <v>4642.45</v>
      </c>
      <c r="Q154" s="41">
        <v>3741.9</v>
      </c>
      <c r="R154" s="44" t="s">
        <v>30</v>
      </c>
      <c r="S154" s="41">
        <f>=IF(OR(Q154="", R154=""), "-", IF(ISNUMBER(SEARCH("7 Günlük", R154)), IF(Q154&lt;=M154, O154, "-"), "-"))</f>
        <v>14.7</v>
      </c>
      <c r="T154" s="44" t="str">
        <f>=IF(ISBLANK(Q154), "", "Hayır")</f>
        <v>Hayır</v>
      </c>
      <c r="V154" s="44" t="s">
        <v>31</v>
      </c>
    </row>
    <row r="155">
      <c r="A155" s="44" t="s">
        <v>339</v>
      </c>
      <c r="B155" s="44" t="s">
        <v>340</v>
      </c>
      <c r="C155" s="44" t="s">
        <v>378</v>
      </c>
      <c r="D155" s="44" t="s">
        <v>379</v>
      </c>
      <c r="E155" s="44" t="s">
        <v>305</v>
      </c>
      <c r="F155" s="44" t="s">
        <v>245</v>
      </c>
      <c r="G155" s="44" t="s">
        <v>27</v>
      </c>
      <c r="H155" s="44" t="s">
        <v>28</v>
      </c>
      <c r="I155" s="44">
        <v>999</v>
      </c>
      <c r="J155" s="44">
        <v>6190</v>
      </c>
      <c r="K155" s="44">
        <v>4083.46</v>
      </c>
      <c r="L155" s="44">
        <v>20.6</v>
      </c>
      <c r="M155" s="44">
        <v>3638.52</v>
      </c>
      <c r="N155" s="44" t="s">
        <v>29</v>
      </c>
      <c r="O155" s="44">
        <v>16.8</v>
      </c>
      <c r="P155" s="44">
        <v>4083.46</v>
      </c>
      <c r="Q155" s="41">
        <v>3638.52</v>
      </c>
      <c r="R155" s="44" t="s">
        <v>30</v>
      </c>
      <c r="S155" s="41">
        <f>=IF(OR(Q155="", R155=""), "-", IF(ISNUMBER(SEARCH("7 Günlük", R155)), IF(Q155&lt;=M155, O155, "-"), "-"))</f>
        <v>16.8</v>
      </c>
      <c r="T155" s="44" t="str">
        <f>=IF(ISBLANK(Q155), "", "Hayır")</f>
        <v>Hayır</v>
      </c>
      <c r="V155" s="44" t="s">
        <v>31</v>
      </c>
    </row>
    <row r="156">
      <c r="A156" s="44" t="s">
        <v>339</v>
      </c>
      <c r="B156" s="44" t="s">
        <v>340</v>
      </c>
      <c r="C156" s="44" t="s">
        <v>380</v>
      </c>
      <c r="D156" s="44" t="s">
        <v>381</v>
      </c>
      <c r="E156" s="44" t="s">
        <v>283</v>
      </c>
      <c r="F156" s="44" t="s">
        <v>245</v>
      </c>
      <c r="G156" s="44" t="s">
        <v>27</v>
      </c>
      <c r="H156" s="44" t="s">
        <v>28</v>
      </c>
      <c r="I156" s="44">
        <v>999</v>
      </c>
      <c r="J156" s="44">
        <v>5762</v>
      </c>
      <c r="K156" s="44">
        <v>3836.8</v>
      </c>
      <c r="L156" s="44">
        <v>20.4</v>
      </c>
      <c r="M156" s="44">
        <v>3218.07</v>
      </c>
      <c r="N156" s="44" t="s">
        <v>29</v>
      </c>
      <c r="O156" s="44">
        <v>15.9</v>
      </c>
      <c r="P156" s="44">
        <v>3836.8</v>
      </c>
      <c r="Q156" s="41">
        <v>3218.07</v>
      </c>
      <c r="R156" s="44" t="s">
        <v>30</v>
      </c>
      <c r="S156" s="41">
        <f>=IF(OR(Q156="", R156=""), "-", IF(ISNUMBER(SEARCH("7 Günlük", R156)), IF(Q156&lt;=M156, O156, "-"), "-"))</f>
        <v>15.9</v>
      </c>
      <c r="T156" s="44" t="str">
        <f>=IF(ISBLANK(Q156), "", "Hayır")</f>
        <v>Hayır</v>
      </c>
      <c r="V156" s="44" t="s">
        <v>31</v>
      </c>
    </row>
    <row r="157">
      <c r="A157" s="44" t="s">
        <v>339</v>
      </c>
      <c r="B157" s="44" t="s">
        <v>340</v>
      </c>
      <c r="C157" s="44" t="s">
        <v>382</v>
      </c>
      <c r="D157" s="44" t="s">
        <v>383</v>
      </c>
      <c r="E157" s="44" t="s">
        <v>384</v>
      </c>
      <c r="F157" s="44" t="s">
        <v>245</v>
      </c>
      <c r="G157" s="44" t="s">
        <v>27</v>
      </c>
      <c r="H157" s="44" t="s">
        <v>28</v>
      </c>
      <c r="I157" s="44">
        <v>999</v>
      </c>
      <c r="J157" s="44">
        <v>10325</v>
      </c>
      <c r="K157" s="44">
        <v>6835.79</v>
      </c>
      <c r="L157" s="44">
        <v>20.4</v>
      </c>
      <c r="M157" s="44">
        <v>5726.77</v>
      </c>
      <c r="N157" s="44" t="s">
        <v>29</v>
      </c>
      <c r="O157" s="44">
        <v>15.8</v>
      </c>
      <c r="P157" s="44">
        <v>6835.79</v>
      </c>
      <c r="Q157" s="41">
        <v>5726.77</v>
      </c>
      <c r="R157" s="44" t="s">
        <v>30</v>
      </c>
      <c r="S157" s="41">
        <f>=IF(OR(Q157="", R157=""), "-", IF(ISNUMBER(SEARCH("7 Günlük", R157)), IF(Q157&lt;=M157, O157, "-"), "-"))</f>
        <v>15.8</v>
      </c>
      <c r="T157" s="44" t="str">
        <f>=IF(ISBLANK(Q157), "", "Hayır")</f>
        <v>Hayır</v>
      </c>
      <c r="V157" s="44" t="s">
        <v>31</v>
      </c>
    </row>
    <row r="158">
      <c r="A158" s="44" t="s">
        <v>339</v>
      </c>
      <c r="B158" s="44" t="s">
        <v>340</v>
      </c>
      <c r="C158" s="44" t="s">
        <v>385</v>
      </c>
      <c r="D158" s="44" t="s">
        <v>386</v>
      </c>
      <c r="E158" s="44" t="s">
        <v>59</v>
      </c>
      <c r="F158" s="44" t="s">
        <v>245</v>
      </c>
      <c r="G158" s="44" t="s">
        <v>27</v>
      </c>
      <c r="H158" s="44" t="s">
        <v>28</v>
      </c>
      <c r="I158" s="44">
        <v>999</v>
      </c>
      <c r="J158" s="44">
        <v>1095</v>
      </c>
      <c r="K158" s="44">
        <v>808.74</v>
      </c>
      <c r="L158" s="44">
        <v>22</v>
      </c>
      <c r="M158" s="44">
        <v>570.6799999999999</v>
      </c>
      <c r="N158" s="44" t="s">
        <v>29</v>
      </c>
      <c r="O158" s="44">
        <v>13</v>
      </c>
      <c r="P158" s="44">
        <v>808.74</v>
      </c>
      <c r="Q158" s="41">
        <v>570.6799999999999</v>
      </c>
      <c r="R158" s="44" t="s">
        <v>30</v>
      </c>
      <c r="S158" s="41">
        <f>=IF(OR(Q158="", R158=""), "-", IF(ISNUMBER(SEARCH("7 Günlük", R158)), IF(Q158&lt;=M158, O158, "-"), "-"))</f>
        <v>13.0</v>
      </c>
      <c r="T158" s="44" t="str">
        <f>=IF(ISBLANK(Q158), "", "Hayır")</f>
        <v>Hayır</v>
      </c>
      <c r="V158" s="44" t="s">
        <v>31</v>
      </c>
    </row>
    <row r="159">
      <c r="A159" s="44" t="s">
        <v>339</v>
      </c>
      <c r="B159" s="44" t="s">
        <v>340</v>
      </c>
      <c r="C159" s="44" t="s">
        <v>387</v>
      </c>
      <c r="D159" s="44" t="s">
        <v>388</v>
      </c>
      <c r="E159" s="44" t="s">
        <v>129</v>
      </c>
      <c r="F159" s="44" t="s">
        <v>245</v>
      </c>
      <c r="G159" s="44" t="s">
        <v>27</v>
      </c>
      <c r="H159" s="44" t="s">
        <v>28</v>
      </c>
      <c r="I159" s="44">
        <v>999</v>
      </c>
      <c r="J159" s="44">
        <v>8116</v>
      </c>
      <c r="K159" s="44">
        <v>5373.84</v>
      </c>
      <c r="L159" s="44">
        <v>20.5</v>
      </c>
      <c r="M159" s="44">
        <v>4688.39</v>
      </c>
      <c r="N159" s="44" t="s">
        <v>29</v>
      </c>
      <c r="O159" s="44">
        <v>16.4</v>
      </c>
      <c r="P159" s="44">
        <v>5373.84</v>
      </c>
      <c r="Q159" s="41">
        <v>4688.39</v>
      </c>
      <c r="R159" s="44" t="s">
        <v>30</v>
      </c>
      <c r="S159" s="41">
        <f>=IF(OR(Q159="", R159=""), "-", IF(ISNUMBER(SEARCH("7 Günlük", R159)), IF(Q159&lt;=M159, O159, "-"), "-"))</f>
        <v>16.4</v>
      </c>
      <c r="T159" s="44" t="str">
        <f>=IF(ISBLANK(Q159), "", "Hayır")</f>
        <v>Hayır</v>
      </c>
      <c r="V159" s="44" t="s">
        <v>31</v>
      </c>
    </row>
    <row r="160">
      <c r="A160" s="44" t="s">
        <v>339</v>
      </c>
      <c r="B160" s="44" t="s">
        <v>340</v>
      </c>
      <c r="C160" s="44" t="s">
        <v>389</v>
      </c>
      <c r="D160" s="44" t="s">
        <v>390</v>
      </c>
      <c r="E160" s="44" t="s">
        <v>73</v>
      </c>
      <c r="F160" s="44" t="s">
        <v>245</v>
      </c>
      <c r="G160" s="44" t="s">
        <v>27</v>
      </c>
      <c r="H160" s="44" t="s">
        <v>28</v>
      </c>
      <c r="I160" s="44">
        <v>999</v>
      </c>
      <c r="J160" s="44">
        <v>2390</v>
      </c>
      <c r="K160" s="44">
        <v>1623.36</v>
      </c>
      <c r="L160" s="44">
        <v>20.6</v>
      </c>
      <c r="M160" s="44">
        <v>1430.61</v>
      </c>
      <c r="N160" s="44" t="s">
        <v>29</v>
      </c>
      <c r="O160" s="44">
        <v>16.9</v>
      </c>
      <c r="P160" s="44">
        <v>1623.36</v>
      </c>
      <c r="Q160" s="41">
        <v>1430.61</v>
      </c>
      <c r="R160" s="44" t="s">
        <v>30</v>
      </c>
      <c r="S160" s="41">
        <f>=IF(OR(Q160="", R160=""), "-", IF(ISNUMBER(SEARCH("7 Günlük", R160)), IF(Q160&lt;=M160, O160, "-"), "-"))</f>
        <v>16.9</v>
      </c>
      <c r="T160" s="44" t="str">
        <f>=IF(ISBLANK(Q160), "", "Hayır")</f>
        <v>Hayır</v>
      </c>
      <c r="V160" s="44" t="s">
        <v>31</v>
      </c>
    </row>
    <row r="161">
      <c r="A161" s="44" t="s">
        <v>339</v>
      </c>
      <c r="B161" s="44" t="s">
        <v>340</v>
      </c>
      <c r="C161" s="44" t="s">
        <v>391</v>
      </c>
      <c r="D161" s="44" t="s">
        <v>392</v>
      </c>
      <c r="E161" s="44" t="s">
        <v>198</v>
      </c>
      <c r="F161" s="44" t="s">
        <v>245</v>
      </c>
      <c r="G161" s="44" t="s">
        <v>27</v>
      </c>
      <c r="H161" s="44" t="s">
        <v>28</v>
      </c>
      <c r="I161" s="44">
        <v>999</v>
      </c>
      <c r="J161" s="44">
        <v>4191</v>
      </c>
      <c r="K161" s="44">
        <v>2780.32</v>
      </c>
      <c r="L161" s="44">
        <v>21.2</v>
      </c>
      <c r="M161" s="44">
        <v>2245.68</v>
      </c>
      <c r="N161" s="44" t="s">
        <v>29</v>
      </c>
      <c r="O161" s="44">
        <v>15</v>
      </c>
      <c r="P161" s="44">
        <v>2780.32</v>
      </c>
      <c r="Q161" s="41">
        <v>2245.68</v>
      </c>
      <c r="R161" s="44" t="s">
        <v>30</v>
      </c>
      <c r="S161" s="41">
        <f>=IF(OR(Q161="", R161=""), "-", IF(ISNUMBER(SEARCH("7 Günlük", R161)), IF(Q161&lt;=M161, O161, "-"), "-"))</f>
        <v>15.0</v>
      </c>
      <c r="T161" s="44" t="str">
        <f>=IF(ISBLANK(Q161), "", "Hayır")</f>
        <v>Hayır</v>
      </c>
      <c r="V161" s="44" t="s">
        <v>31</v>
      </c>
    </row>
    <row r="162">
      <c r="A162" s="44" t="s">
        <v>339</v>
      </c>
      <c r="B162" s="44" t="s">
        <v>340</v>
      </c>
      <c r="C162" s="44" t="s">
        <v>393</v>
      </c>
      <c r="D162" s="44" t="s">
        <v>394</v>
      </c>
      <c r="E162" s="44" t="s">
        <v>268</v>
      </c>
      <c r="F162" s="44" t="s">
        <v>245</v>
      </c>
      <c r="G162" s="44" t="s">
        <v>27</v>
      </c>
      <c r="H162" s="44" t="s">
        <v>28</v>
      </c>
      <c r="I162" s="44">
        <v>999</v>
      </c>
      <c r="J162" s="44">
        <v>11436</v>
      </c>
      <c r="K162" s="44">
        <v>7452.4</v>
      </c>
      <c r="L162" s="44">
        <v>21.2</v>
      </c>
      <c r="M162" s="44">
        <v>5975.92</v>
      </c>
      <c r="N162" s="44" t="s">
        <v>29</v>
      </c>
      <c r="O162" s="44">
        <v>14.6</v>
      </c>
      <c r="P162" s="44">
        <v>7452.4</v>
      </c>
      <c r="Q162" s="41">
        <v>5975.92</v>
      </c>
      <c r="R162" s="44" t="s">
        <v>30</v>
      </c>
      <c r="S162" s="41">
        <f>=IF(OR(Q162="", R162=""), "-", IF(ISNUMBER(SEARCH("7 Günlük", R162)), IF(Q162&lt;=M162, O162, "-"), "-"))</f>
        <v>14.6</v>
      </c>
      <c r="T162" s="44" t="str">
        <f>=IF(ISBLANK(Q162), "", "Hayır")</f>
        <v>Hayır</v>
      </c>
      <c r="V162" s="44" t="s">
        <v>31</v>
      </c>
    </row>
    <row r="163">
      <c r="A163" s="44" t="s">
        <v>339</v>
      </c>
      <c r="B163" s="44" t="s">
        <v>340</v>
      </c>
      <c r="C163" s="44" t="s">
        <v>395</v>
      </c>
      <c r="D163" s="44" t="s">
        <v>396</v>
      </c>
      <c r="E163" s="44" t="s">
        <v>251</v>
      </c>
      <c r="F163" s="44" t="s">
        <v>245</v>
      </c>
      <c r="G163" s="44" t="s">
        <v>27</v>
      </c>
      <c r="H163" s="44" t="s">
        <v>28</v>
      </c>
      <c r="I163" s="44">
        <v>999</v>
      </c>
      <c r="J163" s="44">
        <v>14121</v>
      </c>
      <c r="K163" s="44">
        <v>9392.870000000001</v>
      </c>
      <c r="L163" s="44">
        <v>20.8</v>
      </c>
      <c r="M163" s="44">
        <v>8437.35</v>
      </c>
      <c r="N163" s="44" t="s">
        <v>29</v>
      </c>
      <c r="O163" s="44">
        <v>17.6</v>
      </c>
      <c r="P163" s="44">
        <v>9392.870000000001</v>
      </c>
      <c r="Q163" s="41">
        <v>8437.35</v>
      </c>
      <c r="R163" s="44" t="s">
        <v>30</v>
      </c>
      <c r="S163" s="41">
        <f>=IF(OR(Q163="", R163=""), "-", IF(ISNUMBER(SEARCH("7 Günlük", R163)), IF(Q163&lt;=M163, O163, "-"), "-"))</f>
        <v>17.6</v>
      </c>
      <c r="T163" s="44" t="str">
        <f>=IF(ISBLANK(Q163), "", "Hayır")</f>
        <v>Hayır</v>
      </c>
      <c r="V163" s="44" t="s">
        <v>31</v>
      </c>
    </row>
    <row r="164">
      <c r="A164" s="44" t="s">
        <v>339</v>
      </c>
      <c r="B164" s="44" t="s">
        <v>340</v>
      </c>
      <c r="C164" s="44" t="s">
        <v>397</v>
      </c>
      <c r="D164" s="44" t="s">
        <v>398</v>
      </c>
      <c r="E164" s="44" t="s">
        <v>399</v>
      </c>
      <c r="F164" s="44" t="s">
        <v>245</v>
      </c>
      <c r="G164" s="44" t="s">
        <v>27</v>
      </c>
      <c r="H164" s="44" t="s">
        <v>28</v>
      </c>
      <c r="I164" s="44">
        <v>999</v>
      </c>
      <c r="J164" s="44">
        <v>2886</v>
      </c>
      <c r="K164" s="44">
        <v>1983.29</v>
      </c>
      <c r="L164" s="44">
        <v>20.9</v>
      </c>
      <c r="M164" s="44">
        <v>1802</v>
      </c>
      <c r="N164" s="44" t="s">
        <v>29</v>
      </c>
      <c r="O164" s="44">
        <v>18</v>
      </c>
      <c r="P164" s="44">
        <v>1983.29</v>
      </c>
      <c r="Q164" s="41">
        <v>1802</v>
      </c>
      <c r="R164" s="44" t="s">
        <v>30</v>
      </c>
      <c r="S164" s="41">
        <f>=IF(OR(Q164="", R164=""), "-", IF(ISNUMBER(SEARCH("7 Günlük", R164)), IF(Q164&lt;=M164, O164, "-"), "-"))</f>
        <v>18.0</v>
      </c>
      <c r="T164" s="44" t="str">
        <f>=IF(ISBLANK(Q164), "", "Hayır")</f>
        <v>Hayır</v>
      </c>
      <c r="V164" s="44" t="s">
        <v>31</v>
      </c>
    </row>
    <row r="165">
      <c r="A165" s="44" t="s">
        <v>339</v>
      </c>
      <c r="B165" s="44" t="s">
        <v>340</v>
      </c>
      <c r="C165" s="44" t="s">
        <v>400</v>
      </c>
      <c r="D165" s="44" t="s">
        <v>401</v>
      </c>
      <c r="E165" s="44" t="s">
        <v>63</v>
      </c>
      <c r="F165" s="44" t="s">
        <v>245</v>
      </c>
      <c r="G165" s="44" t="s">
        <v>27</v>
      </c>
      <c r="H165" s="44" t="s">
        <v>28</v>
      </c>
      <c r="I165" s="44">
        <v>999</v>
      </c>
      <c r="J165" s="44">
        <v>20176</v>
      </c>
      <c r="K165" s="44">
        <v>12650.77</v>
      </c>
      <c r="L165" s="44">
        <v>20.5</v>
      </c>
      <c r="M165" s="44">
        <v>11456.51</v>
      </c>
      <c r="N165" s="44" t="s">
        <v>29</v>
      </c>
      <c r="O165" s="44">
        <v>16.2</v>
      </c>
      <c r="P165" s="44">
        <v>12650.77</v>
      </c>
      <c r="Q165" s="41">
        <v>11456.51</v>
      </c>
      <c r="R165" s="44" t="s">
        <v>30</v>
      </c>
      <c r="S165" s="41">
        <f>=IF(OR(Q165="", R165=""), "-", IF(ISNUMBER(SEARCH("7 Günlük", R165)), IF(Q165&lt;=M165, O165, "-"), "-"))</f>
        <v>16.2</v>
      </c>
      <c r="T165" s="44" t="str">
        <f>=IF(ISBLANK(Q165), "", "Hayır")</f>
        <v>Hayır</v>
      </c>
      <c r="V165" s="44" t="s">
        <v>31</v>
      </c>
    </row>
    <row r="166">
      <c r="A166" s="44" t="s">
        <v>339</v>
      </c>
      <c r="B166" s="44" t="s">
        <v>340</v>
      </c>
      <c r="C166" s="44" t="s">
        <v>402</v>
      </c>
      <c r="D166" s="44" t="s">
        <v>403</v>
      </c>
      <c r="E166" s="44" t="s">
        <v>404</v>
      </c>
      <c r="F166" s="44" t="s">
        <v>245</v>
      </c>
      <c r="G166" s="44" t="s">
        <v>27</v>
      </c>
      <c r="H166" s="44" t="s">
        <v>28</v>
      </c>
      <c r="I166" s="44">
        <v>999</v>
      </c>
      <c r="J166" s="44">
        <v>4506</v>
      </c>
      <c r="K166" s="44">
        <v>2987.93</v>
      </c>
      <c r="L166" s="44">
        <v>20.5</v>
      </c>
      <c r="M166" s="44">
        <v>2595.94</v>
      </c>
      <c r="N166" s="44" t="s">
        <v>29</v>
      </c>
      <c r="O166" s="44">
        <v>16.3</v>
      </c>
      <c r="P166" s="44">
        <v>2987.93</v>
      </c>
      <c r="Q166" s="41">
        <v>2595.94</v>
      </c>
      <c r="R166" s="44" t="s">
        <v>30</v>
      </c>
      <c r="S166" s="41">
        <f>=IF(OR(Q166="", R166=""), "-", IF(ISNUMBER(SEARCH("7 Günlük", R166)), IF(Q166&lt;=M166, O166, "-"), "-"))</f>
        <v>16.3</v>
      </c>
      <c r="T166" s="44" t="str">
        <f>=IF(ISBLANK(Q166), "", "Hayır")</f>
        <v>Hayır</v>
      </c>
      <c r="V166" s="44" t="s">
        <v>31</v>
      </c>
    </row>
    <row r="167">
      <c r="A167" s="44" t="s">
        <v>339</v>
      </c>
      <c r="B167" s="44" t="s">
        <v>340</v>
      </c>
      <c r="C167" s="44" t="s">
        <v>405</v>
      </c>
      <c r="D167" s="44" t="s">
        <v>406</v>
      </c>
      <c r="E167" s="44" t="s">
        <v>294</v>
      </c>
      <c r="F167" s="44" t="s">
        <v>245</v>
      </c>
      <c r="G167" s="44" t="s">
        <v>27</v>
      </c>
      <c r="H167" s="44" t="s">
        <v>28</v>
      </c>
      <c r="I167" s="44">
        <v>999</v>
      </c>
      <c r="J167" s="44">
        <v>10919</v>
      </c>
      <c r="K167" s="44">
        <v>7273.77</v>
      </c>
      <c r="L167" s="44">
        <v>20.8</v>
      </c>
      <c r="M167" s="44">
        <v>6508.97</v>
      </c>
      <c r="N167" s="44" t="s">
        <v>29</v>
      </c>
      <c r="O167" s="44">
        <v>17.5</v>
      </c>
      <c r="P167" s="44">
        <v>7273.77</v>
      </c>
      <c r="Q167" s="41">
        <v>6508.97</v>
      </c>
      <c r="R167" s="44" t="s">
        <v>30</v>
      </c>
      <c r="S167" s="41">
        <f>=IF(OR(Q167="", R167=""), "-", IF(ISNUMBER(SEARCH("7 Günlük", R167)), IF(Q167&lt;=M167, O167, "-"), "-"))</f>
        <v>17.5</v>
      </c>
      <c r="T167" s="44" t="str">
        <f>=IF(ISBLANK(Q167), "", "Hayır")</f>
        <v>Hayır</v>
      </c>
      <c r="V167" s="44" t="s">
        <v>31</v>
      </c>
    </row>
    <row r="168">
      <c r="A168" s="44" t="s">
        <v>339</v>
      </c>
      <c r="B168" s="44" t="s">
        <v>340</v>
      </c>
      <c r="C168" s="44" t="s">
        <v>407</v>
      </c>
      <c r="D168" s="44" t="s">
        <v>408</v>
      </c>
      <c r="E168" s="44" t="s">
        <v>409</v>
      </c>
      <c r="F168" s="44" t="s">
        <v>245</v>
      </c>
      <c r="G168" s="44" t="s">
        <v>27</v>
      </c>
      <c r="H168" s="44" t="s">
        <v>28</v>
      </c>
      <c r="I168" s="44">
        <v>999</v>
      </c>
      <c r="J168" s="44">
        <v>8254</v>
      </c>
      <c r="K168" s="44">
        <v>5504.84</v>
      </c>
      <c r="L168" s="44">
        <v>20.4</v>
      </c>
      <c r="M168" s="44">
        <v>4641.98</v>
      </c>
      <c r="N168" s="44" t="s">
        <v>29</v>
      </c>
      <c r="O168" s="44">
        <v>16</v>
      </c>
      <c r="P168" s="44">
        <v>5504.84</v>
      </c>
      <c r="Q168" s="41">
        <v>4641.98</v>
      </c>
      <c r="R168" s="44" t="s">
        <v>30</v>
      </c>
      <c r="S168" s="41">
        <f>=IF(OR(Q168="", R168=""), "-", IF(ISNUMBER(SEARCH("7 Günlük", R168)), IF(Q168&lt;=M168, O168, "-"), "-"))</f>
        <v>16.0</v>
      </c>
      <c r="T168" s="44" t="str">
        <f>=IF(ISBLANK(Q168), "", "Hayır")</f>
        <v>Hayır</v>
      </c>
      <c r="V168" s="44" t="s">
        <v>31</v>
      </c>
    </row>
    <row r="169">
      <c r="A169" s="44" t="s">
        <v>339</v>
      </c>
      <c r="B169" s="44" t="s">
        <v>340</v>
      </c>
      <c r="C169" s="44" t="s">
        <v>410</v>
      </c>
      <c r="D169" s="44" t="s">
        <v>411</v>
      </c>
      <c r="E169" s="44" t="s">
        <v>52</v>
      </c>
      <c r="F169" s="44" t="s">
        <v>245</v>
      </c>
      <c r="G169" s="44" t="s">
        <v>27</v>
      </c>
      <c r="H169" s="44" t="s">
        <v>28</v>
      </c>
      <c r="I169" s="44">
        <v>998</v>
      </c>
      <c r="J169" s="44">
        <v>1095</v>
      </c>
      <c r="K169" s="44">
        <v>1095</v>
      </c>
      <c r="L169" s="44">
        <v>22</v>
      </c>
      <c r="M169" s="44">
        <v>558.1799999999999</v>
      </c>
      <c r="N169" s="44" t="s">
        <v>29</v>
      </c>
      <c r="O169" s="44">
        <v>13.1</v>
      </c>
      <c r="P169" s="44">
        <v>1095</v>
      </c>
      <c r="Q169" s="41">
        <v>558.1799999999999</v>
      </c>
      <c r="R169" s="44" t="s">
        <v>30</v>
      </c>
      <c r="S169" s="41">
        <f>=IF(OR(Q169="", R169=""), "-", IF(ISNUMBER(SEARCH("7 Günlük", R169)), IF(Q169&lt;=M169, O169, "-"), "-"))</f>
        <v>13.1</v>
      </c>
      <c r="T169" s="44" t="str">
        <f>=IF(ISBLANK(Q169), "", "Hayır")</f>
        <v>Hayır</v>
      </c>
      <c r="V169" s="44" t="s">
        <v>31</v>
      </c>
    </row>
    <row r="170">
      <c r="A170" s="44" t="s">
        <v>339</v>
      </c>
      <c r="B170" s="44" t="s">
        <v>340</v>
      </c>
      <c r="C170" s="44" t="s">
        <v>412</v>
      </c>
      <c r="D170" s="44" t="s">
        <v>413</v>
      </c>
      <c r="E170" s="44" t="s">
        <v>414</v>
      </c>
      <c r="F170" s="44" t="s">
        <v>245</v>
      </c>
      <c r="G170" s="44" t="s">
        <v>27</v>
      </c>
      <c r="H170" s="44" t="s">
        <v>28</v>
      </c>
      <c r="I170" s="44">
        <v>999</v>
      </c>
      <c r="J170" s="44">
        <v>2886</v>
      </c>
      <c r="K170" s="44">
        <v>1939.9</v>
      </c>
      <c r="L170" s="44">
        <v>21.3</v>
      </c>
      <c r="M170" s="44">
        <v>1602.2</v>
      </c>
      <c r="N170" s="44" t="s">
        <v>29</v>
      </c>
      <c r="O170" s="44">
        <v>15.4</v>
      </c>
      <c r="P170" s="44">
        <v>1939.9</v>
      </c>
      <c r="Q170" s="41">
        <v>1602.2</v>
      </c>
      <c r="R170" s="44" t="s">
        <v>30</v>
      </c>
      <c r="S170" s="41">
        <f>=IF(OR(Q170="", R170=""), "-", IF(ISNUMBER(SEARCH("7 Günlük", R170)), IF(Q170&lt;=M170, O170, "-"), "-"))</f>
        <v>15.4</v>
      </c>
      <c r="T170" s="44" t="str">
        <f>=IF(ISBLANK(Q170), "", "Hayır")</f>
        <v>Hayır</v>
      </c>
      <c r="V170" s="44" t="s">
        <v>31</v>
      </c>
    </row>
    <row r="171">
      <c r="A171" s="44" t="s">
        <v>339</v>
      </c>
      <c r="B171" s="44" t="s">
        <v>340</v>
      </c>
      <c r="C171" s="44" t="s">
        <v>415</v>
      </c>
      <c r="D171" s="44" t="s">
        <v>416</v>
      </c>
      <c r="E171" s="44" t="s">
        <v>417</v>
      </c>
      <c r="F171" s="44" t="s">
        <v>245</v>
      </c>
      <c r="G171" s="44" t="s">
        <v>27</v>
      </c>
      <c r="H171" s="44" t="s">
        <v>28</v>
      </c>
      <c r="I171" s="44">
        <v>999</v>
      </c>
      <c r="J171" s="44">
        <v>7379</v>
      </c>
      <c r="K171" s="44">
        <v>4819.97</v>
      </c>
      <c r="L171" s="44">
        <v>21.2</v>
      </c>
      <c r="M171" s="44">
        <v>3892.3</v>
      </c>
      <c r="N171" s="44" t="s">
        <v>29</v>
      </c>
      <c r="O171" s="44">
        <v>14.8</v>
      </c>
      <c r="P171" s="44">
        <v>4819.97</v>
      </c>
      <c r="Q171" s="41">
        <v>3892.3</v>
      </c>
      <c r="R171" s="44" t="s">
        <v>30</v>
      </c>
      <c r="S171" s="41">
        <f>=IF(OR(Q171="", R171=""), "-", IF(ISNUMBER(SEARCH("7 Günlük", R171)), IF(Q171&lt;=M171, O171, "-"), "-"))</f>
        <v>14.8</v>
      </c>
      <c r="T171" s="44" t="str">
        <f>=IF(ISBLANK(Q171), "", "Hayır")</f>
        <v>Hayır</v>
      </c>
      <c r="V171" s="44" t="s">
        <v>31</v>
      </c>
    </row>
    <row r="172">
      <c r="A172" s="44" t="s">
        <v>339</v>
      </c>
      <c r="B172" s="44" t="s">
        <v>340</v>
      </c>
      <c r="C172" s="44" t="s">
        <v>418</v>
      </c>
      <c r="D172" s="44" t="s">
        <v>419</v>
      </c>
      <c r="E172" s="44" t="s">
        <v>300</v>
      </c>
      <c r="F172" s="44" t="s">
        <v>245</v>
      </c>
      <c r="G172" s="44" t="s">
        <v>27</v>
      </c>
      <c r="H172" s="44" t="s">
        <v>28</v>
      </c>
      <c r="I172" s="44">
        <v>999</v>
      </c>
      <c r="J172" s="44">
        <v>10919</v>
      </c>
      <c r="K172" s="44">
        <v>7132.55</v>
      </c>
      <c r="L172" s="44">
        <v>21.2</v>
      </c>
      <c r="M172" s="44">
        <v>5716.91</v>
      </c>
      <c r="N172" s="44" t="s">
        <v>29</v>
      </c>
      <c r="O172" s="44">
        <v>14.6</v>
      </c>
      <c r="P172" s="44">
        <v>7132.55</v>
      </c>
      <c r="Q172" s="41">
        <v>5716.91</v>
      </c>
      <c r="R172" s="44" t="s">
        <v>30</v>
      </c>
      <c r="S172" s="41">
        <f>=IF(OR(Q172="", R172=""), "-", IF(ISNUMBER(SEARCH("7 Günlük", R172)), IF(Q172&lt;=M172, O172, "-"), "-"))</f>
        <v>14.6</v>
      </c>
      <c r="T172" s="44" t="str">
        <f>=IF(ISBLANK(Q172), "", "Hayır")</f>
        <v>Hayır</v>
      </c>
      <c r="V172" s="44" t="s">
        <v>31</v>
      </c>
    </row>
    <row r="173">
      <c r="A173" s="44" t="s">
        <v>339</v>
      </c>
      <c r="B173" s="44" t="s">
        <v>340</v>
      </c>
      <c r="C173" s="44" t="s">
        <v>420</v>
      </c>
      <c r="D173" s="44" t="s">
        <v>421</v>
      </c>
      <c r="E173" s="44" t="s">
        <v>119</v>
      </c>
      <c r="F173" s="44" t="s">
        <v>245</v>
      </c>
      <c r="G173" s="44" t="s">
        <v>27</v>
      </c>
      <c r="H173" s="44" t="s">
        <v>28</v>
      </c>
      <c r="I173" s="44">
        <v>999</v>
      </c>
      <c r="J173" s="44">
        <v>6521</v>
      </c>
      <c r="K173" s="44">
        <v>4294.08</v>
      </c>
      <c r="L173" s="44">
        <v>20.5</v>
      </c>
      <c r="M173" s="44">
        <v>3740.16</v>
      </c>
      <c r="N173" s="44" t="s">
        <v>29</v>
      </c>
      <c r="O173" s="44">
        <v>16.4</v>
      </c>
      <c r="P173" s="44">
        <v>4294.08</v>
      </c>
      <c r="Q173" s="41">
        <v>3740.16</v>
      </c>
      <c r="R173" s="44" t="s">
        <v>30</v>
      </c>
      <c r="S173" s="41">
        <f>=IF(OR(Q173="", R173=""), "-", IF(ISNUMBER(SEARCH("7 Günlük", R173)), IF(Q173&lt;=M173, O173, "-"), "-"))</f>
        <v>16.4</v>
      </c>
      <c r="T173" s="44" t="str">
        <f>=IF(ISBLANK(Q173), "", "Hayır")</f>
        <v>Hayır</v>
      </c>
      <c r="V173" s="44" t="s">
        <v>31</v>
      </c>
    </row>
    <row r="174">
      <c r="A174" s="44" t="s">
        <v>339</v>
      </c>
      <c r="B174" s="44" t="s">
        <v>340</v>
      </c>
      <c r="C174" s="44" t="s">
        <v>422</v>
      </c>
      <c r="D174" s="44" t="s">
        <v>423</v>
      </c>
      <c r="E174" s="44" t="s">
        <v>61</v>
      </c>
      <c r="F174" s="44" t="s">
        <v>245</v>
      </c>
      <c r="G174" s="44" t="s">
        <v>27</v>
      </c>
      <c r="H174" s="44" t="s">
        <v>28</v>
      </c>
      <c r="I174" s="44">
        <v>999</v>
      </c>
      <c r="J174" s="44">
        <v>20066</v>
      </c>
      <c r="K174" s="44">
        <v>12530.32</v>
      </c>
      <c r="L174" s="44">
        <v>20.5</v>
      </c>
      <c r="M174" s="44">
        <v>11321</v>
      </c>
      <c r="N174" s="44" t="s">
        <v>29</v>
      </c>
      <c r="O174" s="44">
        <v>16.1</v>
      </c>
      <c r="P174" s="44">
        <v>12530.32</v>
      </c>
      <c r="Q174" s="41">
        <v>11321</v>
      </c>
      <c r="R174" s="44" t="s">
        <v>30</v>
      </c>
      <c r="S174" s="41">
        <f>=IF(OR(Q174="", R174=""), "-", IF(ISNUMBER(SEARCH("7 Günlük", R174)), IF(Q174&lt;=M174, O174, "-"), "-"))</f>
        <v>16.1</v>
      </c>
      <c r="T174" s="44" t="str">
        <f>=IF(ISBLANK(Q174), "", "Hayır")</f>
        <v>Hayır</v>
      </c>
      <c r="V174" s="44" t="s">
        <v>31</v>
      </c>
    </row>
    <row r="175">
      <c r="A175" s="44" t="s">
        <v>339</v>
      </c>
      <c r="B175" s="44" t="s">
        <v>340</v>
      </c>
      <c r="C175" s="44" t="s">
        <v>424</v>
      </c>
      <c r="D175" s="44" t="s">
        <v>425</v>
      </c>
      <c r="E175" s="44" t="s">
        <v>426</v>
      </c>
      <c r="F175" s="44" t="s">
        <v>245</v>
      </c>
      <c r="G175" s="44" t="s">
        <v>27</v>
      </c>
      <c r="H175" s="44" t="s">
        <v>28</v>
      </c>
      <c r="I175" s="44">
        <v>999</v>
      </c>
      <c r="J175" s="44">
        <v>5014</v>
      </c>
      <c r="K175" s="44">
        <v>3358.07</v>
      </c>
      <c r="L175" s="44">
        <v>20.6</v>
      </c>
      <c r="M175" s="44">
        <v>2943.49</v>
      </c>
      <c r="N175" s="44" t="s">
        <v>29</v>
      </c>
      <c r="O175" s="44">
        <v>16.6</v>
      </c>
      <c r="P175" s="44">
        <v>3358.07</v>
      </c>
      <c r="Q175" s="41">
        <v>2943.49</v>
      </c>
      <c r="R175" s="44" t="s">
        <v>30</v>
      </c>
      <c r="S175" s="41">
        <f>=IF(OR(Q175="", R175=""), "-", IF(ISNUMBER(SEARCH("7 Günlük", R175)), IF(Q175&lt;=M175, O175, "-"), "-"))</f>
        <v>16.6</v>
      </c>
      <c r="T175" s="44" t="str">
        <f>=IF(ISBLANK(Q175), "", "Hayır")</f>
        <v>Hayır</v>
      </c>
      <c r="V175" s="44" t="s">
        <v>31</v>
      </c>
    </row>
    <row r="176">
      <c r="A176" s="44" t="s">
        <v>339</v>
      </c>
      <c r="B176" s="44" t="s">
        <v>340</v>
      </c>
      <c r="C176" s="44" t="s">
        <v>427</v>
      </c>
      <c r="D176" s="44" t="s">
        <v>428</v>
      </c>
      <c r="E176" s="44" t="s">
        <v>220</v>
      </c>
      <c r="F176" s="44" t="s">
        <v>245</v>
      </c>
      <c r="G176" s="44" t="s">
        <v>27</v>
      </c>
      <c r="H176" s="44" t="s">
        <v>28</v>
      </c>
      <c r="I176" s="44">
        <v>999</v>
      </c>
      <c r="J176" s="44">
        <v>7489</v>
      </c>
      <c r="K176" s="44">
        <v>4900.47</v>
      </c>
      <c r="L176" s="44">
        <v>21.2</v>
      </c>
      <c r="M176" s="44">
        <v>3946.28</v>
      </c>
      <c r="N176" s="44" t="s">
        <v>29</v>
      </c>
      <c r="O176" s="44">
        <v>14.7</v>
      </c>
      <c r="P176" s="44">
        <v>4900.47</v>
      </c>
      <c r="Q176" s="41">
        <v>3946.28</v>
      </c>
      <c r="R176" s="44" t="s">
        <v>30</v>
      </c>
      <c r="S176" s="41">
        <f>=IF(OR(Q176="", R176=""), "-", IF(ISNUMBER(SEARCH("7 Günlük", R176)), IF(Q176&lt;=M176, O176, "-"), "-"))</f>
        <v>14.7</v>
      </c>
      <c r="T176" s="44" t="str">
        <f>=IF(ISBLANK(Q176), "", "Hayır")</f>
        <v>Hayır</v>
      </c>
      <c r="V176" s="44" t="s">
        <v>31</v>
      </c>
    </row>
    <row r="177">
      <c r="A177" s="44" t="s">
        <v>339</v>
      </c>
      <c r="B177" s="44" t="s">
        <v>340</v>
      </c>
      <c r="C177" s="44" t="s">
        <v>429</v>
      </c>
      <c r="D177" s="44" t="s">
        <v>430</v>
      </c>
      <c r="E177" s="44" t="s">
        <v>37</v>
      </c>
      <c r="F177" s="44" t="s">
        <v>245</v>
      </c>
      <c r="G177" s="44" t="s">
        <v>27</v>
      </c>
      <c r="H177" s="44" t="s">
        <v>28</v>
      </c>
      <c r="I177" s="44">
        <v>999</v>
      </c>
      <c r="J177" s="44">
        <v>10622</v>
      </c>
      <c r="K177" s="44">
        <v>7032.84</v>
      </c>
      <c r="L177" s="44">
        <v>20.4</v>
      </c>
      <c r="M177" s="44">
        <v>5893.05</v>
      </c>
      <c r="N177" s="44" t="s">
        <v>29</v>
      </c>
      <c r="O177" s="44">
        <v>15.8</v>
      </c>
      <c r="P177" s="44">
        <v>7032.84</v>
      </c>
      <c r="Q177" s="41">
        <v>5893.05</v>
      </c>
      <c r="R177" s="44" t="s">
        <v>30</v>
      </c>
      <c r="S177" s="41">
        <f>=IF(OR(Q177="", R177=""), "-", IF(ISNUMBER(SEARCH("7 Günlük", R177)), IF(Q177&lt;=M177, O177, "-"), "-"))</f>
        <v>15.8</v>
      </c>
      <c r="T177" s="44" t="str">
        <f>=IF(ISBLANK(Q177), "", "Hayır")</f>
        <v>Hayır</v>
      </c>
      <c r="V177" s="44" t="s">
        <v>31</v>
      </c>
    </row>
    <row r="178">
      <c r="A178" s="44" t="s">
        <v>318</v>
      </c>
      <c r="B178" s="44" t="s">
        <v>431</v>
      </c>
      <c r="C178" s="44" t="s">
        <v>432</v>
      </c>
      <c r="D178" s="44" t="s">
        <v>432</v>
      </c>
      <c r="F178" s="44" t="s">
        <v>321</v>
      </c>
      <c r="G178" s="44" t="s">
        <v>322</v>
      </c>
      <c r="H178" s="44" t="s">
        <v>28</v>
      </c>
      <c r="I178" s="44">
        <v>997</v>
      </c>
      <c r="J178" s="44">
        <v>493</v>
      </c>
      <c r="K178" s="44">
        <v>493</v>
      </c>
      <c r="L178" s="44">
        <v>21</v>
      </c>
      <c r="M178" s="44">
        <v>325.7</v>
      </c>
      <c r="N178" s="44" t="s">
        <v>29</v>
      </c>
      <c r="O178" s="44">
        <v>13.8</v>
      </c>
      <c r="P178" s="44">
        <v>493</v>
      </c>
      <c r="Q178" s="41">
        <v>325.7</v>
      </c>
      <c r="R178" s="44" t="s">
        <v>30</v>
      </c>
      <c r="S178" s="41">
        <f>=IF(OR(Q178="", R178=""), "-", IF(ISNUMBER(SEARCH("7 Günlük", R178)), IF(Q178&lt;=M178, O178, "-"), "-"))</f>
        <v>13.8</v>
      </c>
      <c r="T178" s="44" t="str">
        <f>=IF(ISBLANK(Q178), "", "Hayır")</f>
        <v>Hayır</v>
      </c>
      <c r="V178" s="44" t="s">
        <v>31</v>
      </c>
    </row>
    <row r="179">
      <c r="A179" s="44" t="s">
        <v>318</v>
      </c>
      <c r="B179" s="44" t="s">
        <v>433</v>
      </c>
      <c r="C179" s="44" t="s">
        <v>434</v>
      </c>
      <c r="D179" s="44" t="s">
        <v>434</v>
      </c>
      <c r="F179" s="44" t="s">
        <v>321</v>
      </c>
      <c r="G179" s="44" t="s">
        <v>322</v>
      </c>
      <c r="H179" s="44" t="s">
        <v>28</v>
      </c>
      <c r="I179" s="44">
        <v>999</v>
      </c>
      <c r="J179" s="44">
        <v>493</v>
      </c>
      <c r="K179" s="44">
        <v>493</v>
      </c>
      <c r="L179" s="44">
        <v>21</v>
      </c>
      <c r="M179" s="44">
        <v>338.06</v>
      </c>
      <c r="N179" s="44" t="s">
        <v>29</v>
      </c>
      <c r="O179" s="44">
        <v>14</v>
      </c>
      <c r="P179" s="44">
        <v>493</v>
      </c>
      <c r="Q179" s="41">
        <v>338.06</v>
      </c>
      <c r="R179" s="44" t="s">
        <v>30</v>
      </c>
      <c r="S179" s="41">
        <f>=IF(OR(Q179="", R179=""), "-", IF(ISNUMBER(SEARCH("7 Günlük", R179)), IF(Q179&lt;=M179, O179, "-"), "-"))</f>
        <v>14.0</v>
      </c>
      <c r="T179" s="44" t="str">
        <f>=IF(ISBLANK(Q179), "", "Hayır")</f>
        <v>Hayır</v>
      </c>
      <c r="V179" s="44" t="s">
        <v>31</v>
      </c>
    </row>
    <row r="180">
      <c r="A180" s="44" t="s">
        <v>435</v>
      </c>
      <c r="B180" s="44" t="s">
        <v>436</v>
      </c>
      <c r="C180" s="44" t="s">
        <v>437</v>
      </c>
      <c r="D180" s="44" t="s">
        <v>437</v>
      </c>
      <c r="E180" s="44" t="s">
        <v>48</v>
      </c>
      <c r="F180" s="44" t="s">
        <v>90</v>
      </c>
      <c r="G180" s="44" t="s">
        <v>27</v>
      </c>
      <c r="H180" s="44" t="s">
        <v>28</v>
      </c>
      <c r="I180" s="44">
        <v>997</v>
      </c>
      <c r="J180" s="44">
        <v>749</v>
      </c>
      <c r="K180" s="44">
        <v>542.77</v>
      </c>
      <c r="L180" s="44">
        <v>20.6</v>
      </c>
      <c r="M180" s="44">
        <v>503.29</v>
      </c>
      <c r="N180" s="44" t="s">
        <v>29</v>
      </c>
      <c r="O180" s="44">
        <v>17</v>
      </c>
      <c r="P180" s="44">
        <v>542.77</v>
      </c>
      <c r="Q180" s="41">
        <v>503.29</v>
      </c>
      <c r="R180" s="44" t="s">
        <v>30</v>
      </c>
      <c r="S180" s="41">
        <f>=IF(OR(Q180="", R180=""), "-", IF(ISNUMBER(SEARCH("7 Günlük", R180)), IF(Q180&lt;=M180, O180, "-"), "-"))</f>
        <v>17.0</v>
      </c>
      <c r="T180" s="44" t="str">
        <f>=IF(ISBLANK(Q180), "", "Hayır")</f>
        <v>Hayır</v>
      </c>
      <c r="V180" s="44" t="s">
        <v>31</v>
      </c>
    </row>
  </sheetData>
  <dataValidations count="2">
    <dataValidation sqref="R2:R180" showDropDown="0" showInputMessage="0" showErrorMessage="0" allowBlank="1" type="list" errorStyle="stop">
      <formula1>"7 Günlük Fiyat"</formula1>
    </dataValidation>
    <dataValidation sqref="T2:T180" showDropDown="0" showInputMessage="0" showErrorMessage="0" allowBlank="1" type="list" errorStyle="stop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2026-08-03T10:47:03Z</dcterms:created>
  <dcterms:modified xmlns:dcterms="http://purl.org/dc/terms/" xmlns:xsi="http://www.w3.org/2001/XMLSchema-instance" xsi:type="dcterms:W3CDTF">2026-08-03T12:07:53Z</dcterms:modified>
</cp:coreProperties>
</file>