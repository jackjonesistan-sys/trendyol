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<sst xmlns="http://schemas.openxmlformats.org/spreadsheetml/2006/main" count="75" uniqueCount="75">
  <si>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</si>
  <si>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</si>
  <si>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</si>
  <si>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</si>
  <si>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</si>
  <si>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</si>
  <si>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</si>
  <si>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</si>
  <si>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</si>
  <si>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</si>
  <si>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</si>
  <si>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</si>
  <si>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</si>
  <si>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</si>
  <si>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</si>
  <si>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</si>
  <si>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</si>
  <si>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</si>
  <si>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</si>
  <si>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</si>
  <si>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</si>
  <si>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</si>
  <si>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Rampalı Giriş Paspası Toz Ve Nem Alıcı Su Emici Kaymaz Paspas Apartman Dükkan Iş Yeri Paspası</t>
  </si>
  <si>
    <t>769995957</t>
  </si>
  <si>
    <t>TOZKONTROL-IYP1-GRI-3360</t>
  </si>
  <si>
    <t>33 x 60</t>
  </si>
  <si>
    <t>TOZKONTROL-IYP1</t>
  </si>
  <si>
    <t>Kapı Önü Paspası</t>
  </si>
  <si>
    <t>Paspas Yap</t>
  </si>
  <si>
    <t>4 Ağustos 08.00-11 Ağustos 07.59</t>
  </si>
  <si>
    <t>7 Günlük Fiyat</t>
  </si>
  <si>
    <t>5c8cccc8-68da-40f6-8dc2-d95a0e9fc488</t>
  </si>
  <si>
    <t>TOZKONTROL-IYP1-GRI-4070</t>
  </si>
  <si>
    <t>40 x 70</t>
  </si>
  <si>
    <t>769999711</t>
  </si>
  <si>
    <t>TOZKONTROL-IYP1-SIYAH-3360</t>
  </si>
  <si>
    <t>TOZKONTROL-IYP1-SIYAH-4070</t>
  </si>
  <si>
    <t>Toz Ve Nem Alıcı Paspas Iş Yeri Paspası Iç Ve Dış Mekan Paspası Giriş Paspası Kapı Paspası</t>
  </si>
  <si>
    <t>780278960</t>
  </si>
  <si>
    <t>TOZKONTROL-IYP2-RAMPASIZ-GRI-33x60</t>
  </si>
  <si>
    <t>TOZKONTROL-IYP2-RAMPASIZ</t>
  </si>
  <si>
    <t>TOZKONTROL-IYP2-RAMPASIZ-GRI-40x70</t>
  </si>
  <si>
    <t>Welcome Yazılı Gri Kıvırcık Paspas Iş Yeri Paspası Apartman Giriş Paspası Su Emici</t>
  </si>
  <si>
    <t>249077562</t>
  </si>
  <si>
    <t>ST103-4070</t>
  </si>
  <si>
    <t>KIVIRCIKPASPASGRI4070</t>
  </si>
  <si>
    <t>ST103</t>
  </si>
  <si>
    <t>769993791</t>
  </si>
  <si>
    <t>TOZKONTROL-IYP1-KIRMIZI-4070</t>
  </si>
  <si>
    <t>TOZKONTROL-IYP1-KIRMIZI-3360</t>
  </si>
  <si>
    <t>780287237</t>
  </si>
  <si>
    <t>TOZKONTROL-IYP2-RAMPASIZ-SIYAH-33x60</t>
  </si>
  <si>
    <t>TOZKONTROL-IYP2-RAMPASIZ-SIYAH-40x70</t>
  </si>
  <si>
    <t>780287428</t>
  </si>
  <si>
    <t>TOZKONTROL-IYP2-RAMPASIZ-KIRMIZI-33x60</t>
  </si>
  <si>
    <t>TOZKONTROL-IYP2-RAMPASIZ-KIRMIZI-40x70</t>
  </si>
  <si>
    <t>İşyeri Ve Ev Paspası Halı Paspas Dış Mekan Paspası Giriş Apartman Su Emici Kaymaz Toz Ve Nem Alıcı</t>
  </si>
  <si>
    <t>156225538</t>
  </si>
  <si>
    <t>NA100-3360</t>
  </si>
  <si>
    <t>TOZKONTROLSIYAH3360-NA100</t>
  </si>
  <si>
    <t>NA100</t>
  </si>
  <si>
    <t>NA100-4070</t>
  </si>
  <si>
    <t>TOZKONTROLSIYAH4070-NA100</t>
  </si>
  <si>
    <t>İşyeri Paspası Halı Paspas Gri Paspas Kapı Önü Paspası Apartman Dış Kapı Paspası Toz Ve Nem Alıcı</t>
  </si>
  <si>
    <t>194116209</t>
  </si>
  <si>
    <t>NA100-3360-G</t>
  </si>
  <si>
    <t>TOZKONTROLGRI3360-NA100</t>
  </si>
  <si>
    <t>NA100-4070-G</t>
  </si>
  <si>
    <t>TOZKONTROLGRI4070-NA100</t>
  </si>
  <si>
    <t>İşyeri Paspası Halı Paspas Kırmızı Paspas Kapı Önü Paspası Apartman Dış Kapı Paspası Toz Nem Alıcı</t>
  </si>
  <si>
    <t>194122870</t>
  </si>
  <si>
    <t>NA100-3360-K</t>
  </si>
  <si>
    <t>TOZKONTROLKIRMIZI3360-NA100</t>
  </si>
  <si>
    <t>NA100-4070-K</t>
  </si>
  <si>
    <t>TOZKONTROLKIRMIZI4070-NA100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</si>
</sst>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  <row r="2">
      <c r="A2" s="44" t="s">
        <v>22</v>
      </c>
      <c r="B2" s="44" t="s">
        <v>23</v>
      </c>
      <c r="C2" s="44" t="s">
        <v>24</v>
      </c>
      <c r="D2" s="44" t="s">
        <v>24</v>
      </c>
      <c r="E2" s="44" t="s">
        <v>25</v>
      </c>
      <c r="F2" s="44" t="s">
        <v>26</v>
      </c>
      <c r="G2" s="44" t="s">
        <v>27</v>
      </c>
      <c r="H2" s="44" t="s">
        <v>28</v>
      </c>
      <c r="I2" s="44">
        <v>992</v>
      </c>
      <c r="J2" s="44">
        <v>599</v>
      </c>
      <c r="K2" s="44">
        <v>561.55</v>
      </c>
      <c r="L2" s="44">
        <v>21.4</v>
      </c>
      <c r="M2" s="44">
        <v>428.39</v>
      </c>
      <c r="N2" s="44" t="s">
        <v>29</v>
      </c>
      <c r="O2" s="44">
        <v>14.8</v>
      </c>
      <c r="P2" s="44">
        <v>561.55</v>
      </c>
      <c r="Q2" s="41">
        <v>428.39</v>
      </c>
      <c r="R2" s="44" t="s">
        <v>30</v>
      </c>
      <c r="S2" s="41">
        <f>=IF(OR(Q2="", R2=""), "-", IF(ISNUMBER(SEARCH("7 Günlük", R2)), IF(Q2&lt;=M2, O2, "-"), "-"))</f>
        <v>14.8</v>
      </c>
      <c r="T2" s="44" t="str">
        <f>=IF(ISBLANK(Q2), "", "Hayır")</f>
        <v>Hayır</v>
      </c>
      <c r="U2" s="44"/>
      <c r="V2" s="44" t="s">
        <v>31</v>
      </c>
    </row>
    <row r="3">
      <c r="A3" s="44" t="s">
        <v>22</v>
      </c>
      <c r="B3" s="44" t="s">
        <v>23</v>
      </c>
      <c r="C3" s="44" t="s">
        <v>32</v>
      </c>
      <c r="D3" s="44" t="s">
        <v>32</v>
      </c>
      <c r="E3" s="44" t="s">
        <v>33</v>
      </c>
      <c r="F3" s="44" t="s">
        <v>26</v>
      </c>
      <c r="G3" s="44" t="s">
        <v>27</v>
      </c>
      <c r="H3" s="44" t="s">
        <v>28</v>
      </c>
      <c r="I3" s="44">
        <v>987</v>
      </c>
      <c r="J3" s="44">
        <v>799</v>
      </c>
      <c r="K3" s="44">
        <v>749.05</v>
      </c>
      <c r="L3" s="44">
        <v>21.4</v>
      </c>
      <c r="M3" s="44">
        <v>571.4</v>
      </c>
      <c r="N3" s="44" t="s">
        <v>29</v>
      </c>
      <c r="O3" s="44">
        <v>14.8</v>
      </c>
      <c r="P3" s="44">
        <v>749.05</v>
      </c>
      <c r="Q3" s="41">
        <v>571.4</v>
      </c>
      <c r="R3" s="44" t="s">
        <v>30</v>
      </c>
      <c r="S3" s="41">
        <f>=IF(OR(Q3="", R3=""), "-", IF(ISNUMBER(SEARCH("7 Günlük", R3)), IF(Q3&lt;=M3, O3, "-"), "-"))</f>
        <v>14.8</v>
      </c>
      <c r="T3" s="44" t="str">
        <f>=IF(ISBLANK(Q3), "", "Hayır")</f>
        <v>Hayır</v>
      </c>
      <c r="U3" s="44"/>
      <c r="V3" s="44" t="s">
        <v>31</v>
      </c>
    </row>
    <row r="4">
      <c r="A4" s="44" t="s">
        <v>22</v>
      </c>
      <c r="B4" s="44" t="s">
        <v>34</v>
      </c>
      <c r="C4" s="44" t="s">
        <v>35</v>
      </c>
      <c r="D4" s="44" t="s">
        <v>35</v>
      </c>
      <c r="E4" s="44" t="s">
        <v>25</v>
      </c>
      <c r="F4" s="44" t="s">
        <v>26</v>
      </c>
      <c r="G4" s="44" t="s">
        <v>27</v>
      </c>
      <c r="H4" s="44" t="s">
        <v>28</v>
      </c>
      <c r="I4" s="44">
        <v>983</v>
      </c>
      <c r="J4" s="44">
        <v>599</v>
      </c>
      <c r="K4" s="44">
        <v>561.55</v>
      </c>
      <c r="L4" s="44">
        <v>21.6</v>
      </c>
      <c r="M4" s="44">
        <v>428.39</v>
      </c>
      <c r="N4" s="44" t="s">
        <v>29</v>
      </c>
      <c r="O4" s="44">
        <v>16.8</v>
      </c>
      <c r="P4" s="44">
        <v>561.55</v>
      </c>
      <c r="Q4" s="41">
        <v>428.39</v>
      </c>
      <c r="R4" s="44" t="s">
        <v>30</v>
      </c>
      <c r="S4" s="41">
        <f>=IF(OR(Q4="", R4=""), "-", IF(ISNUMBER(SEARCH("7 Günlük", R4)), IF(Q4&lt;=M4, O4, "-"), "-"))</f>
        <v>16.8</v>
      </c>
      <c r="T4" s="44" t="str">
        <f>=IF(ISBLANK(Q4), "", "Hayır")</f>
        <v>Hayır</v>
      </c>
      <c r="U4" s="44"/>
      <c r="V4" s="44" t="s">
        <v>31</v>
      </c>
    </row>
    <row r="5">
      <c r="A5" s="44" t="s">
        <v>22</v>
      </c>
      <c r="B5" s="44" t="s">
        <v>34</v>
      </c>
      <c r="C5" s="44" t="s">
        <v>36</v>
      </c>
      <c r="D5" s="44" t="s">
        <v>36</v>
      </c>
      <c r="E5" s="44" t="s">
        <v>33</v>
      </c>
      <c r="F5" s="44" t="s">
        <v>26</v>
      </c>
      <c r="G5" s="44" t="s">
        <v>27</v>
      </c>
      <c r="H5" s="44" t="s">
        <v>28</v>
      </c>
      <c r="I5" s="44">
        <v>978</v>
      </c>
      <c r="J5" s="44">
        <v>799</v>
      </c>
      <c r="K5" s="44">
        <v>748.77</v>
      </c>
      <c r="L5" s="44">
        <v>21.6</v>
      </c>
      <c r="M5" s="44">
        <v>571.22</v>
      </c>
      <c r="N5" s="44" t="s">
        <v>29</v>
      </c>
      <c r="O5" s="44">
        <v>16.8</v>
      </c>
      <c r="P5" s="44">
        <v>748.77</v>
      </c>
      <c r="Q5" s="41">
        <v>571.22</v>
      </c>
      <c r="R5" s="44" t="s">
        <v>30</v>
      </c>
      <c r="S5" s="41">
        <f>=IF(OR(Q5="", R5=""), "-", IF(ISNUMBER(SEARCH("7 Günlük", R5)), IF(Q5&lt;=M5, O5, "-"), "-"))</f>
        <v>16.8</v>
      </c>
      <c r="T5" s="44" t="str">
        <f>=IF(ISBLANK(Q5), "", "Hayır")</f>
        <v>Hayır</v>
      </c>
      <c r="U5" s="44"/>
      <c r="V5" s="44" t="s">
        <v>31</v>
      </c>
    </row>
    <row r="6">
      <c r="A6" s="44" t="s">
        <v>37</v>
      </c>
      <c r="B6" s="44" t="s">
        <v>38</v>
      </c>
      <c r="C6" s="44" t="s">
        <v>39</v>
      </c>
      <c r="D6" s="44" t="s">
        <v>39</v>
      </c>
      <c r="E6" s="44" t="s">
        <v>25</v>
      </c>
      <c r="F6" s="44" t="s">
        <v>40</v>
      </c>
      <c r="G6" s="44" t="s">
        <v>27</v>
      </c>
      <c r="H6" s="44" t="s">
        <v>28</v>
      </c>
      <c r="I6" s="44">
        <v>978</v>
      </c>
      <c r="J6" s="44">
        <v>399</v>
      </c>
      <c r="K6" s="44">
        <v>364.4</v>
      </c>
      <c r="L6" s="44">
        <v>21.4</v>
      </c>
      <c r="M6" s="44">
        <v>300.2</v>
      </c>
      <c r="N6" s="44" t="s">
        <v>29</v>
      </c>
      <c r="O6" s="44">
        <v>16.7</v>
      </c>
      <c r="P6" s="44">
        <v>364.4</v>
      </c>
      <c r="Q6" s="41">
        <v>300.2</v>
      </c>
      <c r="R6" s="44" t="s">
        <v>30</v>
      </c>
      <c r="S6" s="41">
        <f>=IF(OR(Q6="", R6=""), "-", IF(ISNUMBER(SEARCH("7 Günlük", R6)), IF(Q6&lt;=M6, O6, "-"), "-"))</f>
        <v>16.7</v>
      </c>
      <c r="T6" s="44" t="str">
        <f>=IF(ISBLANK(Q6), "", "Hayır")</f>
        <v>Hayır</v>
      </c>
      <c r="U6" s="44"/>
      <c r="V6" s="44" t="s">
        <v>31</v>
      </c>
    </row>
    <row r="7">
      <c r="A7" s="44" t="s">
        <v>37</v>
      </c>
      <c r="B7" s="44" t="s">
        <v>38</v>
      </c>
      <c r="C7" s="44" t="s">
        <v>41</v>
      </c>
      <c r="D7" s="44" t="s">
        <v>41</v>
      </c>
      <c r="E7" s="44" t="s">
        <v>33</v>
      </c>
      <c r="F7" s="44" t="s">
        <v>40</v>
      </c>
      <c r="G7" s="44" t="s">
        <v>27</v>
      </c>
      <c r="H7" s="44" t="s">
        <v>28</v>
      </c>
      <c r="I7" s="44">
        <v>991</v>
      </c>
      <c r="J7" s="44">
        <v>669</v>
      </c>
      <c r="K7" s="44">
        <v>505.96</v>
      </c>
      <c r="L7" s="44">
        <v>21.2</v>
      </c>
      <c r="M7" s="44">
        <v>402.89</v>
      </c>
      <c r="N7" s="44" t="s">
        <v>29</v>
      </c>
      <c r="O7" s="44">
        <v>14.3</v>
      </c>
      <c r="P7" s="44">
        <v>505.96</v>
      </c>
      <c r="Q7" s="41">
        <v>402.89</v>
      </c>
      <c r="R7" s="44" t="s">
        <v>30</v>
      </c>
      <c r="S7" s="41">
        <f>=IF(OR(Q7="", R7=""), "-", IF(ISNUMBER(SEARCH("7 Günlük", R7)), IF(Q7&lt;=M7, O7, "-"), "-"))</f>
        <v>14.3</v>
      </c>
      <c r="T7" s="44" t="str">
        <f>=IF(ISBLANK(Q7), "", "Hayır")</f>
        <v>Hayır</v>
      </c>
      <c r="U7" s="44"/>
      <c r="V7" s="44" t="s">
        <v>31</v>
      </c>
    </row>
    <row r="8">
      <c r="A8" s="44" t="s">
        <v>42</v>
      </c>
      <c r="B8" s="44" t="s">
        <v>43</v>
      </c>
      <c r="C8" s="44" t="s">
        <v>44</v>
      </c>
      <c r="D8" s="44" t="s">
        <v>45</v>
      </c>
      <c r="E8" s="44" t="s">
        <v>33</v>
      </c>
      <c r="F8" s="44" t="s">
        <v>46</v>
      </c>
      <c r="G8" s="44" t="s">
        <v>27</v>
      </c>
      <c r="H8" s="44" t="s">
        <v>28</v>
      </c>
      <c r="I8" s="44">
        <v>977</v>
      </c>
      <c r="J8" s="44">
        <v>749</v>
      </c>
      <c r="K8" s="44">
        <v>683.9</v>
      </c>
      <c r="L8" s="44">
        <v>22</v>
      </c>
      <c r="M8" s="44">
        <v>594.6900000000001</v>
      </c>
      <c r="N8" s="44" t="s">
        <v>29</v>
      </c>
      <c r="O8" s="44">
        <v>18.6</v>
      </c>
      <c r="P8" s="44">
        <v>683.9</v>
      </c>
      <c r="Q8" s="41">
        <v>594.6900000000001</v>
      </c>
      <c r="R8" s="44" t="s">
        <v>30</v>
      </c>
      <c r="S8" s="41">
        <f>=IF(OR(Q8="", R8=""), "-", IF(ISNUMBER(SEARCH("7 Günlük", R8)), IF(Q8&lt;=M8, O8, "-"), "-"))</f>
        <v>18.6</v>
      </c>
      <c r="T8" s="44" t="str">
        <f>=IF(ISBLANK(Q8), "", "Hayır")</f>
        <v>Hayır</v>
      </c>
      <c r="U8" s="44"/>
      <c r="V8" s="44" t="s">
        <v>31</v>
      </c>
    </row>
    <row r="9">
      <c r="A9" s="44" t="s">
        <v>22</v>
      </c>
      <c r="B9" s="44" t="s">
        <v>47</v>
      </c>
      <c r="C9" s="44" t="s">
        <v>48</v>
      </c>
      <c r="D9" s="44" t="s">
        <v>48</v>
      </c>
      <c r="E9" s="44" t="s">
        <v>33</v>
      </c>
      <c r="F9" s="44" t="s">
        <v>26</v>
      </c>
      <c r="G9" s="44" t="s">
        <v>27</v>
      </c>
      <c r="H9" s="44" t="s">
        <v>28</v>
      </c>
      <c r="I9" s="44">
        <v>991</v>
      </c>
      <c r="J9" s="44">
        <v>799</v>
      </c>
      <c r="K9" s="44">
        <v>705.9299999999999</v>
      </c>
      <c r="L9" s="44">
        <v>21.2</v>
      </c>
      <c r="M9" s="44">
        <v>579.62</v>
      </c>
      <c r="N9" s="44" t="s">
        <v>29</v>
      </c>
      <c r="O9" s="44">
        <v>16.3</v>
      </c>
      <c r="P9" s="44">
        <v>705.9299999999999</v>
      </c>
      <c r="Q9" s="41">
        <v>579.62</v>
      </c>
      <c r="R9" s="44" t="s">
        <v>30</v>
      </c>
      <c r="S9" s="41">
        <f>=IF(OR(Q9="", R9=""), "-", IF(ISNUMBER(SEARCH("7 Günlük", R9)), IF(Q9&lt;=M9, O9, "-"), "-"))</f>
        <v>16.3</v>
      </c>
      <c r="T9" s="44" t="str">
        <f>=IF(ISBLANK(Q9), "", "Hayır")</f>
        <v>Hayır</v>
      </c>
      <c r="U9" s="44"/>
      <c r="V9" s="44" t="s">
        <v>31</v>
      </c>
    </row>
    <row r="10">
      <c r="A10" s="44" t="s">
        <v>22</v>
      </c>
      <c r="B10" s="44" t="s">
        <v>47</v>
      </c>
      <c r="C10" s="44" t="s">
        <v>49</v>
      </c>
      <c r="D10" s="44" t="s">
        <v>49</v>
      </c>
      <c r="E10" s="44" t="s">
        <v>25</v>
      </c>
      <c r="F10" s="44" t="s">
        <v>26</v>
      </c>
      <c r="G10" s="44" t="s">
        <v>27</v>
      </c>
      <c r="H10" s="44" t="s">
        <v>28</v>
      </c>
      <c r="I10" s="44">
        <v>994</v>
      </c>
      <c r="J10" s="44">
        <v>599</v>
      </c>
      <c r="K10" s="44">
        <v>561.55</v>
      </c>
      <c r="L10" s="44">
        <v>21.4</v>
      </c>
      <c r="M10" s="44">
        <v>449.76</v>
      </c>
      <c r="N10" s="44" t="s">
        <v>29</v>
      </c>
      <c r="O10" s="44">
        <v>16</v>
      </c>
      <c r="P10" s="44">
        <v>561.55</v>
      </c>
      <c r="Q10" s="41">
        <v>449.76</v>
      </c>
      <c r="R10" s="44" t="s">
        <v>30</v>
      </c>
      <c r="S10" s="41">
        <f>=IF(OR(Q10="", R10=""), "-", IF(ISNUMBER(SEARCH("7 Günlük", R10)), IF(Q10&lt;=M10, O10, "-"), "-"))</f>
        <v>16.0</v>
      </c>
      <c r="T10" s="44" t="str">
        <f>=IF(ISBLANK(Q10), "", "Hayır")</f>
        <v>Hayır</v>
      </c>
      <c r="U10" s="44"/>
      <c r="V10" s="44" t="s">
        <v>31</v>
      </c>
    </row>
    <row r="11">
      <c r="A11" s="44" t="s">
        <v>37</v>
      </c>
      <c r="B11" s="44" t="s">
        <v>50</v>
      </c>
      <c r="C11" s="44" t="s">
        <v>51</v>
      </c>
      <c r="D11" s="44" t="s">
        <v>51</v>
      </c>
      <c r="E11" s="44" t="s">
        <v>25</v>
      </c>
      <c r="F11" s="44" t="s">
        <v>40</v>
      </c>
      <c r="G11" s="44" t="s">
        <v>27</v>
      </c>
      <c r="H11" s="44" t="s">
        <v>28</v>
      </c>
      <c r="I11" s="44">
        <v>993</v>
      </c>
      <c r="J11" s="44">
        <v>399</v>
      </c>
      <c r="K11" s="44">
        <v>364.4</v>
      </c>
      <c r="L11" s="44">
        <v>21.4</v>
      </c>
      <c r="M11" s="44">
        <v>300.14</v>
      </c>
      <c r="N11" s="44" t="s">
        <v>29</v>
      </c>
      <c r="O11" s="44">
        <v>16.7</v>
      </c>
      <c r="P11" s="44">
        <v>364.4</v>
      </c>
      <c r="Q11" s="41">
        <v>300.14</v>
      </c>
      <c r="R11" s="44" t="s">
        <v>30</v>
      </c>
      <c r="S11" s="41">
        <f>=IF(OR(Q11="", R11=""), "-", IF(ISNUMBER(SEARCH("7 Günlük", R11)), IF(Q11&lt;=M11, O11, "-"), "-"))</f>
        <v>16.7</v>
      </c>
      <c r="T11" s="44" t="str">
        <f>=IF(ISBLANK(Q11), "", "Hayır")</f>
        <v>Hayır</v>
      </c>
      <c r="U11" s="44"/>
      <c r="V11" s="44" t="s">
        <v>31</v>
      </c>
    </row>
    <row r="12">
      <c r="A12" s="44" t="s">
        <v>37</v>
      </c>
      <c r="B12" s="44" t="s">
        <v>50</v>
      </c>
      <c r="C12" s="44" t="s">
        <v>52</v>
      </c>
      <c r="D12" s="44" t="s">
        <v>52</v>
      </c>
      <c r="E12" s="44" t="s">
        <v>33</v>
      </c>
      <c r="F12" s="44" t="s">
        <v>40</v>
      </c>
      <c r="G12" s="44" t="s">
        <v>27</v>
      </c>
      <c r="H12" s="44" t="s">
        <v>28</v>
      </c>
      <c r="I12" s="44">
        <v>999</v>
      </c>
      <c r="J12" s="44">
        <v>669</v>
      </c>
      <c r="K12" s="44">
        <v>520.08</v>
      </c>
      <c r="L12" s="44">
        <v>20.6</v>
      </c>
      <c r="M12" s="44">
        <v>450.47</v>
      </c>
      <c r="N12" s="44" t="s">
        <v>29</v>
      </c>
      <c r="O12" s="44">
        <v>16.9</v>
      </c>
      <c r="P12" s="44">
        <v>520.08</v>
      </c>
      <c r="Q12" s="41">
        <v>450.47</v>
      </c>
      <c r="R12" s="44" t="s">
        <v>30</v>
      </c>
      <c r="S12" s="41">
        <f>=IF(OR(Q12="", R12=""), "-", IF(ISNUMBER(SEARCH("7 Günlük", R12)), IF(Q12&lt;=M12, O12, "-"), "-"))</f>
        <v>16.9</v>
      </c>
      <c r="T12" s="44" t="str">
        <f>=IF(ISBLANK(Q12), "", "Hayır")</f>
        <v>Hayır</v>
      </c>
      <c r="U12" s="44"/>
      <c r="V12" s="44" t="s">
        <v>31</v>
      </c>
    </row>
    <row r="13">
      <c r="A13" s="44" t="s">
        <v>37</v>
      </c>
      <c r="B13" s="44" t="s">
        <v>53</v>
      </c>
      <c r="C13" s="44" t="s">
        <v>54</v>
      </c>
      <c r="D13" s="44" t="s">
        <v>54</v>
      </c>
      <c r="E13" s="44" t="s">
        <v>25</v>
      </c>
      <c r="F13" s="44" t="s">
        <v>40</v>
      </c>
      <c r="G13" s="44" t="s">
        <v>27</v>
      </c>
      <c r="H13" s="44" t="s">
        <v>28</v>
      </c>
      <c r="I13" s="44">
        <v>995</v>
      </c>
      <c r="J13" s="44">
        <v>399</v>
      </c>
      <c r="K13" s="44">
        <v>364.55</v>
      </c>
      <c r="L13" s="44">
        <v>21.4</v>
      </c>
      <c r="M13" s="44">
        <v>300.53</v>
      </c>
      <c r="N13" s="44" t="s">
        <v>29</v>
      </c>
      <c r="O13" s="44">
        <v>16.7</v>
      </c>
      <c r="P13" s="44">
        <v>364.55</v>
      </c>
      <c r="Q13" s="41">
        <v>300.53</v>
      </c>
      <c r="R13" s="44" t="s">
        <v>30</v>
      </c>
      <c r="S13" s="41">
        <f>=IF(OR(Q13="", R13=""), "-", IF(ISNUMBER(SEARCH("7 Günlük", R13)), IF(Q13&lt;=M13, O13, "-"), "-"))</f>
        <v>16.7</v>
      </c>
      <c r="T13" s="44" t="str">
        <f>=IF(ISBLANK(Q13), "", "Hayır")</f>
        <v>Hayır</v>
      </c>
      <c r="U13" s="44"/>
      <c r="V13" s="44" t="s">
        <v>31</v>
      </c>
    </row>
    <row r="14">
      <c r="A14" s="44" t="s">
        <v>37</v>
      </c>
      <c r="B14" s="44" t="s">
        <v>53</v>
      </c>
      <c r="C14" s="44" t="s">
        <v>55</v>
      </c>
      <c r="D14" s="44" t="s">
        <v>55</v>
      </c>
      <c r="E14" s="44" t="s">
        <v>33</v>
      </c>
      <c r="F14" s="44" t="s">
        <v>40</v>
      </c>
      <c r="G14" s="44" t="s">
        <v>27</v>
      </c>
      <c r="H14" s="44" t="s">
        <v>28</v>
      </c>
      <c r="I14" s="44">
        <v>995</v>
      </c>
      <c r="J14" s="44">
        <v>669</v>
      </c>
      <c r="K14" s="44">
        <v>497.71</v>
      </c>
      <c r="L14" s="44">
        <v>21.3</v>
      </c>
      <c r="M14" s="44">
        <v>412.47</v>
      </c>
      <c r="N14" s="44" t="s">
        <v>29</v>
      </c>
      <c r="O14" s="44">
        <v>15.5</v>
      </c>
      <c r="P14" s="44">
        <v>497.71</v>
      </c>
      <c r="Q14" s="41">
        <v>412.47</v>
      </c>
      <c r="R14" s="44" t="s">
        <v>30</v>
      </c>
      <c r="S14" s="41">
        <f>=IF(OR(Q14="", R14=""), "-", IF(ISNUMBER(SEARCH("7 Günlük", R14)), IF(Q14&lt;=M14, O14, "-"), "-"))</f>
        <v>15.5</v>
      </c>
      <c r="T14" s="44" t="str">
        <f>=IF(ISBLANK(Q14), "", "Hayır")</f>
        <v>Hayır</v>
      </c>
      <c r="U14" s="44"/>
      <c r="V14" s="44" t="s">
        <v>31</v>
      </c>
    </row>
    <row r="15">
      <c r="A15" s="44" t="s">
        <v>56</v>
      </c>
      <c r="B15" s="44" t="s">
        <v>57</v>
      </c>
      <c r="C15" s="44" t="s">
        <v>58</v>
      </c>
      <c r="D15" s="44" t="s">
        <v>59</v>
      </c>
      <c r="E15" s="44" t="s">
        <v>25</v>
      </c>
      <c r="F15" s="44" t="s">
        <v>60</v>
      </c>
      <c r="G15" s="44" t="s">
        <v>27</v>
      </c>
      <c r="H15" s="44" t="s">
        <v>28</v>
      </c>
      <c r="I15" s="44">
        <v>997</v>
      </c>
      <c r="J15" s="44">
        <v>399</v>
      </c>
      <c r="K15" s="44">
        <v>364.45</v>
      </c>
      <c r="L15" s="44">
        <v>21.4</v>
      </c>
      <c r="M15" s="44">
        <v>300.24</v>
      </c>
      <c r="N15" s="44" t="s">
        <v>29</v>
      </c>
      <c r="O15" s="44">
        <v>16.7</v>
      </c>
      <c r="P15" s="44">
        <v>364.45</v>
      </c>
      <c r="Q15" s="41">
        <v>300.24</v>
      </c>
      <c r="R15" s="44" t="s">
        <v>30</v>
      </c>
      <c r="S15" s="41">
        <f>=IF(OR(Q15="", R15=""), "-", IF(ISNUMBER(SEARCH("7 Günlük", R15)), IF(Q15&lt;=M15, O15, "-"), "-"))</f>
        <v>16.7</v>
      </c>
      <c r="T15" s="44" t="str">
        <f>=IF(ISBLANK(Q15), "", "Hayır")</f>
        <v>Hayır</v>
      </c>
      <c r="U15" s="44"/>
      <c r="V15" s="44" t="s">
        <v>31</v>
      </c>
    </row>
    <row r="16">
      <c r="A16" s="44" t="s">
        <v>56</v>
      </c>
      <c r="B16" s="44" t="s">
        <v>57</v>
      </c>
      <c r="C16" s="44" t="s">
        <v>61</v>
      </c>
      <c r="D16" s="44" t="s">
        <v>62</v>
      </c>
      <c r="E16" s="44" t="s">
        <v>33</v>
      </c>
      <c r="F16" s="44" t="s">
        <v>60</v>
      </c>
      <c r="G16" s="44" t="s">
        <v>27</v>
      </c>
      <c r="H16" s="44" t="s">
        <v>28</v>
      </c>
      <c r="I16" s="44">
        <v>999</v>
      </c>
      <c r="J16" s="44">
        <v>669</v>
      </c>
      <c r="K16" s="44">
        <v>518.26</v>
      </c>
      <c r="L16" s="44">
        <v>21.2</v>
      </c>
      <c r="M16" s="44">
        <v>417.99</v>
      </c>
      <c r="N16" s="44" t="s">
        <v>29</v>
      </c>
      <c r="O16" s="44">
        <v>14.8</v>
      </c>
      <c r="P16" s="44">
        <v>518.26</v>
      </c>
      <c r="Q16" s="41">
        <v>417.99</v>
      </c>
      <c r="R16" s="44" t="s">
        <v>30</v>
      </c>
      <c r="S16" s="41">
        <f>=IF(OR(Q16="", R16=""), "-", IF(ISNUMBER(SEARCH("7 Günlük", R16)), IF(Q16&lt;=M16, O16, "-"), "-"))</f>
        <v>14.8</v>
      </c>
      <c r="T16" s="44" t="str">
        <f>=IF(ISBLANK(Q16), "", "Hayır")</f>
        <v>Hayır</v>
      </c>
      <c r="U16" s="44"/>
      <c r="V16" s="44" t="s">
        <v>31</v>
      </c>
    </row>
    <row r="17">
      <c r="A17" s="44" t="s">
        <v>63</v>
      </c>
      <c r="B17" s="44" t="s">
        <v>64</v>
      </c>
      <c r="C17" s="44" t="s">
        <v>65</v>
      </c>
      <c r="D17" s="44" t="s">
        <v>66</v>
      </c>
      <c r="E17" s="44" t="s">
        <v>25</v>
      </c>
      <c r="F17" s="44" t="s">
        <v>60</v>
      </c>
      <c r="G17" s="44" t="s">
        <v>27</v>
      </c>
      <c r="H17" s="44" t="s">
        <v>28</v>
      </c>
      <c r="I17" s="44">
        <v>998</v>
      </c>
      <c r="J17" s="44">
        <v>399</v>
      </c>
      <c r="K17" s="44">
        <v>364.4</v>
      </c>
      <c r="L17" s="44">
        <v>21.4</v>
      </c>
      <c r="M17" s="44">
        <v>300.14</v>
      </c>
      <c r="N17" s="44" t="s">
        <v>29</v>
      </c>
      <c r="O17" s="44">
        <v>16.7</v>
      </c>
      <c r="P17" s="44">
        <v>364.4</v>
      </c>
      <c r="Q17" s="41">
        <v>300.14</v>
      </c>
      <c r="R17" s="44" t="s">
        <v>30</v>
      </c>
      <c r="S17" s="41">
        <f>=IF(OR(Q17="", R17=""), "-", IF(ISNUMBER(SEARCH("7 Günlük", R17)), IF(Q17&lt;=M17, O17, "-"), "-"))</f>
        <v>16.7</v>
      </c>
      <c r="T17" s="44" t="str">
        <f>=IF(ISBLANK(Q17), "", "Hayır")</f>
        <v>Hayır</v>
      </c>
      <c r="U17" s="44"/>
      <c r="V17" s="44" t="s">
        <v>31</v>
      </c>
    </row>
    <row r="18">
      <c r="A18" s="44" t="s">
        <v>63</v>
      </c>
      <c r="B18" s="44" t="s">
        <v>64</v>
      </c>
      <c r="C18" s="44" t="s">
        <v>67</v>
      </c>
      <c r="D18" s="44" t="s">
        <v>68</v>
      </c>
      <c r="E18" s="44" t="s">
        <v>33</v>
      </c>
      <c r="F18" s="44" t="s">
        <v>60</v>
      </c>
      <c r="G18" s="44" t="s">
        <v>27</v>
      </c>
      <c r="H18" s="44" t="s">
        <v>28</v>
      </c>
      <c r="I18" s="44">
        <v>999</v>
      </c>
      <c r="J18" s="44">
        <v>669</v>
      </c>
      <c r="K18" s="44">
        <v>528.98</v>
      </c>
      <c r="L18" s="44">
        <v>21.2</v>
      </c>
      <c r="M18" s="44">
        <v>424.35</v>
      </c>
      <c r="N18" s="44" t="s">
        <v>29</v>
      </c>
      <c r="O18" s="44">
        <v>14.6</v>
      </c>
      <c r="P18" s="44">
        <v>528.98</v>
      </c>
      <c r="Q18" s="41">
        <v>424.35</v>
      </c>
      <c r="R18" s="44" t="s">
        <v>30</v>
      </c>
      <c r="S18" s="41">
        <f>=IF(OR(Q18="", R18=""), "-", IF(ISNUMBER(SEARCH("7 Günlük", R18)), IF(Q18&lt;=M18, O18, "-"), "-"))</f>
        <v>14.6</v>
      </c>
      <c r="T18" s="44" t="str">
        <f>=IF(ISBLANK(Q18), "", "Hayır")</f>
        <v>Hayır</v>
      </c>
      <c r="U18" s="44"/>
      <c r="V18" s="44" t="s">
        <v>31</v>
      </c>
    </row>
    <row r="19">
      <c r="A19" s="44" t="s">
        <v>69</v>
      </c>
      <c r="B19" s="44" t="s">
        <v>70</v>
      </c>
      <c r="C19" s="44" t="s">
        <v>71</v>
      </c>
      <c r="D19" s="44" t="s">
        <v>72</v>
      </c>
      <c r="E19" s="44" t="s">
        <v>25</v>
      </c>
      <c r="F19" s="44" t="s">
        <v>60</v>
      </c>
      <c r="G19" s="44" t="s">
        <v>27</v>
      </c>
      <c r="H19" s="44" t="s">
        <v>28</v>
      </c>
      <c r="I19" s="44">
        <v>998</v>
      </c>
      <c r="J19" s="44">
        <v>399</v>
      </c>
      <c r="K19" s="44">
        <v>358.56</v>
      </c>
      <c r="L19" s="44">
        <v>21.3</v>
      </c>
      <c r="M19" s="44">
        <v>287.28</v>
      </c>
      <c r="N19" s="44" t="s">
        <v>29</v>
      </c>
      <c r="O19" s="44">
        <v>15.9</v>
      </c>
      <c r="P19" s="44">
        <v>358.56</v>
      </c>
      <c r="Q19" s="41">
        <v>287.28</v>
      </c>
      <c r="R19" s="44" t="s">
        <v>30</v>
      </c>
      <c r="S19" s="41">
        <f>=IF(OR(Q19="", R19=""), "-", IF(ISNUMBER(SEARCH("7 Günlük", R19)), IF(Q19&lt;=M19, O19, "-"), "-"))</f>
        <v>15.9</v>
      </c>
      <c r="T19" s="44" t="str">
        <f>=IF(ISBLANK(Q19), "", "Hayır")</f>
        <v>Hayır</v>
      </c>
      <c r="U19" s="44"/>
      <c r="V19" s="44" t="s">
        <v>31</v>
      </c>
    </row>
    <row r="20">
      <c r="A20" s="44" t="s">
        <v>69</v>
      </c>
      <c r="B20" s="44" t="s">
        <v>70</v>
      </c>
      <c r="C20" s="44" t="s">
        <v>73</v>
      </c>
      <c r="D20" s="44" t="s">
        <v>74</v>
      </c>
      <c r="E20" s="44" t="s">
        <v>33</v>
      </c>
      <c r="F20" s="44" t="s">
        <v>60</v>
      </c>
      <c r="G20" s="44" t="s">
        <v>27</v>
      </c>
      <c r="H20" s="44" t="s">
        <v>28</v>
      </c>
      <c r="I20" s="44">
        <v>999</v>
      </c>
      <c r="J20" s="44">
        <v>669</v>
      </c>
      <c r="K20" s="44">
        <v>495.87</v>
      </c>
      <c r="L20" s="44">
        <v>20.2</v>
      </c>
      <c r="M20" s="44">
        <v>433.46</v>
      </c>
      <c r="N20" s="44" t="s">
        <v>29</v>
      </c>
      <c r="O20" s="44">
        <v>15.1</v>
      </c>
      <c r="P20" s="44">
        <v>495.87</v>
      </c>
      <c r="Q20" s="41">
        <v>433.46</v>
      </c>
      <c r="R20" s="44" t="s">
        <v>30</v>
      </c>
      <c r="S20" s="41">
        <f>=IF(OR(Q20="", R20=""), "-", IF(ISNUMBER(SEARCH("7 Günlük", R20)), IF(Q20&lt;=M20, O20, "-"), "-"))</f>
        <v>15.1</v>
      </c>
      <c r="T20" s="44" t="str">
        <f>=IF(ISBLANK(Q20), "", "Hayır")</f>
        <v>Hayır</v>
      </c>
      <c r="U20" s="44"/>
      <c r="V20" s="44" t="s">
        <v>31</v>
      </c>
    </row>
  </sheetData>
  <dataValidations count="2">
    <dataValidation sqref="R2:R20" showDropDown="0" showInputMessage="0" showErrorMessage="0" allowBlank="1" type="list" errorStyle="stop">
      <formula1>"7 Günlük Fiyat"</formula1>
    </dataValidation>
    <dataValidation sqref="T2:T20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2026-08-10T07:38:53Z</dcterms:created>
  <dcterms:modified xmlns:dcterms="http://purl.org/dc/terms/" xmlns:xsi="http://www.w3.org/2001/XMLSchema-instance" xsi:type="dcterms:W3CDTF">2026-08-10T21:48:24Z</dcterms:modified>
</cp:coreProperties>
</file>