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yPlusÜrünleri" sheetId="1" state="visible" r:id="rId1"/>
  </sheets>
  <definedNames/>
</workbook>
</file>

<file path=xl/sharedStrings.xml><?xml version="1.0" encoding="utf-8"?>
<sst xmlns="http://schemas.openxmlformats.org/spreadsheetml/2006/main" count="40" uniqueCount="40">
  <si>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</si>
  <si>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</si>
  <si>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</si>
  <si>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</si>
  <si>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</si>
  <si>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</si>
  <si>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</si>
  <si>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</si>
  <si>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</si>
  <si>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</si>
  <si>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</si>
  <si>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</si>
  <si>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</si>
  <si>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</si>
  <si>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</si>
  <si>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</si>
  <si>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</si>
  <si>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</si>
  <si>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</si>
  <si>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</si>
  <si>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</si>
  <si>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</si>
  <si>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Toz Kir Ve Nem Alıcı Paspas Araç Paspası Otobüs Servis Ve Oto Paspas Araç Içi Paspas</t>
  </si>
  <si>
    <t>794083917</t>
  </si>
  <si>
    <t>TOZKONTROL-SIYAH-RAMPASIZ-50x300</t>
  </si>
  <si>
    <t>50 x 300</t>
  </si>
  <si>
    <t>SO1</t>
  </si>
  <si>
    <t>Yolluk</t>
  </si>
  <si>
    <t>Paspas Yap</t>
  </si>
  <si>
    <t>4 Ağustos 08.00-11 Ağustos 07.59</t>
  </si>
  <si>
    <t>7 Günlük Fiyat</t>
  </si>
  <si>
    <t>5c8cccc8-68da-40f6-8dc2-d95a0e9fc488</t>
  </si>
  <si>
    <t>TOZKONTROL-SIYAH-RAMPASIZ-50x700</t>
  </si>
  <si>
    <t>50 x 700</t>
  </si>
  <si>
    <t>TOZKONTROL-SIYAH-RAMPASIZ-40x700</t>
  </si>
  <si>
    <t>40 x 700</t>
  </si>
  <si>
    <t>TOZKONTROL-SIYAH-RAMPASIZ-50x500</t>
  </si>
  <si>
    <t>50 x 500</t>
  </si>
  <si>
    <t>TOZKONTROL-SIYAH-RAMPASIZ-40x600</t>
  </si>
  <si>
    <t>40 x 600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</si>
</sst>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B6D7A8"/>
      </patternFill>
    </fill>
    <fill>
      <patternFill patternType="solid">
        <fgColor rgb="00B6D7A8"/>
      </patternFill>
    </fill>
    <fill>
      <patternFill>
        <fgColor rgb="00EDEDED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8" customWidth="1" min="11" max="11"/>
    <col width="18" customWidth="1" min="12" max="12"/>
    <col width="18" customWidth="1" min="13" max="13"/>
    <col width="30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2" customWidth="1" min="20" max="20"/>
  </cols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18" t="s">
        <v>13</v>
      </c>
      <c r="O1" s="18" t="s">
        <v>14</v>
      </c>
      <c r="P1" s="22" t="s">
        <v>15</v>
      </c>
      <c r="Q1" s="19" t="s">
        <v>16</v>
      </c>
      <c r="R1" s="18" t="s">
        <v>17</v>
      </c>
      <c r="S1" s="19" t="s">
        <v>18</v>
      </c>
      <c r="T1" s="22" t="s">
        <v>19</v>
      </c>
      <c r="U1" s="22" t="s">
        <v>20</v>
      </c>
      <c r="V1" s="22" t="s">
        <v>21</v>
      </c>
    </row>
    <row r="2">
      <c r="A2" s="44" t="s">
        <v>22</v>
      </c>
      <c r="B2" s="44" t="s">
        <v>23</v>
      </c>
      <c r="C2" s="44" t="s">
        <v>24</v>
      </c>
      <c r="D2" s="44" t="s">
        <v>24</v>
      </c>
      <c r="E2" s="44" t="s">
        <v>25</v>
      </c>
      <c r="F2" s="44" t="s">
        <v>26</v>
      </c>
      <c r="G2" s="44" t="s">
        <v>27</v>
      </c>
      <c r="H2" s="44" t="s">
        <v>28</v>
      </c>
      <c r="I2" s="44">
        <v>998</v>
      </c>
      <c r="J2" s="44">
        <v>2299</v>
      </c>
      <c r="K2" s="44">
        <v>1739.58</v>
      </c>
      <c r="L2" s="44">
        <v>21.7</v>
      </c>
      <c r="M2" s="44">
        <v>1619.17</v>
      </c>
      <c r="N2" s="44" t="s">
        <v>29</v>
      </c>
      <c r="O2" s="44">
        <v>19.7</v>
      </c>
      <c r="P2" s="44">
        <v>1739.58</v>
      </c>
      <c r="Q2" s="41">
        <v>1619.17</v>
      </c>
      <c r="R2" s="44" t="s">
        <v>30</v>
      </c>
      <c r="S2" s="41">
        <f>=IF(OR(Q2="", R2=""), "-", IF(ISNUMBER(SEARCH("7 Günlük", R2)), IF(Q2&lt;=M2, O2, "-"), "-"))</f>
        <v>19.7</v>
      </c>
      <c r="T2" s="44" t="str">
        <f>=IF(ISBLANK(Q2), "", "Hayır")</f>
        <v>Hayır</v>
      </c>
      <c r="U2" s="44"/>
      <c r="V2" s="44" t="s">
        <v>31</v>
      </c>
    </row>
    <row r="3">
      <c r="A3" s="44" t="s">
        <v>22</v>
      </c>
      <c r="B3" s="44" t="s">
        <v>23</v>
      </c>
      <c r="C3" s="44" t="s">
        <v>32</v>
      </c>
      <c r="D3" s="44" t="s">
        <v>32</v>
      </c>
      <c r="E3" s="44" t="s">
        <v>33</v>
      </c>
      <c r="F3" s="44" t="s">
        <v>26</v>
      </c>
      <c r="G3" s="44" t="s">
        <v>27</v>
      </c>
      <c r="H3" s="44" t="s">
        <v>28</v>
      </c>
      <c r="I3" s="44">
        <v>998</v>
      </c>
      <c r="J3" s="44">
        <v>4904</v>
      </c>
      <c r="K3" s="44">
        <v>3572.24</v>
      </c>
      <c r="L3" s="44">
        <v>21.4</v>
      </c>
      <c r="M3" s="44">
        <v>3435.56</v>
      </c>
      <c r="N3" s="44" t="s">
        <v>29</v>
      </c>
      <c r="O3" s="44">
        <v>20.2</v>
      </c>
      <c r="P3" s="44">
        <v>3572.24</v>
      </c>
      <c r="Q3" s="41">
        <v>3435.56</v>
      </c>
      <c r="R3" s="44" t="s">
        <v>30</v>
      </c>
      <c r="S3" s="41">
        <f>=IF(OR(Q3="", R3=""), "-", IF(ISNUMBER(SEARCH("7 Günlük", R3)), IF(Q3&lt;=M3, O3, "-"), "-"))</f>
        <v>20.2</v>
      </c>
      <c r="T3" s="44" t="str">
        <f>=IF(ISBLANK(Q3), "", "Hayır")</f>
        <v>Hayır</v>
      </c>
      <c r="U3" s="44"/>
      <c r="V3" s="44" t="s">
        <v>31</v>
      </c>
    </row>
    <row r="4">
      <c r="A4" s="44" t="s">
        <v>22</v>
      </c>
      <c r="B4" s="44" t="s">
        <v>23</v>
      </c>
      <c r="C4" s="44" t="s">
        <v>34</v>
      </c>
      <c r="D4" s="44" t="s">
        <v>34</v>
      </c>
      <c r="E4" s="44" t="s">
        <v>35</v>
      </c>
      <c r="F4" s="44" t="s">
        <v>26</v>
      </c>
      <c r="G4" s="44" t="s">
        <v>27</v>
      </c>
      <c r="H4" s="44" t="s">
        <v>28</v>
      </c>
      <c r="I4" s="44">
        <v>999</v>
      </c>
      <c r="J4" s="44">
        <v>3939</v>
      </c>
      <c r="K4" s="44">
        <v>2935.79</v>
      </c>
      <c r="L4" s="44">
        <v>21.7</v>
      </c>
      <c r="M4" s="44">
        <v>2749.2</v>
      </c>
      <c r="N4" s="44" t="s">
        <v>29</v>
      </c>
      <c r="O4" s="44">
        <v>19.9</v>
      </c>
      <c r="P4" s="44">
        <v>2935.79</v>
      </c>
      <c r="Q4" s="41">
        <v>2749.2</v>
      </c>
      <c r="R4" s="44" t="s">
        <v>30</v>
      </c>
      <c r="S4" s="41">
        <f>=IF(OR(Q4="", R4=""), "-", IF(ISNUMBER(SEARCH("7 Günlük", R4)), IF(Q4&lt;=M4, O4, "-"), "-"))</f>
        <v>19.9</v>
      </c>
      <c r="T4" s="44" t="str">
        <f>=IF(ISBLANK(Q4), "", "Hayır")</f>
        <v>Hayır</v>
      </c>
      <c r="U4" s="44"/>
      <c r="V4" s="44" t="s">
        <v>31</v>
      </c>
    </row>
    <row r="5">
      <c r="A5" s="44" t="s">
        <v>22</v>
      </c>
      <c r="B5" s="44" t="s">
        <v>23</v>
      </c>
      <c r="C5" s="44" t="s">
        <v>36</v>
      </c>
      <c r="D5" s="44" t="s">
        <v>36</v>
      </c>
      <c r="E5" s="44" t="s">
        <v>37</v>
      </c>
      <c r="F5" s="44" t="s">
        <v>26</v>
      </c>
      <c r="G5" s="44" t="s">
        <v>27</v>
      </c>
      <c r="H5" s="44" t="s">
        <v>28</v>
      </c>
      <c r="I5" s="44">
        <v>999</v>
      </c>
      <c r="J5" s="44">
        <v>3609</v>
      </c>
      <c r="K5" s="44">
        <v>2492.02</v>
      </c>
      <c r="L5" s="44">
        <v>20.8</v>
      </c>
      <c r="M5" s="44">
        <v>2513.96</v>
      </c>
      <c r="N5" s="44" t="s">
        <v>29</v>
      </c>
      <c r="O5" s="44">
        <v>19.7</v>
      </c>
      <c r="P5" s="44">
        <v>2492.02</v>
      </c>
      <c r="Q5" s="41">
        <v>2513.96</v>
      </c>
      <c r="R5" s="44" t="s">
        <v>30</v>
      </c>
      <c r="S5" s="41">
        <f>=IF(OR(Q5="", R5=""), "-", IF(ISNUMBER(SEARCH("7 Günlük", R5)), IF(Q5&lt;=M5, O5, "-"), "-"))</f>
        <v>19.7</v>
      </c>
      <c r="T5" s="44" t="str">
        <f>=IF(ISBLANK(Q5), "", "Hayır")</f>
        <v>Hayır</v>
      </c>
      <c r="U5" s="44"/>
      <c r="V5" s="44" t="s">
        <v>31</v>
      </c>
    </row>
    <row r="6">
      <c r="A6" s="44" t="s">
        <v>22</v>
      </c>
      <c r="B6" s="44" t="s">
        <v>23</v>
      </c>
      <c r="C6" s="44" t="s">
        <v>38</v>
      </c>
      <c r="D6" s="44" t="s">
        <v>38</v>
      </c>
      <c r="E6" s="44" t="s">
        <v>39</v>
      </c>
      <c r="F6" s="44" t="s">
        <v>26</v>
      </c>
      <c r="G6" s="44" t="s">
        <v>27</v>
      </c>
      <c r="H6" s="44" t="s">
        <v>28</v>
      </c>
      <c r="I6" s="44">
        <v>999</v>
      </c>
      <c r="J6" s="44">
        <v>3449</v>
      </c>
      <c r="K6" s="44">
        <v>2739.7</v>
      </c>
      <c r="L6" s="44">
        <v>21.5</v>
      </c>
      <c r="M6" s="44">
        <v>2435.31</v>
      </c>
      <c r="N6" s="44" t="s">
        <v>29</v>
      </c>
      <c r="O6" s="44">
        <v>18.3</v>
      </c>
      <c r="P6" s="44">
        <v>2739.7</v>
      </c>
      <c r="Q6" s="41">
        <v>2435.31</v>
      </c>
      <c r="R6" s="44" t="s">
        <v>30</v>
      </c>
      <c r="S6" s="41">
        <f>=IF(OR(Q6="", R6=""), "-", IF(ISNUMBER(SEARCH("7 Günlük", R6)), IF(Q6&lt;=M6, O6, "-"), "-"))</f>
        <v>18.3</v>
      </c>
      <c r="T6" s="44" t="str">
        <f>=IF(ISBLANK(Q6), "", "Hayır")</f>
        <v>Hayır</v>
      </c>
      <c r="U6" s="44"/>
      <c r="V6" s="44" t="s">
        <v>31</v>
      </c>
    </row>
  </sheetData>
  <dataValidations count="2">
    <dataValidation sqref="R2:R6" showDropDown="0" showInputMessage="0" showErrorMessage="0" allowBlank="1" type="list" errorStyle="stop">
      <formula1>"7 Günlük Fiyat"</formula1>
    </dataValidation>
    <dataValidation sqref="T2:T6" showDropDown="0" showInputMessage="0" showErrorMessage="0" allowBlank="1" type="list" errorStyle="stop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2026-08-03T10:47:03Z</dcterms:created>
  <dcterms:modified xsi:type="dcterms:W3CDTF">2026-08-05T23:53:19Z</dcterms:modified>
</cp:coreProperties>
</file>