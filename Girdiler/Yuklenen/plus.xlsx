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TyPlusÜrünleri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99" formatCode="0.00"/>
  </numFmts>
  <fonts count="3">
    <font>
      <sz val="11.0"/>
      <color indexed="8"/>
      <name val="Calibri"/>
      <family val="2"/>
      <scheme val="minor"/>
    </font>
    <font>
      <name val="Calibri"/>
      <sz val="9.0"/>
      <b val="true"/>
    </font>
    <font>
      <name val="Calibri"/>
      <sz val="9.0"/>
    </font>
  </fonts>
  <fills count="8">
    <fill>
      <patternFill patternType="none"/>
    </fill>
    <fill>
      <patternFill patternType="darkGray"/>
    </fill>
    <fill>
      <patternFill patternType="none">
        <fgColor rgb="F8CB9C"/>
      </patternFill>
    </fill>
    <fill>
      <patternFill patternType="solid">
        <fgColor rgb="F8CB9C"/>
      </patternFill>
    </fill>
    <fill>
      <patternFill patternType="none">
        <fgColor rgb="B6D7A8"/>
      </patternFill>
    </fill>
    <fill>
      <patternFill patternType="solid">
        <fgColor rgb="B6D7A8"/>
      </patternFill>
    </fill>
    <fill>
      <patternFill patternType="none">
        <fgColor rgb="EDEDED"/>
      </patternFill>
    </fill>
    <fill>
      <patternFill patternType="solid">
        <fgColor rgb="EDEDED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xfId="0"/>
    <xf numFmtId="0" fontId="1" fillId="3" borderId="4" xfId="0" applyFont="true" applyFill="true" applyBorder="true" applyAlignment="true">
      <alignment wrapText="true" horizontal="center" vertical="center"/>
    </xf>
    <xf numFmtId="0" fontId="1" fillId="3" borderId="4" xfId="0" applyFont="true" applyFill="true" applyBorder="true" applyAlignment="true">
      <alignment wrapText="true" horizontal="center" vertical="center"/>
    </xf>
    <xf numFmtId="0" fontId="1" fillId="3" borderId="4" xfId="0" applyFont="true" applyFill="true" applyBorder="true" applyAlignment="true">
      <alignment wrapText="true" horizontal="center" vertical="center"/>
    </xf>
    <xf numFmtId="0" fontId="1" fillId="3" borderId="4" xfId="0" applyFont="true" applyFill="true" applyBorder="true" applyAlignment="true">
      <alignment wrapText="true" horizontal="center" vertical="center"/>
    </xf>
    <xf numFmtId="0" fontId="1" fillId="3" borderId="4" xfId="0" applyFont="true" applyFill="true" applyBorder="true" applyAlignment="true">
      <alignment wrapText="true" horizontal="center" vertical="center"/>
    </xf>
    <xf numFmtId="0" fontId="1" fillId="3" borderId="4" xfId="0" applyFont="true" applyFill="true" applyBorder="true" applyAlignment="true">
      <alignment wrapText="true" horizontal="center" vertical="center"/>
    </xf>
    <xf numFmtId="0" fontId="1" fillId="3" borderId="4" xfId="0" applyFont="true" applyFill="true" applyBorder="true" applyAlignment="true">
      <alignment wrapText="true" horizontal="center" vertical="center"/>
    </xf>
    <xf numFmtId="0" fontId="1" fillId="3" borderId="4" xfId="0" applyFont="true" applyFill="true" applyBorder="true" applyAlignment="true">
      <alignment wrapText="true" horizontal="center" vertical="center"/>
    </xf>
    <xf numFmtId="0" fontId="1" fillId="3" borderId="4" xfId="0" applyFont="true" applyFill="true" applyBorder="true" applyAlignment="true">
      <alignment wrapText="true" horizontal="center" vertical="center"/>
    </xf>
    <xf numFmtId="0" fontId="1" fillId="3" borderId="4" xfId="0" applyFont="true" applyFill="true" applyBorder="true" applyAlignment="true">
      <alignment wrapText="true" horizontal="center" vertical="center"/>
    </xf>
    <xf numFmtId="0" fontId="1" fillId="3" borderId="4" xfId="0" applyFont="true" applyFill="true" applyBorder="true" applyAlignment="true">
      <alignment wrapText="true" horizontal="center" vertical="center"/>
    </xf>
    <xf numFmtId="0" fontId="1" fillId="3" borderId="4" xfId="0" applyFont="true" applyFill="true" applyBorder="true" applyAlignment="true">
      <alignment wrapText="true" horizontal="center" vertical="center"/>
    </xf>
    <xf numFmtId="0" fontId="1" fillId="3" borderId="4" xfId="0" applyFont="true" applyFill="true" applyBorder="true" applyAlignment="true">
      <alignment wrapText="true" horizontal="center" vertical="center"/>
    </xf>
    <xf numFmtId="0" fontId="1" fillId="5" borderId="4" xfId="0" applyFont="true" applyFill="true" applyBorder="true" applyAlignment="true">
      <alignment wrapText="true" horizontal="center" vertical="center"/>
    </xf>
    <xf numFmtId="0" fontId="1" fillId="5" borderId="4" xfId="0" applyFont="true" applyFill="true" applyBorder="true" applyAlignment="true">
      <alignment wrapText="true" horizontal="center" vertical="center"/>
    </xf>
    <xf numFmtId="0" fontId="1" fillId="3" borderId="4" xfId="0" applyFont="true" applyFill="true" applyBorder="true" applyAlignment="true">
      <alignment wrapText="true" horizontal="center" vertical="center"/>
    </xf>
    <xf numFmtId="2" fontId="1" fillId="5" borderId="4" xfId="0" applyFont="true" applyFill="true" applyBorder="true" applyAlignment="true" applyNumberFormat="true">
      <alignment wrapText="true" horizontal="center" vertical="center"/>
    </xf>
    <xf numFmtId="0" fontId="1" fillId="5" borderId="4" xfId="0" applyFont="true" applyFill="true" applyBorder="true" applyAlignment="true">
      <alignment wrapText="true" horizontal="center" vertical="center"/>
    </xf>
    <xf numFmtId="2" fontId="1" fillId="5" borderId="4" xfId="0" applyFont="true" applyFill="true" applyBorder="true" applyAlignment="true" applyNumberFormat="true">
      <alignment wrapText="true" horizontal="center" vertical="center"/>
    </xf>
    <xf numFmtId="0" fontId="1" fillId="3" borderId="4" xfId="0" applyFont="true" applyFill="true" applyBorder="true" applyAlignment="true">
      <alignment wrapText="true" horizontal="center" vertical="center"/>
    </xf>
    <xf numFmtId="0" fontId="1" fillId="3" borderId="4" xfId="0" applyFont="true" applyFill="true" applyBorder="true" applyAlignment="true">
      <alignment wrapText="true" horizontal="center" vertical="center"/>
    </xf>
    <xf numFmtId="0" fontId="1" fillId="3" borderId="4" xfId="0" applyFont="true" applyFill="true" applyBorder="true" applyAlignment="true">
      <alignment wrapText="true" horizontal="center" vertical="center"/>
    </xf>
    <xf numFmtId="0" fontId="2" fillId="7" borderId="4" xfId="0" applyFont="true" applyFill="true" applyBorder="true" applyAlignment="true">
      <alignment wrapText="false" horizontal="center" vertical="center"/>
    </xf>
    <xf numFmtId="0" fontId="2" fillId="7" borderId="4" xfId="0" applyFont="true" applyFill="true" applyBorder="true" applyAlignment="true">
      <alignment wrapText="false" horizontal="center" vertical="center"/>
    </xf>
    <xf numFmtId="0" fontId="2" fillId="7" borderId="4" xfId="0" applyFont="true" applyFill="true" applyBorder="true" applyAlignment="true">
      <alignment wrapText="false" horizontal="center" vertical="center"/>
    </xf>
    <xf numFmtId="0" fontId="2" fillId="7" borderId="4" xfId="0" applyFont="true" applyFill="true" applyBorder="true" applyAlignment="true">
      <alignment wrapText="false" horizontal="center" vertical="center"/>
    </xf>
    <xf numFmtId="0" fontId="2" fillId="7" borderId="4" xfId="0" applyFont="true" applyFill="true" applyBorder="true" applyAlignment="true">
      <alignment wrapText="false" horizontal="center" vertical="center"/>
    </xf>
    <xf numFmtId="0" fontId="2" fillId="7" borderId="4" xfId="0" applyFont="true" applyFill="true" applyBorder="true" applyAlignment="true">
      <alignment wrapText="false" horizontal="center" vertical="center"/>
    </xf>
    <xf numFmtId="0" fontId="2" fillId="7" borderId="4" xfId="0" applyFont="true" applyFill="true" applyBorder="true" applyAlignment="true">
      <alignment wrapText="false" horizontal="center" vertical="center"/>
    </xf>
    <xf numFmtId="0" fontId="2" fillId="7" borderId="4" xfId="0" applyFont="true" applyFill="true" applyBorder="true" applyAlignment="true">
      <alignment wrapText="false" horizontal="center" vertical="center"/>
    </xf>
    <xf numFmtId="0" fontId="2" fillId="7" borderId="4" xfId="0" applyFont="true" applyFill="true" applyBorder="true" applyAlignment="true">
      <alignment wrapText="false" horizontal="center" vertical="center"/>
    </xf>
    <xf numFmtId="0" fontId="2" fillId="7" borderId="4" xfId="0" applyFont="true" applyFill="true" applyBorder="true" applyAlignment="true">
      <alignment wrapText="false" horizontal="center" vertical="center"/>
    </xf>
    <xf numFmtId="0" fontId="2" fillId="7" borderId="4" xfId="0" applyFont="true" applyFill="true" applyBorder="true" applyAlignment="true">
      <alignment wrapText="false" horizontal="center" vertical="center"/>
    </xf>
    <xf numFmtId="0" fontId="2" fillId="7" borderId="4" xfId="0" applyFont="true" applyFill="true" applyBorder="true" applyAlignment="true">
      <alignment wrapText="false" horizontal="center" vertical="center"/>
    </xf>
    <xf numFmtId="0" fontId="2" fillId="7" borderId="4" xfId="0" applyFont="true" applyFill="true" applyBorder="true" applyAlignment="true">
      <alignment wrapText="false" horizontal="center" vertical="center"/>
    </xf>
    <xf numFmtId="0" fontId="2" fillId="7" borderId="4" xfId="0" applyFont="true" applyFill="true" applyBorder="true" applyAlignment="true">
      <alignment wrapText="false" horizontal="center" vertical="center"/>
    </xf>
    <xf numFmtId="0" fontId="2" fillId="7" borderId="4" xfId="0" applyFont="true" applyFill="true" applyBorder="true" applyAlignment="true">
      <alignment wrapText="false" horizontal="center" vertical="center"/>
    </xf>
    <xf numFmtId="0" fontId="2" fillId="7" borderId="4" xfId="0" applyFont="true" applyFill="true" applyBorder="true" applyAlignment="true">
      <alignment wrapText="false" horizontal="center" vertical="center"/>
    </xf>
    <xf numFmtId="2" fontId="2" fillId="7" borderId="4" xfId="0" applyFont="true" applyFill="true" applyBorder="true" applyAlignment="true" applyNumberFormat="true">
      <alignment wrapText="false" horizontal="center" vertical="center"/>
    </xf>
    <xf numFmtId="0" fontId="2" fillId="7" borderId="4" xfId="0" applyFont="true" applyFill="true" applyBorder="true" applyAlignment="true">
      <alignment wrapText="false" horizontal="center" vertical="center"/>
    </xf>
    <xf numFmtId="2" fontId="2" fillId="7" borderId="4" xfId="0" applyFont="true" applyFill="true" applyBorder="true" applyAlignment="true" applyNumberFormat="true">
      <alignment wrapText="false" horizontal="center" vertical="center"/>
    </xf>
    <xf numFmtId="0" fontId="2" fillId="7" borderId="4" xfId="0" applyFont="true" applyFill="true" applyBorder="true" applyAlignment="true">
      <alignment wrapText="false" horizontal="center" vertical="center"/>
    </xf>
    <xf numFmtId="0" fontId="2" fillId="7" borderId="4" xfId="0" applyFont="true" applyFill="true" applyBorder="true" applyAlignment="true">
      <alignment wrapText="false" horizontal="center" vertical="center"/>
    </xf>
    <xf numFmtId="0" fontId="2" fillId="7" borderId="4" xfId="0" applyFont="true" applyFill="true" applyBorder="true" applyAlignment="true">
      <alignment wrapText="false" horizontal="center" vertic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V1146"/>
  <sheetViews>
    <sheetView workbookViewId="0" tabSelected="true"/>
  </sheetViews>
  <sheetFormatPr defaultRowHeight="15.0"/>
  <cols>
    <col min="1" max="1" width="26.0" customWidth="true"/>
    <col min="2" max="2" width="0.0" customWidth="true"/>
    <col min="3" max="3" width="18.0" customWidth="true"/>
    <col min="4" max="4" width="12.0" customWidth="true"/>
    <col min="5" max="5" width="12.0" customWidth="true"/>
    <col min="6" max="6" width="12.0" customWidth="true"/>
    <col min="7" max="7" width="12.0" customWidth="true"/>
    <col min="8" max="8" width="12.0" customWidth="true"/>
    <col min="9" max="9" width="12.0" customWidth="true"/>
    <col min="10" max="10" width="18.0" customWidth="true"/>
    <col min="11" max="11" width="18.0" customWidth="true"/>
    <col min="12" max="12" width="18.0" customWidth="true"/>
    <col min="13" max="13" width="18.0" customWidth="true"/>
    <col min="14" max="14" width="30.0" customWidth="true"/>
    <col min="15" max="15" width="18.0" customWidth="true"/>
    <col min="16" max="16" width="18.0" customWidth="true"/>
    <col min="17" max="17" width="18.0" customWidth="true"/>
    <col min="18" max="18" width="18.0" customWidth="true"/>
    <col min="19" max="19" width="18.0" customWidth="true"/>
    <col min="20" max="20" width="12.0" customWidth="true"/>
    <col min="21" max="21" width="0.0" customWidth="true"/>
    <col min="22" max="22" width="0.0" customWidth="true"/>
  </cols>
  <sheetData>
    <row r="1">
      <c r="A1" s="1" t="inlineStr">
        <is>
          <t>Ürün İsmi</t>
        </is>
      </c>
      <c r="B1" s="2" t="inlineStr">
        <is>
          <t>Ürün Id</t>
        </is>
      </c>
      <c r="C1" s="3" t="inlineStr">
        <is>
          <t>Barkod</t>
        </is>
      </c>
      <c r="D1" s="4" t="inlineStr">
        <is>
          <t>Satıcı Stok Kodu</t>
        </is>
      </c>
      <c r="E1" s="5" t="inlineStr">
        <is>
          <t>Beden</t>
        </is>
      </c>
      <c r="F1" s="6" t="inlineStr">
        <is>
          <t>Model Kodu</t>
        </is>
      </c>
      <c r="G1" s="7" t="inlineStr">
        <is>
          <t>Kategori</t>
        </is>
      </c>
      <c r="H1" s="8" t="inlineStr">
        <is>
          <t>Marka</t>
        </is>
      </c>
      <c r="I1" s="9" t="inlineStr">
        <is>
          <t>Stok</t>
        </is>
      </c>
      <c r="J1" s="10" t="inlineStr">
        <is>
          <t>Güncel TSF</t>
        </is>
      </c>
      <c r="K1" s="11" t="inlineStr">
        <is>
          <t>Komisyona Esas Fiyat</t>
        </is>
      </c>
      <c r="L1" s="12" t="inlineStr">
        <is>
          <t>Güncel Komisyon</t>
        </is>
      </c>
      <c r="M1" s="13" t="inlineStr">
        <is>
          <t>Plus Fiyat Üst Limiti</t>
        </is>
      </c>
      <c r="N1" s="14" t="inlineStr">
        <is>
          <t>Tarih Aralığı (7 Gün)</t>
        </is>
      </c>
      <c r="O1" s="15" t="inlineStr">
        <is>
          <t>Plus Komisyon Teklifi</t>
        </is>
      </c>
      <c r="P1" s="16" t="inlineStr">
        <is>
          <t>Plus Komisyona Esas Fiyatı</t>
        </is>
      </c>
      <c r="Q1" s="17" t="inlineStr">
        <is>
          <t>Plus Fiyat Seçimi</t>
        </is>
      </c>
      <c r="R1" s="18" t="inlineStr">
        <is>
          <t>Tarife Seçimi</t>
        </is>
      </c>
      <c r="S1" s="19" t="inlineStr">
        <is>
          <t>Hesaplanan Komisyon (7 Gün)</t>
        </is>
      </c>
      <c r="T1" s="20" t="inlineStr">
        <is>
          <t>İptal</t>
        </is>
      </c>
      <c r="U1" s="21" t="inlineStr">
        <is>
          <t>External Id</t>
        </is>
      </c>
      <c r="V1" s="22" t="inlineStr">
        <is>
          <t>Tarife Grubu</t>
        </is>
      </c>
    </row>
    <row r="2">
      <c r="A2" s="23" t="inlineStr">
        <is>
          <t>Rampalı Giriş Paspası Toz Ve Nem Alıcı Su Emici Kaymaz Paspas Apartman Dükkan Iş Yeri Paspası</t>
        </is>
      </c>
      <c r="B2" s="24" t="inlineStr">
        <is>
          <t>769995957</t>
        </is>
      </c>
      <c r="C2" s="25" t="inlineStr">
        <is>
          <t>TOZKONTROL-IYP1-GRI-50100</t>
        </is>
      </c>
      <c r="D2" s="26" t="inlineStr">
        <is>
          <t>TOZKONTROL-IYP1-GRI-50100</t>
        </is>
      </c>
      <c r="E2" s="27" t="inlineStr">
        <is>
          <t>50 x 100</t>
        </is>
      </c>
      <c r="F2" s="28" t="inlineStr">
        <is>
          <t>TOZKONTROL-IYP1</t>
        </is>
      </c>
      <c r="G2" s="29" t="inlineStr">
        <is>
          <t>Kapı Önü Paspası</t>
        </is>
      </c>
      <c r="H2" s="30" t="inlineStr">
        <is>
          <t>Paspas Yap</t>
        </is>
      </c>
      <c r="I2" s="31" t="n">
        <v>90.0</v>
      </c>
      <c r="J2" s="32" t="n">
        <v>1264.0</v>
      </c>
      <c r="K2" s="33" t="n">
        <v>1073.52</v>
      </c>
      <c r="L2" s="34" t="n">
        <v>22.0</v>
      </c>
      <c r="M2" s="35" t="n">
        <v>851.48</v>
      </c>
      <c r="N2" s="36" t="inlineStr">
        <is>
          <t>25 Ağustos 08.00-1 Eylül 07.59</t>
        </is>
      </c>
      <c r="O2" s="37" t="n">
        <v>16.7</v>
      </c>
      <c r="P2" s="38" t="n">
        <v>1073.52</v>
      </c>
      <c r="Q2" s="39"/>
      <c r="R2" s="40" t="n">
        <f>=IF(AND(ISBLANK(Q2), ISBLANK(U2)), "", "7 Günlük Fiyat")</f>
        <v>0.0</v>
      </c>
      <c r="S2" s="41" t="n">
        <f>=IF(OR(Q2="", R2=""), "-", IF(ISNUMBER(SEARCH("7 Günlük", R2)), IF(Q2&lt;=M2, O2, "-"), "-"))</f>
        <v>0.0</v>
      </c>
      <c r="T2" s="42" t="str">
        <f>=IF(ISBLANK(Q2), "", "Hayır")</f>
      </c>
      <c r="U2" s="43"/>
      <c r="V2" s="44" t="inlineStr">
        <is>
          <t>50461ed1-c2c8-4393-967e-55d58a3e2664</t>
        </is>
      </c>
    </row>
    <row r="3">
      <c r="A3" s="23" t="inlineStr">
        <is>
          <t>Rampalı Giriş Paspası Toz Ve Nem Alıcı Su Emici Kaymaz Paspas Apartman Dükkan Iş Yeri Paspası</t>
        </is>
      </c>
      <c r="B3" s="24" t="inlineStr">
        <is>
          <t>769995957</t>
        </is>
      </c>
      <c r="C3" s="25" t="inlineStr">
        <is>
          <t>TOZKONTROL-IYP1-GRI-60100</t>
        </is>
      </c>
      <c r="D3" s="26" t="inlineStr">
        <is>
          <t>TOZKONTROL-IYP1-GRI-60100</t>
        </is>
      </c>
      <c r="E3" s="27" t="inlineStr">
        <is>
          <t>60 x 100</t>
        </is>
      </c>
      <c r="F3" s="28" t="inlineStr">
        <is>
          <t>TOZKONTROL-IYP1</t>
        </is>
      </c>
      <c r="G3" s="29" t="inlineStr">
        <is>
          <t>Kapı Önü Paspası</t>
        </is>
      </c>
      <c r="H3" s="30" t="inlineStr">
        <is>
          <t>Paspas Yap</t>
        </is>
      </c>
      <c r="I3" s="31" t="n">
        <v>84.0</v>
      </c>
      <c r="J3" s="32" t="n">
        <v>1599.0</v>
      </c>
      <c r="K3" s="33" t="n">
        <v>1321.09</v>
      </c>
      <c r="L3" s="34" t="n">
        <v>22.0</v>
      </c>
      <c r="M3" s="35" t="n">
        <v>994.69</v>
      </c>
      <c r="N3" s="36" t="inlineStr">
        <is>
          <t>25 Ağustos 08.00-1 Eylül 07.59</t>
        </is>
      </c>
      <c r="O3" s="37" t="n">
        <v>15.6</v>
      </c>
      <c r="P3" s="38" t="n">
        <v>1321.09</v>
      </c>
      <c r="Q3" s="39"/>
      <c r="R3" s="40" t="n">
        <f>=IF(AND(ISBLANK(Q3), ISBLANK(U3)), "", "7 Günlük Fiyat")</f>
        <v>0.0</v>
      </c>
      <c r="S3" s="41" t="n">
        <f>=IF(OR(Q3="", R3=""), "-", IF(ISNUMBER(SEARCH("7 Günlük", R3)), IF(Q3&lt;=M3, O3, "-"), "-"))</f>
        <v>0.0</v>
      </c>
      <c r="T3" s="42" t="str">
        <f>=IF(ISBLANK(Q3), "", "Hayır")</f>
      </c>
      <c r="U3" s="43"/>
      <c r="V3" s="44" t="inlineStr">
        <is>
          <t>50461ed1-c2c8-4393-967e-55d58a3e2664</t>
        </is>
      </c>
    </row>
    <row r="4">
      <c r="A4" s="23" t="inlineStr">
        <is>
          <t>Rampalı Giriş Paspası Toz Ve Nem Alıcı Su Emici Kaymaz Paspas Apartman Dükkan Iş Yeri Paspası</t>
        </is>
      </c>
      <c r="B4" s="24" t="inlineStr">
        <is>
          <t>769995957</t>
        </is>
      </c>
      <c r="C4" s="25" t="inlineStr">
        <is>
          <t>TOZKONTROL-IYP1-GRI-1001000</t>
        </is>
      </c>
      <c r="D4" s="26" t="inlineStr">
        <is>
          <t>TOZKONTROL-IYP1-GRI-1001000</t>
        </is>
      </c>
      <c r="E4" s="27" t="inlineStr">
        <is>
          <t>100 x 1000</t>
        </is>
      </c>
      <c r="F4" s="28" t="inlineStr">
        <is>
          <t>TOZKONTROL-IYP1</t>
        </is>
      </c>
      <c r="G4" s="29" t="inlineStr">
        <is>
          <t>Kapı Önü Paspası</t>
        </is>
      </c>
      <c r="H4" s="30" t="inlineStr">
        <is>
          <t>Paspas Yap</t>
        </is>
      </c>
      <c r="I4" s="31" t="n">
        <v>93.0</v>
      </c>
      <c r="J4" s="32" t="n">
        <v>16738.0</v>
      </c>
      <c r="K4" s="33" t="n">
        <v>12449.38</v>
      </c>
      <c r="L4" s="34" t="n">
        <v>22.0</v>
      </c>
      <c r="M4" s="35" t="n">
        <v>8630.82</v>
      </c>
      <c r="N4" s="36" t="inlineStr">
        <is>
          <t>25 Ağustos 08.00-1 Eylül 07.59</t>
        </is>
      </c>
      <c r="O4" s="37" t="n">
        <v>12.5</v>
      </c>
      <c r="P4" s="38" t="n">
        <v>12449.38</v>
      </c>
      <c r="Q4" s="39"/>
      <c r="R4" s="40" t="n">
        <f>=IF(AND(ISBLANK(Q4), ISBLANK(U4)), "", "7 Günlük Fiyat")</f>
        <v>0.0</v>
      </c>
      <c r="S4" s="41" t="n">
        <f>=IF(OR(Q4="", R4=""), "-", IF(ISNUMBER(SEARCH("7 Günlük", R4)), IF(Q4&lt;=M4, O4, "-"), "-"))</f>
        <v>0.0</v>
      </c>
      <c r="T4" s="42" t="str">
        <f>=IF(ISBLANK(Q4), "", "Hayır")</f>
      </c>
      <c r="U4" s="43"/>
      <c r="V4" s="44" t="inlineStr">
        <is>
          <t>50461ed1-c2c8-4393-967e-55d58a3e2664</t>
        </is>
      </c>
    </row>
    <row r="5">
      <c r="A5" s="23" t="inlineStr">
        <is>
          <t>Rampalı Giriş Paspası Toz Ve Nem Alıcı Su Emici Kaymaz Paspas Apartman Dükkan Iş Yeri Paspası</t>
        </is>
      </c>
      <c r="B5" s="24" t="inlineStr">
        <is>
          <t>769995957</t>
        </is>
      </c>
      <c r="C5" s="25" t="inlineStr">
        <is>
          <t>TOZKONTROL-IYP1-GRI-120650</t>
        </is>
      </c>
      <c r="D5" s="26" t="inlineStr">
        <is>
          <t>TOZKONTROL-IYP1-GRI-120650</t>
        </is>
      </c>
      <c r="E5" s="27" t="inlineStr">
        <is>
          <t>120 x 650</t>
        </is>
      </c>
      <c r="F5" s="28" t="inlineStr">
        <is>
          <t>TOZKONTROL-IYP1</t>
        </is>
      </c>
      <c r="G5" s="29" t="inlineStr">
        <is>
          <t>Kapı Önü Paspası</t>
        </is>
      </c>
      <c r="H5" s="30" t="inlineStr">
        <is>
          <t>Paspas Yap</t>
        </is>
      </c>
      <c r="I5" s="31" t="n">
        <v>93.0</v>
      </c>
      <c r="J5" s="32" t="n">
        <v>12997.0</v>
      </c>
      <c r="K5" s="33" t="n">
        <v>9614.42</v>
      </c>
      <c r="L5" s="34" t="n">
        <v>22.0</v>
      </c>
      <c r="M5" s="35" t="n">
        <v>6699.33</v>
      </c>
      <c r="N5" s="36" t="inlineStr">
        <is>
          <t>25 Ağustos 08.00-1 Eylül 07.59</t>
        </is>
      </c>
      <c r="O5" s="37" t="n">
        <v>12.6</v>
      </c>
      <c r="P5" s="38" t="n">
        <v>9614.42</v>
      </c>
      <c r="Q5" s="39"/>
      <c r="R5" s="40" t="n">
        <f>=IF(AND(ISBLANK(Q5), ISBLANK(U5)), "", "7 Günlük Fiyat")</f>
        <v>0.0</v>
      </c>
      <c r="S5" s="41" t="n">
        <f>=IF(OR(Q5="", R5=""), "-", IF(ISNUMBER(SEARCH("7 Günlük", R5)), IF(Q5&lt;=M5, O5, "-"), "-"))</f>
        <v>0.0</v>
      </c>
      <c r="T5" s="42" t="str">
        <f>=IF(ISBLANK(Q5), "", "Hayır")</f>
      </c>
      <c r="U5" s="43"/>
      <c r="V5" s="44" t="inlineStr">
        <is>
          <t>50461ed1-c2c8-4393-967e-55d58a3e2664</t>
        </is>
      </c>
    </row>
    <row r="6">
      <c r="A6" s="23" t="inlineStr">
        <is>
          <t>Rampalı Giriş Paspası Toz Ve Nem Alıcı Su Emici Kaymaz Paspas Apartman Dükkan Iş Yeri Paspası</t>
        </is>
      </c>
      <c r="B6" s="24" t="inlineStr">
        <is>
          <t>769995957</t>
        </is>
      </c>
      <c r="C6" s="25" t="inlineStr">
        <is>
          <t>TOZKONTROL-IYP1-GRI-120x1350</t>
        </is>
      </c>
      <c r="D6" s="26" t="inlineStr">
        <is>
          <t>TOZKONTROL-IYP1-GRI-120x1350</t>
        </is>
      </c>
      <c r="E6" s="27" t="inlineStr">
        <is>
          <t>120 x 1350</t>
        </is>
      </c>
      <c r="F6" s="28" t="inlineStr">
        <is>
          <t>TOZKONTROL-IYP1</t>
        </is>
      </c>
      <c r="G6" s="29" t="inlineStr">
        <is>
          <t>Kapı Önü Paspası</t>
        </is>
      </c>
      <c r="H6" s="30" t="inlineStr">
        <is>
          <t>Paspas Yap</t>
        </is>
      </c>
      <c r="I6" s="31" t="n">
        <v>93.0</v>
      </c>
      <c r="J6" s="32" t="n">
        <v>28572.0</v>
      </c>
      <c r="K6" s="33" t="n">
        <v>26212.01</v>
      </c>
      <c r="L6" s="34" t="n">
        <v>22.0</v>
      </c>
      <c r="M6" s="35" t="n">
        <v>17721.87</v>
      </c>
      <c r="N6" s="36" t="inlineStr">
        <is>
          <t>25 Ağustos 08.00-1 Eylül 07.59</t>
        </is>
      </c>
      <c r="O6" s="37" t="n">
        <v>14.4</v>
      </c>
      <c r="P6" s="38" t="n">
        <v>26212.01</v>
      </c>
      <c r="Q6" s="39"/>
      <c r="R6" s="40" t="n">
        <f>=IF(AND(ISBLANK(Q6), ISBLANK(U6)), "", "7 Günlük Fiyat")</f>
        <v>0.0</v>
      </c>
      <c r="S6" s="41" t="n">
        <f>=IF(OR(Q6="", R6=""), "-", IF(ISNUMBER(SEARCH("7 Günlük", R6)), IF(Q6&lt;=M6, O6, "-"), "-"))</f>
        <v>0.0</v>
      </c>
      <c r="T6" s="42" t="str">
        <f>=IF(ISBLANK(Q6), "", "Hayır")</f>
      </c>
      <c r="U6" s="43"/>
      <c r="V6" s="44" t="inlineStr">
        <is>
          <t>50461ed1-c2c8-4393-967e-55d58a3e2664</t>
        </is>
      </c>
    </row>
    <row r="7">
      <c r="A7" s="23" t="inlineStr">
        <is>
          <t>Rampalı Giriş Paspası Toz Ve Nem Alıcı Su Emici Kaymaz Paspas Apartman Dükkan Iş Yeri Paspası</t>
        </is>
      </c>
      <c r="B7" s="24" t="inlineStr">
        <is>
          <t>769995957</t>
        </is>
      </c>
      <c r="C7" s="25" t="inlineStr">
        <is>
          <t>TOZKONTROL-IYP1-GRI-100400</t>
        </is>
      </c>
      <c r="D7" s="26" t="inlineStr">
        <is>
          <t>TOZKONTROL-IYP1-GRI-100400</t>
        </is>
      </c>
      <c r="E7" s="27" t="inlineStr">
        <is>
          <t>100 x 400</t>
        </is>
      </c>
      <c r="F7" s="28" t="inlineStr">
        <is>
          <t>TOZKONTROL-IYP1</t>
        </is>
      </c>
      <c r="G7" s="29" t="inlineStr">
        <is>
          <t>Kapı Önü Paspası</t>
        </is>
      </c>
      <c r="H7" s="30" t="inlineStr">
        <is>
          <t>Paspas Yap</t>
        </is>
      </c>
      <c r="I7" s="31" t="n">
        <v>93.0</v>
      </c>
      <c r="J7" s="32" t="n">
        <v>7139.0</v>
      </c>
      <c r="K7" s="33" t="n">
        <v>6590.63</v>
      </c>
      <c r="L7" s="34" t="n">
        <v>22.0</v>
      </c>
      <c r="M7" s="35" t="n">
        <v>4355.03</v>
      </c>
      <c r="N7" s="36" t="inlineStr">
        <is>
          <t>25 Ağustos 08.00-1 Eylül 07.59</t>
        </is>
      </c>
      <c r="O7" s="37" t="n">
        <v>14.0</v>
      </c>
      <c r="P7" s="38" t="n">
        <v>6590.63</v>
      </c>
      <c r="Q7" s="39"/>
      <c r="R7" s="40" t="n">
        <f>=IF(AND(ISBLANK(Q7), ISBLANK(U7)), "", "7 Günlük Fiyat")</f>
        <v>0.0</v>
      </c>
      <c r="S7" s="41" t="n">
        <f>=IF(OR(Q7="", R7=""), "-", IF(ISNUMBER(SEARCH("7 Günlük", R7)), IF(Q7&lt;=M7, O7, "-"), "-"))</f>
        <v>0.0</v>
      </c>
      <c r="T7" s="42" t="str">
        <f>=IF(ISBLANK(Q7), "", "Hayır")</f>
      </c>
      <c r="U7" s="43"/>
      <c r="V7" s="44" t="inlineStr">
        <is>
          <t>50461ed1-c2c8-4393-967e-55d58a3e2664</t>
        </is>
      </c>
    </row>
    <row r="8">
      <c r="A8" s="23" t="inlineStr">
        <is>
          <t>Rampalı Giriş Paspası Toz Ve Nem Alıcı Su Emici Kaymaz Paspas Apartman Dükkan Iş Yeri Paspası</t>
        </is>
      </c>
      <c r="B8" s="24" t="inlineStr">
        <is>
          <t>769995957</t>
        </is>
      </c>
      <c r="C8" s="25" t="inlineStr">
        <is>
          <t>TOZKONTROL-IYP1-GRI-80650</t>
        </is>
      </c>
      <c r="D8" s="26" t="inlineStr">
        <is>
          <t>TOZKONTROL-IYP1-GRI-80650</t>
        </is>
      </c>
      <c r="E8" s="27" t="inlineStr">
        <is>
          <t>80 x 650</t>
        </is>
      </c>
      <c r="F8" s="28" t="inlineStr">
        <is>
          <t>TOZKONTROL-IYP1</t>
        </is>
      </c>
      <c r="G8" s="29" t="inlineStr">
        <is>
          <t>Kapı Önü Paspası</t>
        </is>
      </c>
      <c r="H8" s="30" t="inlineStr">
        <is>
          <t>Paspas Yap</t>
        </is>
      </c>
      <c r="I8" s="31" t="n">
        <v>93.0</v>
      </c>
      <c r="J8" s="32" t="n">
        <v>9409.0</v>
      </c>
      <c r="K8" s="33" t="n">
        <v>8633.35</v>
      </c>
      <c r="L8" s="34" t="n">
        <v>22.0</v>
      </c>
      <c r="M8" s="35" t="n">
        <v>6088.15</v>
      </c>
      <c r="N8" s="36" t="inlineStr">
        <is>
          <t>25 Ağustos 08.00-1 Eylül 07.59</t>
        </is>
      </c>
      <c r="O8" s="37" t="n">
        <v>15.2</v>
      </c>
      <c r="P8" s="38" t="n">
        <v>8633.35</v>
      </c>
      <c r="Q8" s="39"/>
      <c r="R8" s="40" t="n">
        <f>=IF(AND(ISBLANK(Q8), ISBLANK(U8)), "", "7 Günlük Fiyat")</f>
        <v>0.0</v>
      </c>
      <c r="S8" s="41" t="n">
        <f>=IF(OR(Q8="", R8=""), "-", IF(ISNUMBER(SEARCH("7 Günlük", R8)), IF(Q8&lt;=M8, O8, "-"), "-"))</f>
        <v>0.0</v>
      </c>
      <c r="T8" s="42" t="str">
        <f>=IF(ISBLANK(Q8), "", "Hayır")</f>
      </c>
      <c r="U8" s="43"/>
      <c r="V8" s="44" t="inlineStr">
        <is>
          <t>50461ed1-c2c8-4393-967e-55d58a3e2664</t>
        </is>
      </c>
    </row>
    <row r="9">
      <c r="A9" s="23" t="inlineStr">
        <is>
          <t>Rampalı Giriş Paspası Toz Ve Nem Alıcı Su Emici Kaymaz Paspas Apartman Dükkan Iş Yeri Paspası</t>
        </is>
      </c>
      <c r="B9" s="24" t="inlineStr">
        <is>
          <t>769995957</t>
        </is>
      </c>
      <c r="C9" s="25" t="inlineStr">
        <is>
          <t>TOZKONTROL-IYP1-GRI-1001400</t>
        </is>
      </c>
      <c r="D9" s="26" t="inlineStr">
        <is>
          <t>TOZKONTROL-IYP1-GRI-1001400</t>
        </is>
      </c>
      <c r="E9" s="27" t="inlineStr">
        <is>
          <t>100 x 1400</t>
        </is>
      </c>
      <c r="F9" s="28" t="inlineStr">
        <is>
          <t>TOZKONTROL-IYP1</t>
        </is>
      </c>
      <c r="G9" s="29" t="inlineStr">
        <is>
          <t>Kapı Önü Paspası</t>
        </is>
      </c>
      <c r="H9" s="30" t="inlineStr">
        <is>
          <t>Paspas Yap</t>
        </is>
      </c>
      <c r="I9" s="31" t="n">
        <v>93.0</v>
      </c>
      <c r="J9" s="32" t="n">
        <v>25490.0</v>
      </c>
      <c r="K9" s="33" t="n">
        <v>23565.01</v>
      </c>
      <c r="L9" s="34" t="n">
        <v>22.0</v>
      </c>
      <c r="M9" s="35" t="n">
        <v>16475.47</v>
      </c>
      <c r="N9" s="36" t="inlineStr">
        <is>
          <t>25 Ağustos 08.00-1 Eylül 07.59</t>
        </is>
      </c>
      <c r="O9" s="37" t="n">
        <v>15.1</v>
      </c>
      <c r="P9" s="38" t="n">
        <v>23565.01</v>
      </c>
      <c r="Q9" s="39"/>
      <c r="R9" s="40" t="n">
        <f>=IF(AND(ISBLANK(Q9), ISBLANK(U9)), "", "7 Günlük Fiyat")</f>
        <v>0.0</v>
      </c>
      <c r="S9" s="41" t="n">
        <f>=IF(OR(Q9="", R9=""), "-", IF(ISNUMBER(SEARCH("7 Günlük", R9)), IF(Q9&lt;=M9, O9, "-"), "-"))</f>
        <v>0.0</v>
      </c>
      <c r="T9" s="42" t="str">
        <f>=IF(ISBLANK(Q9), "", "Hayır")</f>
      </c>
      <c r="U9" s="43"/>
      <c r="V9" s="44" t="inlineStr">
        <is>
          <t>50461ed1-c2c8-4393-967e-55d58a3e2664</t>
        </is>
      </c>
    </row>
    <row r="10">
      <c r="A10" s="23" t="inlineStr">
        <is>
          <t>Rampalı Giriş Paspası Toz Ve Nem Alıcı Su Emici Kaymaz Paspas Apartman Dükkan Iş Yeri Paspası</t>
        </is>
      </c>
      <c r="B10" s="24" t="inlineStr">
        <is>
          <t>769995957</t>
        </is>
      </c>
      <c r="C10" s="25" t="inlineStr">
        <is>
          <t>TOZKONTROL-IYP1-GRI-120x1150</t>
        </is>
      </c>
      <c r="D10" s="26" t="inlineStr">
        <is>
          <t>TOZKONTROL-IYP1-GRI-120x1150</t>
        </is>
      </c>
      <c r="E10" s="27" t="inlineStr">
        <is>
          <t>120 x 1150</t>
        </is>
      </c>
      <c r="F10" s="28" t="inlineStr">
        <is>
          <t>TOZKONTROL-IYP1</t>
        </is>
      </c>
      <c r="G10" s="29" t="inlineStr">
        <is>
          <t>Kapı Önü Paspası</t>
        </is>
      </c>
      <c r="H10" s="30" t="inlineStr">
        <is>
          <t>Paspas Yap</t>
        </is>
      </c>
      <c r="I10" s="31" t="n">
        <v>93.0</v>
      </c>
      <c r="J10" s="32" t="n">
        <v>24976.0</v>
      </c>
      <c r="K10" s="33" t="n">
        <v>23010.39</v>
      </c>
      <c r="L10" s="34" t="n">
        <v>22.0</v>
      </c>
      <c r="M10" s="35" t="n">
        <v>12230.77</v>
      </c>
      <c r="N10" s="36" t="inlineStr">
        <is>
          <t>25 Ağustos 08.00-1 Eylül 07.59</t>
        </is>
      </c>
      <c r="O10" s="37" t="n">
        <v>11.1</v>
      </c>
      <c r="P10" s="38" t="n">
        <v>23010.39</v>
      </c>
      <c r="Q10" s="39"/>
      <c r="R10" s="40" t="n">
        <f>=IF(AND(ISBLANK(Q10), ISBLANK(U10)), "", "7 Günlük Fiyat")</f>
        <v>0.0</v>
      </c>
      <c r="S10" s="41" t="n">
        <f>=IF(OR(Q10="", R10=""), "-", IF(ISNUMBER(SEARCH("7 Günlük", R10)), IF(Q10&lt;=M10, O10, "-"), "-"))</f>
        <v>0.0</v>
      </c>
      <c r="T10" s="42" t="str">
        <f>=IF(ISBLANK(Q10), "", "Hayır")</f>
      </c>
      <c r="U10" s="43"/>
      <c r="V10" s="44" t="inlineStr">
        <is>
          <t>50461ed1-c2c8-4393-967e-55d58a3e2664</t>
        </is>
      </c>
    </row>
    <row r="11">
      <c r="A11" s="23" t="inlineStr">
        <is>
          <t>Rampalı Giriş Paspası Toz Ve Nem Alıcı Su Emici Kaymaz Paspas Apartman Dükkan Iş Yeri Paspası</t>
        </is>
      </c>
      <c r="B11" s="24" t="inlineStr">
        <is>
          <t>769995957</t>
        </is>
      </c>
      <c r="C11" s="25" t="inlineStr">
        <is>
          <t>TOZKONTROL-IYP1-GRI-120250</t>
        </is>
      </c>
      <c r="D11" s="26" t="inlineStr">
        <is>
          <t>TOZKONTROL-IYP1-GRI-120250</t>
        </is>
      </c>
      <c r="E11" s="27" t="inlineStr">
        <is>
          <t>120 x 250</t>
        </is>
      </c>
      <c r="F11" s="28" t="inlineStr">
        <is>
          <t>TOZKONTROL-IYP1</t>
        </is>
      </c>
      <c r="G11" s="29" t="inlineStr">
        <is>
          <t>Kapı Önü Paspası</t>
        </is>
      </c>
      <c r="H11" s="30" t="inlineStr">
        <is>
          <t>Paspas Yap</t>
        </is>
      </c>
      <c r="I11" s="31" t="n">
        <v>93.0</v>
      </c>
      <c r="J11" s="32" t="n">
        <v>5278.0</v>
      </c>
      <c r="K11" s="33" t="n">
        <v>4843.97</v>
      </c>
      <c r="L11" s="34" t="n">
        <v>22.0</v>
      </c>
      <c r="M11" s="35" t="n">
        <v>3362.28</v>
      </c>
      <c r="N11" s="36" t="inlineStr">
        <is>
          <t>25 Ağustos 08.00-1 Eylül 07.59</t>
        </is>
      </c>
      <c r="O11" s="37" t="n">
        <v>14.9</v>
      </c>
      <c r="P11" s="38" t="n">
        <v>4843.97</v>
      </c>
      <c r="Q11" s="39"/>
      <c r="R11" s="40" t="n">
        <f>=IF(AND(ISBLANK(Q11), ISBLANK(U11)), "", "7 Günlük Fiyat")</f>
        <v>0.0</v>
      </c>
      <c r="S11" s="41" t="n">
        <f>=IF(OR(Q11="", R11=""), "-", IF(ISNUMBER(SEARCH("7 Günlük", R11)), IF(Q11&lt;=M11, O11, "-"), "-"))</f>
        <v>0.0</v>
      </c>
      <c r="T11" s="42" t="str">
        <f>=IF(ISBLANK(Q11), "", "Hayır")</f>
      </c>
      <c r="U11" s="43"/>
      <c r="V11" s="44" t="inlineStr">
        <is>
          <t>50461ed1-c2c8-4393-967e-55d58a3e2664</t>
        </is>
      </c>
    </row>
    <row r="12">
      <c r="A12" s="23" t="inlineStr">
        <is>
          <t>Rampalı Giriş Paspası Toz Ve Nem Alıcı Su Emici Kaymaz Paspas Apartman Dükkan Iş Yeri Paspası</t>
        </is>
      </c>
      <c r="B12" s="24" t="inlineStr">
        <is>
          <t>769995957</t>
        </is>
      </c>
      <c r="C12" s="25" t="inlineStr">
        <is>
          <t>TOZKONTROL-IYP1-GRI-100500</t>
        </is>
      </c>
      <c r="D12" s="26" t="inlineStr">
        <is>
          <t>TOZKONTROL-IYP1-GRI-100500</t>
        </is>
      </c>
      <c r="E12" s="27" t="inlineStr">
        <is>
          <t>100 x 500</t>
        </is>
      </c>
      <c r="F12" s="28" t="inlineStr">
        <is>
          <t>TOZKONTROL-IYP1</t>
        </is>
      </c>
      <c r="G12" s="29" t="inlineStr">
        <is>
          <t>Kapı Önü Paspası</t>
        </is>
      </c>
      <c r="H12" s="30" t="inlineStr">
        <is>
          <t>Paspas Yap</t>
        </is>
      </c>
      <c r="I12" s="31" t="n">
        <v>93.0</v>
      </c>
      <c r="J12" s="32" t="n">
        <v>8475.0</v>
      </c>
      <c r="K12" s="33" t="n">
        <v>7845.56</v>
      </c>
      <c r="L12" s="34" t="n">
        <v>22.0</v>
      </c>
      <c r="M12" s="35" t="n">
        <v>5235.16</v>
      </c>
      <c r="N12" s="36" t="inlineStr">
        <is>
          <t>25 Ağustos 08.00-1 Eylül 07.59</t>
        </is>
      </c>
      <c r="O12" s="37" t="n">
        <v>14.2</v>
      </c>
      <c r="P12" s="38" t="n">
        <v>7845.56</v>
      </c>
      <c r="Q12" s="39"/>
      <c r="R12" s="40" t="n">
        <f>=IF(AND(ISBLANK(Q12), ISBLANK(U12)), "", "7 Günlük Fiyat")</f>
        <v>0.0</v>
      </c>
      <c r="S12" s="41" t="n">
        <f>=IF(OR(Q12="", R12=""), "-", IF(ISNUMBER(SEARCH("7 Günlük", R12)), IF(Q12&lt;=M12, O12, "-"), "-"))</f>
        <v>0.0</v>
      </c>
      <c r="T12" s="42" t="str">
        <f>=IF(ISBLANK(Q12), "", "Hayır")</f>
      </c>
      <c r="U12" s="43"/>
      <c r="V12" s="44" t="inlineStr">
        <is>
          <t>50461ed1-c2c8-4393-967e-55d58a3e2664</t>
        </is>
      </c>
    </row>
    <row r="13">
      <c r="A13" s="23" t="inlineStr">
        <is>
          <t>Rampalı Giriş Paspası Toz Ve Nem Alıcı Su Emici Kaymaz Paspas Apartman Dükkan Iş Yeri Paspası</t>
        </is>
      </c>
      <c r="B13" s="24" t="inlineStr">
        <is>
          <t>769995957</t>
        </is>
      </c>
      <c r="C13" s="25" t="inlineStr">
        <is>
          <t>TOZKONTROL-IYP1-GRI-120400</t>
        </is>
      </c>
      <c r="D13" s="26" t="inlineStr">
        <is>
          <t>TOZKONTROL-IYP1-GRI-120400</t>
        </is>
      </c>
      <c r="E13" s="27" t="inlineStr">
        <is>
          <t>120 x 400</t>
        </is>
      </c>
      <c r="F13" s="28" t="inlineStr">
        <is>
          <t>TOZKONTROL-IYP1</t>
        </is>
      </c>
      <c r="G13" s="29" t="inlineStr">
        <is>
          <t>Kapı Önü Paspası</t>
        </is>
      </c>
      <c r="H13" s="30" t="inlineStr">
        <is>
          <t>Paspas Yap</t>
        </is>
      </c>
      <c r="I13" s="31" t="n">
        <v>92.0</v>
      </c>
      <c r="J13" s="32" t="n">
        <v>8238.0</v>
      </c>
      <c r="K13" s="33" t="n">
        <v>7611.56</v>
      </c>
      <c r="L13" s="34" t="n">
        <v>22.0</v>
      </c>
      <c r="M13" s="35" t="n">
        <v>5242.16</v>
      </c>
      <c r="N13" s="36" t="inlineStr">
        <is>
          <t>25 Ağustos 08.00-1 Eylül 07.59</t>
        </is>
      </c>
      <c r="O13" s="37" t="n">
        <v>14.9</v>
      </c>
      <c r="P13" s="38" t="n">
        <v>7611.56</v>
      </c>
      <c r="Q13" s="39"/>
      <c r="R13" s="40" t="n">
        <f>=IF(AND(ISBLANK(Q13), ISBLANK(U13)), "", "7 Günlük Fiyat")</f>
        <v>0.0</v>
      </c>
      <c r="S13" s="41" t="n">
        <f>=IF(OR(Q13="", R13=""), "-", IF(ISNUMBER(SEARCH("7 Günlük", R13)), IF(Q13&lt;=M13, O13, "-"), "-"))</f>
        <v>0.0</v>
      </c>
      <c r="T13" s="42" t="str">
        <f>=IF(ISBLANK(Q13), "", "Hayır")</f>
      </c>
      <c r="U13" s="43"/>
      <c r="V13" s="44" t="inlineStr">
        <is>
          <t>50461ed1-c2c8-4393-967e-55d58a3e2664</t>
        </is>
      </c>
    </row>
    <row r="14">
      <c r="A14" s="23" t="inlineStr">
        <is>
          <t>Rampalı Giriş Paspası Toz Ve Nem Alıcı Su Emici Kaymaz Paspas Apartman Dükkan Iş Yeri Paspası</t>
        </is>
      </c>
      <c r="B14" s="24" t="inlineStr">
        <is>
          <t>769995957</t>
        </is>
      </c>
      <c r="C14" s="25" t="inlineStr">
        <is>
          <t>TOZKONTROL-IYP1-GRI-120180</t>
        </is>
      </c>
      <c r="D14" s="26" t="inlineStr">
        <is>
          <t>TOZKONTROL-IYP1-GRI-120180</t>
        </is>
      </c>
      <c r="E14" s="27" t="inlineStr">
        <is>
          <t>120 x 180</t>
        </is>
      </c>
      <c r="F14" s="28" t="inlineStr">
        <is>
          <t>TOZKONTROL-IYP1</t>
        </is>
      </c>
      <c r="G14" s="29" t="inlineStr">
        <is>
          <t>Kapı Önü Paspası</t>
        </is>
      </c>
      <c r="H14" s="30" t="inlineStr">
        <is>
          <t>Paspas Yap</t>
        </is>
      </c>
      <c r="I14" s="31" t="n">
        <v>93.0</v>
      </c>
      <c r="J14" s="32" t="n">
        <v>4359.0</v>
      </c>
      <c r="K14" s="33" t="n">
        <v>3968.67</v>
      </c>
      <c r="L14" s="34" t="n">
        <v>22.0</v>
      </c>
      <c r="M14" s="35" t="n">
        <v>2583.02</v>
      </c>
      <c r="N14" s="36" t="inlineStr">
        <is>
          <t>25 Ağustos 08.00-1 Eylül 07.59</t>
        </is>
      </c>
      <c r="O14" s="37" t="n">
        <v>13.6</v>
      </c>
      <c r="P14" s="38" t="n">
        <v>3968.67</v>
      </c>
      <c r="Q14" s="39"/>
      <c r="R14" s="40" t="n">
        <f>=IF(AND(ISBLANK(Q14), ISBLANK(U14)), "", "7 Günlük Fiyat")</f>
        <v>0.0</v>
      </c>
      <c r="S14" s="41" t="n">
        <f>=IF(OR(Q14="", R14=""), "-", IF(ISNUMBER(SEARCH("7 Günlük", R14)), IF(Q14&lt;=M14, O14, "-"), "-"))</f>
        <v>0.0</v>
      </c>
      <c r="T14" s="42" t="str">
        <f>=IF(ISBLANK(Q14), "", "Hayır")</f>
      </c>
      <c r="U14" s="43"/>
      <c r="V14" s="44" t="inlineStr">
        <is>
          <t>50461ed1-c2c8-4393-967e-55d58a3e2664</t>
        </is>
      </c>
    </row>
    <row r="15">
      <c r="A15" s="23" t="inlineStr">
        <is>
          <t>Rampalı Giriş Paspası Toz Ve Nem Alıcı Su Emici Kaymaz Paspas Apartman Dükkan Iş Yeri Paspası</t>
        </is>
      </c>
      <c r="B15" s="24" t="inlineStr">
        <is>
          <t>769995957</t>
        </is>
      </c>
      <c r="C15" s="25" t="inlineStr">
        <is>
          <t>TOZKONTROL-IYP1-GRI-80700</t>
        </is>
      </c>
      <c r="D15" s="26" t="inlineStr">
        <is>
          <t>TOZKONTROL-IYP1-GRI-80700</t>
        </is>
      </c>
      <c r="E15" s="27" t="inlineStr">
        <is>
          <t>80 x 700</t>
        </is>
      </c>
      <c r="F15" s="28" t="inlineStr">
        <is>
          <t>TOZKONTROL-IYP1</t>
        </is>
      </c>
      <c r="G15" s="29" t="inlineStr">
        <is>
          <t>Kapı Önü Paspası</t>
        </is>
      </c>
      <c r="H15" s="30" t="inlineStr">
        <is>
          <t>Paspas Yap</t>
        </is>
      </c>
      <c r="I15" s="31" t="n">
        <v>93.0</v>
      </c>
      <c r="J15" s="32" t="n">
        <v>9991.0</v>
      </c>
      <c r="K15" s="33" t="n">
        <v>9296.13</v>
      </c>
      <c r="L15" s="34" t="n">
        <v>22.0</v>
      </c>
      <c r="M15" s="35" t="n">
        <v>6553.89</v>
      </c>
      <c r="N15" s="36" t="inlineStr">
        <is>
          <t>25 Ağustos 08.00-1 Eylül 07.59</t>
        </is>
      </c>
      <c r="O15" s="37" t="n">
        <v>15.4</v>
      </c>
      <c r="P15" s="38" t="n">
        <v>9296.13</v>
      </c>
      <c r="Q15" s="39"/>
      <c r="R15" s="40" t="n">
        <f>=IF(AND(ISBLANK(Q15), ISBLANK(U15)), "", "7 Günlük Fiyat")</f>
        <v>0.0</v>
      </c>
      <c r="S15" s="41" t="n">
        <f>=IF(OR(Q15="", R15=""), "-", IF(ISNUMBER(SEARCH("7 Günlük", R15)), IF(Q15&lt;=M15, O15, "-"), "-"))</f>
        <v>0.0</v>
      </c>
      <c r="T15" s="42" t="str">
        <f>=IF(ISBLANK(Q15), "", "Hayır")</f>
      </c>
      <c r="U15" s="43"/>
      <c r="V15" s="44" t="inlineStr">
        <is>
          <t>50461ed1-c2c8-4393-967e-55d58a3e2664</t>
        </is>
      </c>
    </row>
    <row r="16">
      <c r="A16" s="23" t="inlineStr">
        <is>
          <t>Rampalı Giriş Paspası Toz Ve Nem Alıcı Su Emici Kaymaz Paspas Apartman Dükkan Iş Yeri Paspası</t>
        </is>
      </c>
      <c r="B16" s="24" t="inlineStr">
        <is>
          <t>769995957</t>
        </is>
      </c>
      <c r="C16" s="25" t="inlineStr">
        <is>
          <t>TOZKONTROL-IYP1-GRI-1001050</t>
        </is>
      </c>
      <c r="D16" s="26" t="inlineStr">
        <is>
          <t>TOZKONTROL-IYP1-GRI-1001050</t>
        </is>
      </c>
      <c r="E16" s="27" t="inlineStr">
        <is>
          <t>100 x 1050</t>
        </is>
      </c>
      <c r="F16" s="28" t="inlineStr">
        <is>
          <t>TOZKONTROL-IYP1</t>
        </is>
      </c>
      <c r="G16" s="29" t="inlineStr">
        <is>
          <t>Kapı Önü Paspası</t>
        </is>
      </c>
      <c r="H16" s="30" t="inlineStr">
        <is>
          <t>Paspas Yap</t>
        </is>
      </c>
      <c r="I16" s="31" t="n">
        <v>93.0</v>
      </c>
      <c r="J16" s="32" t="n">
        <v>20223.0</v>
      </c>
      <c r="K16" s="33" t="n">
        <v>18756.07</v>
      </c>
      <c r="L16" s="34" t="n">
        <v>22.0</v>
      </c>
      <c r="M16" s="35" t="n">
        <v>13419.15</v>
      </c>
      <c r="N16" s="36" t="inlineStr">
        <is>
          <t>25 Ağustos 08.00-1 Eylül 07.59</t>
        </is>
      </c>
      <c r="O16" s="37" t="n">
        <v>15.5</v>
      </c>
      <c r="P16" s="38" t="n">
        <v>18756.07</v>
      </c>
      <c r="Q16" s="39"/>
      <c r="R16" s="40" t="n">
        <f>=IF(AND(ISBLANK(Q16), ISBLANK(U16)), "", "7 Günlük Fiyat")</f>
        <v>0.0</v>
      </c>
      <c r="S16" s="41" t="n">
        <f>=IF(OR(Q16="", R16=""), "-", IF(ISNUMBER(SEARCH("7 Günlük", R16)), IF(Q16&lt;=M16, O16, "-"), "-"))</f>
        <v>0.0</v>
      </c>
      <c r="T16" s="42" t="str">
        <f>=IF(ISBLANK(Q16), "", "Hayır")</f>
      </c>
      <c r="U16" s="43"/>
      <c r="V16" s="44" t="inlineStr">
        <is>
          <t>50461ed1-c2c8-4393-967e-55d58a3e2664</t>
        </is>
      </c>
    </row>
    <row r="17">
      <c r="A17" s="23" t="inlineStr">
        <is>
          <t>Rampalı Giriş Paspası Toz Ve Nem Alıcı Su Emici Kaymaz Paspas Apartman Dükkan Iş Yeri Paspası</t>
        </is>
      </c>
      <c r="B17" s="24" t="inlineStr">
        <is>
          <t>769995957</t>
        </is>
      </c>
      <c r="C17" s="25" t="inlineStr">
        <is>
          <t>TOZKONTROL-IYP1-GRI-120300</t>
        </is>
      </c>
      <c r="D17" s="26" t="inlineStr">
        <is>
          <t>TOZKONTROL-IYP1-GRI-120300</t>
        </is>
      </c>
      <c r="E17" s="27" t="inlineStr">
        <is>
          <t>120 x 300</t>
        </is>
      </c>
      <c r="F17" s="28" t="inlineStr">
        <is>
          <t>TOZKONTROL-IYP1</t>
        </is>
      </c>
      <c r="G17" s="29" t="inlineStr">
        <is>
          <t>Kapı Önü Paspası</t>
        </is>
      </c>
      <c r="H17" s="30" t="inlineStr">
        <is>
          <t>Paspas Yap</t>
        </is>
      </c>
      <c r="I17" s="31" t="n">
        <v>93.0</v>
      </c>
      <c r="J17" s="32" t="n">
        <v>6557.0</v>
      </c>
      <c r="K17" s="33" t="n">
        <v>5975.77</v>
      </c>
      <c r="L17" s="34" t="n">
        <v>22.0</v>
      </c>
      <c r="M17" s="35" t="n">
        <v>3909.52</v>
      </c>
      <c r="N17" s="36" t="inlineStr">
        <is>
          <t>25 Ağustos 08.00-1 Eylül 07.59</t>
        </is>
      </c>
      <c r="O17" s="37" t="n">
        <v>13.7</v>
      </c>
      <c r="P17" s="38" t="n">
        <v>5975.77</v>
      </c>
      <c r="Q17" s="39"/>
      <c r="R17" s="40" t="n">
        <f>=IF(AND(ISBLANK(Q17), ISBLANK(U17)), "", "7 Günlük Fiyat")</f>
        <v>0.0</v>
      </c>
      <c r="S17" s="41" t="n">
        <f>=IF(OR(Q17="", R17=""), "-", IF(ISNUMBER(SEARCH("7 Günlük", R17)), IF(Q17&lt;=M17, O17, "-"), "-"))</f>
        <v>0.0</v>
      </c>
      <c r="T17" s="42" t="str">
        <f>=IF(ISBLANK(Q17), "", "Hayır")</f>
      </c>
      <c r="U17" s="43"/>
      <c r="V17" s="44" t="inlineStr">
        <is>
          <t>50461ed1-c2c8-4393-967e-55d58a3e2664</t>
        </is>
      </c>
    </row>
    <row r="18">
      <c r="A18" s="23" t="inlineStr">
        <is>
          <t>Rampalı Giriş Paspası Toz Ve Nem Alıcı Su Emici Kaymaz Paspas Apartman Dükkan Iş Yeri Paspası</t>
        </is>
      </c>
      <c r="B18" s="24" t="inlineStr">
        <is>
          <t>769995957</t>
        </is>
      </c>
      <c r="C18" s="25" t="inlineStr">
        <is>
          <t>TOZKONTROL-IYP1-GRI-80120</t>
        </is>
      </c>
      <c r="D18" s="26" t="inlineStr">
        <is>
          <t>TOZKONTROL-IYP1-GRI-80120</t>
        </is>
      </c>
      <c r="E18" s="27" t="inlineStr">
        <is>
          <t>80 x 120</t>
        </is>
      </c>
      <c r="F18" s="28" t="inlineStr">
        <is>
          <t>TOZKONTROL-IYP1</t>
        </is>
      </c>
      <c r="G18" s="29" t="inlineStr">
        <is>
          <t>Kapı Önü Paspası</t>
        </is>
      </c>
      <c r="H18" s="30" t="inlineStr">
        <is>
          <t>Paspas Yap</t>
        </is>
      </c>
      <c r="I18" s="31" t="n">
        <v>90.0</v>
      </c>
      <c r="J18" s="32" t="n">
        <v>2128.0</v>
      </c>
      <c r="K18" s="33" t="n">
        <v>1948.81</v>
      </c>
      <c r="L18" s="34" t="n">
        <v>22.0</v>
      </c>
      <c r="M18" s="35" t="n">
        <v>1399.04</v>
      </c>
      <c r="N18" s="36" t="inlineStr">
        <is>
          <t>25 Ağustos 08.00-1 Eylül 07.59</t>
        </is>
      </c>
      <c r="O18" s="37" t="n">
        <v>15.4</v>
      </c>
      <c r="P18" s="38" t="n">
        <v>1948.81</v>
      </c>
      <c r="Q18" s="39"/>
      <c r="R18" s="40" t="n">
        <f>=IF(AND(ISBLANK(Q18), ISBLANK(U18)), "", "7 Günlük Fiyat")</f>
        <v>0.0</v>
      </c>
      <c r="S18" s="41" t="n">
        <f>=IF(OR(Q18="", R18=""), "-", IF(ISNUMBER(SEARCH("7 Günlük", R18)), IF(Q18&lt;=M18, O18, "-"), "-"))</f>
        <v>0.0</v>
      </c>
      <c r="T18" s="42" t="str">
        <f>=IF(ISBLANK(Q18), "", "Hayır")</f>
      </c>
      <c r="U18" s="43"/>
      <c r="V18" s="44" t="inlineStr">
        <is>
          <t>50461ed1-c2c8-4393-967e-55d58a3e2664</t>
        </is>
      </c>
    </row>
    <row r="19">
      <c r="A19" s="23" t="inlineStr">
        <is>
          <t>Rampalı Giriş Paspası Toz Ve Nem Alıcı Su Emici Kaymaz Paspas Apartman Dükkan Iş Yeri Paspası</t>
        </is>
      </c>
      <c r="B19" s="24" t="inlineStr">
        <is>
          <t>769995957</t>
        </is>
      </c>
      <c r="C19" s="25" t="inlineStr">
        <is>
          <t>TOZKONTROL-IYP1-GRI-80450</t>
        </is>
      </c>
      <c r="D19" s="26" t="inlineStr">
        <is>
          <t>TOZKONTROL-IYP1-GRI-80450</t>
        </is>
      </c>
      <c r="E19" s="27" t="inlineStr">
        <is>
          <t>80 x 450</t>
        </is>
      </c>
      <c r="F19" s="28" t="inlineStr">
        <is>
          <t>TOZKONTROL-IYP1</t>
        </is>
      </c>
      <c r="G19" s="29" t="inlineStr">
        <is>
          <t>Kapı Önü Paspası</t>
        </is>
      </c>
      <c r="H19" s="30" t="inlineStr">
        <is>
          <t>Paspas Yap</t>
        </is>
      </c>
      <c r="I19" s="31" t="n">
        <v>93.0</v>
      </c>
      <c r="J19" s="32" t="n">
        <v>6557.0</v>
      </c>
      <c r="K19" s="33" t="n">
        <v>5456.03</v>
      </c>
      <c r="L19" s="34" t="n">
        <v>22.0</v>
      </c>
      <c r="M19" s="35" t="n">
        <v>3843.0</v>
      </c>
      <c r="N19" s="36" t="inlineStr">
        <is>
          <t>25 Ağustos 08.00-1 Eylül 07.59</t>
        </is>
      </c>
      <c r="O19" s="37" t="n">
        <v>15.2</v>
      </c>
      <c r="P19" s="38" t="n">
        <v>5456.03</v>
      </c>
      <c r="Q19" s="39"/>
      <c r="R19" s="40" t="n">
        <f>=IF(AND(ISBLANK(Q19), ISBLANK(U19)), "", "7 Günlük Fiyat")</f>
        <v>0.0</v>
      </c>
      <c r="S19" s="41" t="n">
        <f>=IF(OR(Q19="", R19=""), "-", IF(ISNUMBER(SEARCH("7 Günlük", R19)), IF(Q19&lt;=M19, O19, "-"), "-"))</f>
        <v>0.0</v>
      </c>
      <c r="T19" s="42" t="str">
        <f>=IF(ISBLANK(Q19), "", "Hayır")</f>
      </c>
      <c r="U19" s="43"/>
      <c r="V19" s="44" t="inlineStr">
        <is>
          <t>50461ed1-c2c8-4393-967e-55d58a3e2664</t>
        </is>
      </c>
    </row>
    <row r="20">
      <c r="A20" s="23" t="inlineStr">
        <is>
          <t>Rampalı Giriş Paspası Toz Ve Nem Alıcı Su Emici Kaymaz Paspas Apartman Dükkan Iş Yeri Paspası</t>
        </is>
      </c>
      <c r="B20" s="24" t="inlineStr">
        <is>
          <t>769995957</t>
        </is>
      </c>
      <c r="C20" s="25" t="inlineStr">
        <is>
          <t>TOZKONTROL-IYP1-GRI-1001250</t>
        </is>
      </c>
      <c r="D20" s="26" t="inlineStr">
        <is>
          <t>TOZKONTROL-IYP1-GRI-1001250</t>
        </is>
      </c>
      <c r="E20" s="27" t="inlineStr">
        <is>
          <t>100 x 1250</t>
        </is>
      </c>
      <c r="F20" s="28" t="inlineStr">
        <is>
          <t>TOZKONTROL-IYP1</t>
        </is>
      </c>
      <c r="G20" s="29" t="inlineStr">
        <is>
          <t>Kapı Önü Paspası</t>
        </is>
      </c>
      <c r="H20" s="30" t="inlineStr">
        <is>
          <t>Paspas Yap</t>
        </is>
      </c>
      <c r="I20" s="31" t="n">
        <v>93.0</v>
      </c>
      <c r="J20" s="32" t="n">
        <v>23175.0</v>
      </c>
      <c r="K20" s="33" t="n">
        <v>21448.63</v>
      </c>
      <c r="L20" s="34" t="n">
        <v>22.0</v>
      </c>
      <c r="M20" s="35" t="n">
        <v>15095.36</v>
      </c>
      <c r="N20" s="36" t="inlineStr">
        <is>
          <t>25 Ağustos 08.00-1 Eylül 07.59</t>
        </is>
      </c>
      <c r="O20" s="37" t="n">
        <v>15.2</v>
      </c>
      <c r="P20" s="38" t="n">
        <v>21448.63</v>
      </c>
      <c r="Q20" s="39"/>
      <c r="R20" s="40" t="n">
        <f>=IF(AND(ISBLANK(Q20), ISBLANK(U20)), "", "7 Günlük Fiyat")</f>
        <v>0.0</v>
      </c>
      <c r="S20" s="41" t="n">
        <f>=IF(OR(Q20="", R20=""), "-", IF(ISNUMBER(SEARCH("7 Günlük", R20)), IF(Q20&lt;=M20, O20, "-"), "-"))</f>
        <v>0.0</v>
      </c>
      <c r="T20" s="42" t="str">
        <f>=IF(ISBLANK(Q20), "", "Hayır")</f>
      </c>
      <c r="U20" s="43"/>
      <c r="V20" s="44" t="inlineStr">
        <is>
          <t>50461ed1-c2c8-4393-967e-55d58a3e2664</t>
        </is>
      </c>
    </row>
    <row r="21">
      <c r="A21" s="23" t="inlineStr">
        <is>
          <t>Rampalı Giriş Paspası Toz Ve Nem Alıcı Su Emici Kaymaz Paspas Apartman Dükkan Iş Yeri Paspası</t>
        </is>
      </c>
      <c r="B21" s="24" t="inlineStr">
        <is>
          <t>769995957</t>
        </is>
      </c>
      <c r="C21" s="25" t="inlineStr">
        <is>
          <t>TOZKONTROL-IYP1-GRI-100100</t>
        </is>
      </c>
      <c r="D21" s="26" t="inlineStr">
        <is>
          <t>TOZKONTROL-IYP1-GRI-100100</t>
        </is>
      </c>
      <c r="E21" s="27" t="inlineStr">
        <is>
          <t>100 x 100</t>
        </is>
      </c>
      <c r="F21" s="28" t="inlineStr">
        <is>
          <t>TOZKONTROL-IYP1</t>
        </is>
      </c>
      <c r="G21" s="29" t="inlineStr">
        <is>
          <t>Kapı Önü Paspası</t>
        </is>
      </c>
      <c r="H21" s="30" t="inlineStr">
        <is>
          <t>Paspas Yap</t>
        </is>
      </c>
      <c r="I21" s="31" t="n">
        <v>91.0</v>
      </c>
      <c r="J21" s="32" t="n">
        <v>2172.0</v>
      </c>
      <c r="K21" s="33" t="n">
        <v>1963.42</v>
      </c>
      <c r="L21" s="34" t="n">
        <v>22.0</v>
      </c>
      <c r="M21" s="35" t="n">
        <v>1431.94</v>
      </c>
      <c r="N21" s="36" t="inlineStr">
        <is>
          <t>25 Ağustos 08.00-1 Eylül 07.59</t>
        </is>
      </c>
      <c r="O21" s="37" t="n">
        <v>15.6</v>
      </c>
      <c r="P21" s="38" t="n">
        <v>1963.42</v>
      </c>
      <c r="Q21" s="39"/>
      <c r="R21" s="40" t="n">
        <f>=IF(AND(ISBLANK(Q21), ISBLANK(U21)), "", "7 Günlük Fiyat")</f>
        <v>0.0</v>
      </c>
      <c r="S21" s="41" t="n">
        <f>=IF(OR(Q21="", R21=""), "-", IF(ISNUMBER(SEARCH("7 Günlük", R21)), IF(Q21&lt;=M21, O21, "-"), "-"))</f>
        <v>0.0</v>
      </c>
      <c r="T21" s="42" t="str">
        <f>=IF(ISBLANK(Q21), "", "Hayır")</f>
      </c>
      <c r="U21" s="43"/>
      <c r="V21" s="44" t="inlineStr">
        <is>
          <t>50461ed1-c2c8-4393-967e-55d58a3e2664</t>
        </is>
      </c>
    </row>
    <row r="22">
      <c r="A22" s="23" t="inlineStr">
        <is>
          <t>Rampalı Giriş Paspası Toz Ve Nem Alıcı Su Emici Kaymaz Paspas Apartman Dükkan Iş Yeri Paspası</t>
        </is>
      </c>
      <c r="B22" s="24" t="inlineStr">
        <is>
          <t>769995957</t>
        </is>
      </c>
      <c r="C22" s="25" t="inlineStr">
        <is>
          <t>TOZKONTROL-IYP1-GRI-120150</t>
        </is>
      </c>
      <c r="D22" s="26" t="inlineStr">
        <is>
          <t>TOZKONTROL-IYP1-GRI-120150</t>
        </is>
      </c>
      <c r="E22" s="27" t="inlineStr">
        <is>
          <t>120 x 150</t>
        </is>
      </c>
      <c r="F22" s="28" t="inlineStr">
        <is>
          <t>TOZKONTROL-IYP1</t>
        </is>
      </c>
      <c r="G22" s="29" t="inlineStr">
        <is>
          <t>Kapı Önü Paspası</t>
        </is>
      </c>
      <c r="H22" s="30" t="inlineStr">
        <is>
          <t>Paspas Yap</t>
        </is>
      </c>
      <c r="I22" s="31" t="n">
        <v>93.0</v>
      </c>
      <c r="J22" s="32" t="n">
        <v>3376.0</v>
      </c>
      <c r="K22" s="33" t="n">
        <v>2989.54</v>
      </c>
      <c r="L22" s="34" t="n">
        <v>22.0</v>
      </c>
      <c r="M22" s="35" t="n">
        <v>2238.06</v>
      </c>
      <c r="N22" s="36" t="inlineStr">
        <is>
          <t>25 Ağustos 08.00-1 Eylül 07.59</t>
        </is>
      </c>
      <c r="O22" s="37" t="n">
        <v>15.7</v>
      </c>
      <c r="P22" s="38" t="n">
        <v>2989.54</v>
      </c>
      <c r="Q22" s="39"/>
      <c r="R22" s="40" t="n">
        <f>=IF(AND(ISBLANK(Q22), ISBLANK(U22)), "", "7 Günlük Fiyat")</f>
        <v>0.0</v>
      </c>
      <c r="S22" s="41" t="n">
        <f>=IF(OR(Q22="", R22=""), "-", IF(ISNUMBER(SEARCH("7 Günlük", R22)), IF(Q22&lt;=M22, O22, "-"), "-"))</f>
        <v>0.0</v>
      </c>
      <c r="T22" s="42" t="str">
        <f>=IF(ISBLANK(Q22), "", "Hayır")</f>
      </c>
      <c r="U22" s="43"/>
      <c r="V22" s="44" t="inlineStr">
        <is>
          <t>50461ed1-c2c8-4393-967e-55d58a3e2664</t>
        </is>
      </c>
    </row>
    <row r="23">
      <c r="A23" s="23" t="inlineStr">
        <is>
          <t>Rampalı Giriş Paspası Toz Ve Nem Alıcı Su Emici Kaymaz Paspas Apartman Dükkan Iş Yeri Paspası</t>
        </is>
      </c>
      <c r="B23" s="24" t="inlineStr">
        <is>
          <t>769995957</t>
        </is>
      </c>
      <c r="C23" s="25" t="inlineStr">
        <is>
          <t>TOZKONTROL-IYP1-GRI-80400</t>
        </is>
      </c>
      <c r="D23" s="26" t="inlineStr">
        <is>
          <t>TOZKONTROL-IYP1-GRI-80400</t>
        </is>
      </c>
      <c r="E23" s="27" t="inlineStr">
        <is>
          <t>80 x 400</t>
        </is>
      </c>
      <c r="F23" s="28" t="inlineStr">
        <is>
          <t>TOZKONTROL-IYP1</t>
        </is>
      </c>
      <c r="G23" s="29" t="inlineStr">
        <is>
          <t>Kapı Önü Paspası</t>
        </is>
      </c>
      <c r="H23" s="30" t="inlineStr">
        <is>
          <t>Paspas Yap</t>
        </is>
      </c>
      <c r="I23" s="31" t="n">
        <v>93.0</v>
      </c>
      <c r="J23" s="32" t="n">
        <v>5963.0</v>
      </c>
      <c r="K23" s="33" t="n">
        <v>5489.96</v>
      </c>
      <c r="L23" s="34" t="n">
        <v>22.0</v>
      </c>
      <c r="M23" s="35" t="n">
        <v>3848.38</v>
      </c>
      <c r="N23" s="36" t="inlineStr">
        <is>
          <t>25 Ağustos 08.00-1 Eylül 07.59</t>
        </is>
      </c>
      <c r="O23" s="37" t="n">
        <v>15.1</v>
      </c>
      <c r="P23" s="38" t="n">
        <v>5489.96</v>
      </c>
      <c r="Q23" s="39"/>
      <c r="R23" s="40" t="n">
        <f>=IF(AND(ISBLANK(Q23), ISBLANK(U23)), "", "7 Günlük Fiyat")</f>
        <v>0.0</v>
      </c>
      <c r="S23" s="41" t="n">
        <f>=IF(OR(Q23="", R23=""), "-", IF(ISNUMBER(SEARCH("7 Günlük", R23)), IF(Q23&lt;=M23, O23, "-"), "-"))</f>
        <v>0.0</v>
      </c>
      <c r="T23" s="42" t="str">
        <f>=IF(ISBLANK(Q23), "", "Hayır")</f>
      </c>
      <c r="U23" s="43"/>
      <c r="V23" s="44" t="inlineStr">
        <is>
          <t>50461ed1-c2c8-4393-967e-55d58a3e2664</t>
        </is>
      </c>
    </row>
    <row r="24">
      <c r="A24" s="23" t="inlineStr">
        <is>
          <t>Rampalı Giriş Paspası Toz Ve Nem Alıcı Su Emici Kaymaz Paspas Apartman Dükkan Iş Yeri Paspası</t>
        </is>
      </c>
      <c r="B24" s="24" t="inlineStr">
        <is>
          <t>769995957</t>
        </is>
      </c>
      <c r="C24" s="25" t="inlineStr">
        <is>
          <t>TOZKONTROL-IYP1-GRI-1001100</t>
        </is>
      </c>
      <c r="D24" s="26" t="inlineStr">
        <is>
          <t>TOZKONTROL-IYP1-GRI-1001100</t>
        </is>
      </c>
      <c r="E24" s="27" t="inlineStr">
        <is>
          <t>100 x 1100</t>
        </is>
      </c>
      <c r="F24" s="28" t="inlineStr">
        <is>
          <t>TOZKONTROL-IYP1</t>
        </is>
      </c>
      <c r="G24" s="29" t="inlineStr">
        <is>
          <t>Kapı Önü Paspası</t>
        </is>
      </c>
      <c r="H24" s="30" t="inlineStr">
        <is>
          <t>Paspas Yap</t>
        </is>
      </c>
      <c r="I24" s="31" t="n">
        <v>93.0</v>
      </c>
      <c r="J24" s="32" t="n">
        <v>20962.0</v>
      </c>
      <c r="K24" s="33" t="n">
        <v>19407.19</v>
      </c>
      <c r="L24" s="34" t="n">
        <v>22.0</v>
      </c>
      <c r="M24" s="35" t="n">
        <v>13743.88</v>
      </c>
      <c r="N24" s="36" t="inlineStr">
        <is>
          <t>25 Ağustos 08.00-1 Eylül 07.59</t>
        </is>
      </c>
      <c r="O24" s="37" t="n">
        <v>15.3</v>
      </c>
      <c r="P24" s="38" t="n">
        <v>19407.19</v>
      </c>
      <c r="Q24" s="39"/>
      <c r="R24" s="40" t="n">
        <f>=IF(AND(ISBLANK(Q24), ISBLANK(U24)), "", "7 Günlük Fiyat")</f>
        <v>0.0</v>
      </c>
      <c r="S24" s="41" t="n">
        <f>=IF(OR(Q24="", R24=""), "-", IF(ISNUMBER(SEARCH("7 Günlük", R24)), IF(Q24&lt;=M24, O24, "-"), "-"))</f>
        <v>0.0</v>
      </c>
      <c r="T24" s="42" t="str">
        <f>=IF(ISBLANK(Q24), "", "Hayır")</f>
      </c>
      <c r="U24" s="43"/>
      <c r="V24" s="44" t="inlineStr">
        <is>
          <t>50461ed1-c2c8-4393-967e-55d58a3e2664</t>
        </is>
      </c>
    </row>
    <row r="25">
      <c r="A25" s="23" t="inlineStr">
        <is>
          <t>Rampalı Giriş Paspası Toz Ve Nem Alıcı Su Emici Kaymaz Paspas Apartman Dükkan Iş Yeri Paspası</t>
        </is>
      </c>
      <c r="B25" s="24" t="inlineStr">
        <is>
          <t>769995957</t>
        </is>
      </c>
      <c r="C25" s="25" t="inlineStr">
        <is>
          <t>TOZKONTROL-IYP1-GRI-80900</t>
        </is>
      </c>
      <c r="D25" s="26" t="inlineStr">
        <is>
          <t>TOZKONTROL-IYP1-GRI-80900</t>
        </is>
      </c>
      <c r="E25" s="27" t="inlineStr">
        <is>
          <t>80 x 900</t>
        </is>
      </c>
      <c r="F25" s="28" t="inlineStr">
        <is>
          <t>TOZKONTROL-IYP1</t>
        </is>
      </c>
      <c r="G25" s="29" t="inlineStr">
        <is>
          <t>Kapı Önü Paspası</t>
        </is>
      </c>
      <c r="H25" s="30" t="inlineStr">
        <is>
          <t>Paspas Yap</t>
        </is>
      </c>
      <c r="I25" s="31" t="n">
        <v>93.0</v>
      </c>
      <c r="J25" s="32" t="n">
        <v>12542.0</v>
      </c>
      <c r="K25" s="33" t="n">
        <v>11564.73</v>
      </c>
      <c r="L25" s="34" t="n">
        <v>22.0</v>
      </c>
      <c r="M25" s="35" t="n">
        <v>7668.81</v>
      </c>
      <c r="N25" s="36" t="inlineStr">
        <is>
          <t>25 Ağustos 08.00-1 Eylül 07.59</t>
        </is>
      </c>
      <c r="O25" s="37" t="n">
        <v>14.4</v>
      </c>
      <c r="P25" s="38" t="n">
        <v>11564.73</v>
      </c>
      <c r="Q25" s="39"/>
      <c r="R25" s="40" t="n">
        <f>=IF(AND(ISBLANK(Q25), ISBLANK(U25)), "", "7 Günlük Fiyat")</f>
        <v>0.0</v>
      </c>
      <c r="S25" s="41" t="n">
        <f>=IF(OR(Q25="", R25=""), "-", IF(ISNUMBER(SEARCH("7 Günlük", R25)), IF(Q25&lt;=M25, O25, "-"), "-"))</f>
        <v>0.0</v>
      </c>
      <c r="T25" s="42" t="str">
        <f>=IF(ISBLANK(Q25), "", "Hayır")</f>
      </c>
      <c r="U25" s="43"/>
      <c r="V25" s="44" t="inlineStr">
        <is>
          <t>50461ed1-c2c8-4393-967e-55d58a3e2664</t>
        </is>
      </c>
    </row>
    <row r="26">
      <c r="A26" s="23" t="inlineStr">
        <is>
          <t>Rampalı Giriş Paspası Toz Ve Nem Alıcı Su Emici Kaymaz Paspas Apartman Dükkan Iş Yeri Paspası</t>
        </is>
      </c>
      <c r="B26" s="24" t="inlineStr">
        <is>
          <t>769995957</t>
        </is>
      </c>
      <c r="C26" s="25" t="inlineStr">
        <is>
          <t>TOZKONTROL-IYP1-GRI-1001350</t>
        </is>
      </c>
      <c r="D26" s="26" t="inlineStr">
        <is>
          <t>TOZKONTROL-IYP1-GRI-1001350</t>
        </is>
      </c>
      <c r="E26" s="27" t="inlineStr">
        <is>
          <t>100 x 1350</t>
        </is>
      </c>
      <c r="F26" s="28" t="inlineStr">
        <is>
          <t>TOZKONTROL-IYP1</t>
        </is>
      </c>
      <c r="G26" s="29" t="inlineStr">
        <is>
          <t>Kapı Önü Paspası</t>
        </is>
      </c>
      <c r="H26" s="30" t="inlineStr">
        <is>
          <t>Paspas Yap</t>
        </is>
      </c>
      <c r="I26" s="31" t="n">
        <v>93.0</v>
      </c>
      <c r="J26" s="32" t="n">
        <v>24752.0</v>
      </c>
      <c r="K26" s="33" t="n">
        <v>22854.46</v>
      </c>
      <c r="L26" s="34" t="n">
        <v>22.0</v>
      </c>
      <c r="M26" s="35" t="n">
        <v>15914.26</v>
      </c>
      <c r="N26" s="36" t="inlineStr">
        <is>
          <t>25 Ağustos 08.00-1 Eylül 07.59</t>
        </is>
      </c>
      <c r="O26" s="37" t="n">
        <v>15.0</v>
      </c>
      <c r="P26" s="38" t="n">
        <v>22854.46</v>
      </c>
      <c r="Q26" s="39"/>
      <c r="R26" s="40" t="n">
        <f>=IF(AND(ISBLANK(Q26), ISBLANK(U26)), "", "7 Günlük Fiyat")</f>
        <v>0.0</v>
      </c>
      <c r="S26" s="41" t="n">
        <f>=IF(OR(Q26="", R26=""), "-", IF(ISNUMBER(SEARCH("7 Günlük", R26)), IF(Q26&lt;=M26, O26, "-"), "-"))</f>
        <v>0.0</v>
      </c>
      <c r="T26" s="42" t="str">
        <f>=IF(ISBLANK(Q26), "", "Hayır")</f>
      </c>
      <c r="U26" s="43"/>
      <c r="V26" s="44" t="inlineStr">
        <is>
          <t>50461ed1-c2c8-4393-967e-55d58a3e2664</t>
        </is>
      </c>
    </row>
    <row r="27">
      <c r="A27" s="23" t="inlineStr">
        <is>
          <t>Rampalı Giriş Paspası Toz Ve Nem Alıcı Su Emici Kaymaz Paspas Apartman Dükkan Iş Yeri Paspası</t>
        </is>
      </c>
      <c r="B27" s="24" t="inlineStr">
        <is>
          <t>769995957</t>
        </is>
      </c>
      <c r="C27" s="25" t="inlineStr">
        <is>
          <t>TOZKONTROL-IYP1-GRI-80950</t>
        </is>
      </c>
      <c r="D27" s="26" t="inlineStr">
        <is>
          <t>TOZKONTROL-IYP1-GRI-80950</t>
        </is>
      </c>
      <c r="E27" s="27" t="inlineStr">
        <is>
          <t>80 x 950</t>
        </is>
      </c>
      <c r="F27" s="28" t="inlineStr">
        <is>
          <t>TOZKONTROL-IYP1</t>
        </is>
      </c>
      <c r="G27" s="29" t="inlineStr">
        <is>
          <t>Kapı Önü Paspası</t>
        </is>
      </c>
      <c r="H27" s="30" t="inlineStr">
        <is>
          <t>Paspas Yap</t>
        </is>
      </c>
      <c r="I27" s="31" t="n">
        <v>93.0</v>
      </c>
      <c r="J27" s="32" t="n">
        <v>13145.0</v>
      </c>
      <c r="K27" s="33" t="n">
        <v>12289.23</v>
      </c>
      <c r="L27" s="34" t="n">
        <v>22.0</v>
      </c>
      <c r="M27" s="35" t="n">
        <v>8731.9</v>
      </c>
      <c r="N27" s="36" t="inlineStr">
        <is>
          <t>25 Ağustos 08.00-1 Eylül 07.59</t>
        </is>
      </c>
      <c r="O27" s="37" t="n">
        <v>15.7</v>
      </c>
      <c r="P27" s="38" t="n">
        <v>12289.23</v>
      </c>
      <c r="Q27" s="39"/>
      <c r="R27" s="40" t="n">
        <f>=IF(AND(ISBLANK(Q27), ISBLANK(U27)), "", "7 Günlük Fiyat")</f>
        <v>0.0</v>
      </c>
      <c r="S27" s="41" t="n">
        <f>=IF(OR(Q27="", R27=""), "-", IF(ISNUMBER(SEARCH("7 Günlük", R27)), IF(Q27&lt;=M27, O27, "-"), "-"))</f>
        <v>0.0</v>
      </c>
      <c r="T27" s="42" t="str">
        <f>=IF(ISBLANK(Q27), "", "Hayır")</f>
      </c>
      <c r="U27" s="43"/>
      <c r="V27" s="44" t="inlineStr">
        <is>
          <t>50461ed1-c2c8-4393-967e-55d58a3e2664</t>
        </is>
      </c>
    </row>
    <row r="28">
      <c r="A28" s="23" t="inlineStr">
        <is>
          <t>Rampalı Giriş Paspası Toz Ve Nem Alıcı Su Emici Kaymaz Paspas Apartman Dükkan Iş Yeri Paspası</t>
        </is>
      </c>
      <c r="B28" s="24" t="inlineStr">
        <is>
          <t>769995957</t>
        </is>
      </c>
      <c r="C28" s="25" t="inlineStr">
        <is>
          <t>TOZKONTROL-IYP1-GRI-80550</t>
        </is>
      </c>
      <c r="D28" s="26" t="inlineStr">
        <is>
          <t>TOZKONTROL-IYP1-GRI-80550</t>
        </is>
      </c>
      <c r="E28" s="27" t="inlineStr">
        <is>
          <t>80 x 550</t>
        </is>
      </c>
      <c r="F28" s="28" t="inlineStr">
        <is>
          <t>TOZKONTROL-IYP1</t>
        </is>
      </c>
      <c r="G28" s="29" t="inlineStr">
        <is>
          <t>Kapı Önü Paspası</t>
        </is>
      </c>
      <c r="H28" s="30" t="inlineStr">
        <is>
          <t>Paspas Yap</t>
        </is>
      </c>
      <c r="I28" s="31" t="n">
        <v>93.0</v>
      </c>
      <c r="J28" s="32" t="n">
        <v>7711.0</v>
      </c>
      <c r="K28" s="33" t="n">
        <v>7119.62</v>
      </c>
      <c r="L28" s="34" t="n">
        <v>22.0</v>
      </c>
      <c r="M28" s="35" t="n">
        <v>4923.26</v>
      </c>
      <c r="N28" s="36" t="inlineStr">
        <is>
          <t>25 Ağustos 08.00-1 Eylül 07.59</t>
        </is>
      </c>
      <c r="O28" s="37" t="n">
        <v>14.9</v>
      </c>
      <c r="P28" s="38" t="n">
        <v>7119.62</v>
      </c>
      <c r="Q28" s="39"/>
      <c r="R28" s="40" t="n">
        <f>=IF(AND(ISBLANK(Q28), ISBLANK(U28)), "", "7 Günlük Fiyat")</f>
        <v>0.0</v>
      </c>
      <c r="S28" s="41" t="n">
        <f>=IF(OR(Q28="", R28=""), "-", IF(ISNUMBER(SEARCH("7 Günlük", R28)), IF(Q28&lt;=M28, O28, "-"), "-"))</f>
        <v>0.0</v>
      </c>
      <c r="T28" s="42" t="str">
        <f>=IF(ISBLANK(Q28), "", "Hayır")</f>
      </c>
      <c r="U28" s="43"/>
      <c r="V28" s="44" t="inlineStr">
        <is>
          <t>50461ed1-c2c8-4393-967e-55d58a3e2664</t>
        </is>
      </c>
    </row>
    <row r="29">
      <c r="A29" s="23" t="inlineStr">
        <is>
          <t>Rampalı Giriş Paspası Toz Ve Nem Alıcı Su Emici Kaymaz Paspas Apartman Dükkan Iş Yeri Paspası</t>
        </is>
      </c>
      <c r="B29" s="24" t="inlineStr">
        <is>
          <t>769995957</t>
        </is>
      </c>
      <c r="C29" s="25" t="inlineStr">
        <is>
          <t>TOZKONTROL-IYP1-GRI-120700</t>
        </is>
      </c>
      <c r="D29" s="26" t="inlineStr">
        <is>
          <t>TOZKONTROL-IYP1-GRI-120700</t>
        </is>
      </c>
      <c r="E29" s="27" t="inlineStr">
        <is>
          <t>120 x 700</t>
        </is>
      </c>
      <c r="F29" s="28" t="inlineStr">
        <is>
          <t>TOZKONTROL-IYP1</t>
        </is>
      </c>
      <c r="G29" s="29" t="inlineStr">
        <is>
          <t>Kapı Önü Paspası</t>
        </is>
      </c>
      <c r="H29" s="30" t="inlineStr">
        <is>
          <t>Paspas Yap</t>
        </is>
      </c>
      <c r="I29" s="31" t="n">
        <v>93.0</v>
      </c>
      <c r="J29" s="32" t="n">
        <v>14351.0</v>
      </c>
      <c r="K29" s="33" t="n">
        <v>13286.46</v>
      </c>
      <c r="L29" s="34" t="n">
        <v>22.0</v>
      </c>
      <c r="M29" s="35" t="n">
        <v>6985.13</v>
      </c>
      <c r="N29" s="36" t="inlineStr">
        <is>
          <t>25 Ağustos 08.00-1 Eylül 07.59</t>
        </is>
      </c>
      <c r="O29" s="37" t="n">
        <v>11.0</v>
      </c>
      <c r="P29" s="38" t="n">
        <v>13286.46</v>
      </c>
      <c r="Q29" s="39"/>
      <c r="R29" s="40" t="n">
        <f>=IF(AND(ISBLANK(Q29), ISBLANK(U29)), "", "7 Günlük Fiyat")</f>
        <v>0.0</v>
      </c>
      <c r="S29" s="41" t="n">
        <f>=IF(OR(Q29="", R29=""), "-", IF(ISNUMBER(SEARCH("7 Günlük", R29)), IF(Q29&lt;=M29, O29, "-"), "-"))</f>
        <v>0.0</v>
      </c>
      <c r="T29" s="42" t="str">
        <f>=IF(ISBLANK(Q29), "", "Hayır")</f>
      </c>
      <c r="U29" s="43"/>
      <c r="V29" s="44" t="inlineStr">
        <is>
          <t>50461ed1-c2c8-4393-967e-55d58a3e2664</t>
        </is>
      </c>
    </row>
    <row r="30">
      <c r="A30" s="23" t="inlineStr">
        <is>
          <t>Rampalı Giriş Paspası Toz Ve Nem Alıcı Su Emici Kaymaz Paspas Apartman Dükkan Iş Yeri Paspası</t>
        </is>
      </c>
      <c r="B30" s="24" t="inlineStr">
        <is>
          <t>769995957</t>
        </is>
      </c>
      <c r="C30" s="25" t="inlineStr">
        <is>
          <t>TOZKONTROL-IYP1-GRI-80250</t>
        </is>
      </c>
      <c r="D30" s="26" t="inlineStr">
        <is>
          <t>TOZKONTROL-IYP1-GRI-80250</t>
        </is>
      </c>
      <c r="E30" s="27" t="inlineStr">
        <is>
          <t>80 x 250</t>
        </is>
      </c>
      <c r="F30" s="28" t="inlineStr">
        <is>
          <t>TOZKONTROL-IYP1</t>
        </is>
      </c>
      <c r="G30" s="29" t="inlineStr">
        <is>
          <t>Kapı Önü Paspası</t>
        </is>
      </c>
      <c r="H30" s="30" t="inlineStr">
        <is>
          <t>Paspas Yap</t>
        </is>
      </c>
      <c r="I30" s="31" t="n">
        <v>93.0</v>
      </c>
      <c r="J30" s="32" t="n">
        <v>3729.0</v>
      </c>
      <c r="K30" s="33" t="n">
        <v>2836.09</v>
      </c>
      <c r="L30" s="34" t="n">
        <v>22.0</v>
      </c>
      <c r="M30" s="35" t="n">
        <v>2075.13</v>
      </c>
      <c r="N30" s="36" t="inlineStr">
        <is>
          <t>25 Ağustos 08.00-1 Eylül 07.59</t>
        </is>
      </c>
      <c r="O30" s="37" t="n">
        <v>14.2</v>
      </c>
      <c r="P30" s="38" t="n">
        <v>2836.09</v>
      </c>
      <c r="Q30" s="39"/>
      <c r="R30" s="40" t="n">
        <f>=IF(AND(ISBLANK(Q30), ISBLANK(U30)), "", "7 Günlük Fiyat")</f>
        <v>0.0</v>
      </c>
      <c r="S30" s="41" t="n">
        <f>=IF(OR(Q30="", R30=""), "-", IF(ISNUMBER(SEARCH("7 Günlük", R30)), IF(Q30&lt;=M30, O30, "-"), "-"))</f>
        <v>0.0</v>
      </c>
      <c r="T30" s="42" t="str">
        <f>=IF(ISBLANK(Q30), "", "Hayır")</f>
      </c>
      <c r="U30" s="43"/>
      <c r="V30" s="44" t="inlineStr">
        <is>
          <t>50461ed1-c2c8-4393-967e-55d58a3e2664</t>
        </is>
      </c>
    </row>
    <row r="31">
      <c r="A31" s="23" t="inlineStr">
        <is>
          <t>Rampalı Giriş Paspası Toz Ve Nem Alıcı Su Emici Kaymaz Paspas Apartman Dükkan Iş Yeri Paspası</t>
        </is>
      </c>
      <c r="B31" s="24" t="inlineStr">
        <is>
          <t>769995957</t>
        </is>
      </c>
      <c r="C31" s="25" t="inlineStr">
        <is>
          <t>TOZKONTROL-IYP1-GRI-1001300</t>
        </is>
      </c>
      <c r="D31" s="26" t="inlineStr">
        <is>
          <t>TOZKONTROL-IYP1-GRI-1001300</t>
        </is>
      </c>
      <c r="E31" s="27" t="inlineStr">
        <is>
          <t>100 x 1300</t>
        </is>
      </c>
      <c r="F31" s="28" t="inlineStr">
        <is>
          <t>TOZKONTROL-IYP1</t>
        </is>
      </c>
      <c r="G31" s="29" t="inlineStr">
        <is>
          <t>Kapı Önü Paspası</t>
        </is>
      </c>
      <c r="H31" s="30" t="inlineStr">
        <is>
          <t>Paspas Yap</t>
        </is>
      </c>
      <c r="I31" s="31" t="n">
        <v>93.0</v>
      </c>
      <c r="J31" s="32" t="n">
        <v>23914.0</v>
      </c>
      <c r="K31" s="33" t="n">
        <v>22303.47</v>
      </c>
      <c r="L31" s="34" t="n">
        <v>22.0</v>
      </c>
      <c r="M31" s="35" t="n">
        <v>14840.54</v>
      </c>
      <c r="N31" s="36" t="inlineStr">
        <is>
          <t>25 Ağustos 08.00-1 Eylül 07.59</t>
        </is>
      </c>
      <c r="O31" s="37" t="n">
        <v>14.5</v>
      </c>
      <c r="P31" s="38" t="n">
        <v>22303.47</v>
      </c>
      <c r="Q31" s="39"/>
      <c r="R31" s="40" t="n">
        <f>=IF(AND(ISBLANK(Q31), ISBLANK(U31)), "", "7 Günlük Fiyat")</f>
        <v>0.0</v>
      </c>
      <c r="S31" s="41" t="n">
        <f>=IF(OR(Q31="", R31=""), "-", IF(ISNUMBER(SEARCH("7 Günlük", R31)), IF(Q31&lt;=M31, O31, "-"), "-"))</f>
        <v>0.0</v>
      </c>
      <c r="T31" s="42" t="str">
        <f>=IF(ISBLANK(Q31), "", "Hayır")</f>
      </c>
      <c r="U31" s="43"/>
      <c r="V31" s="44" t="inlineStr">
        <is>
          <t>50461ed1-c2c8-4393-967e-55d58a3e2664</t>
        </is>
      </c>
    </row>
    <row r="32">
      <c r="A32" s="23" t="inlineStr">
        <is>
          <t>Rampalı Giriş Paspası Toz Ve Nem Alıcı Su Emici Kaymaz Paspas Apartman Dükkan Iş Yeri Paspası</t>
        </is>
      </c>
      <c r="B32" s="24" t="inlineStr">
        <is>
          <t>769995957</t>
        </is>
      </c>
      <c r="C32" s="25" t="inlineStr">
        <is>
          <t>TOZKONTROL-IYP1-GRI-100350</t>
        </is>
      </c>
      <c r="D32" s="26" t="inlineStr">
        <is>
          <t>TOZKONTROL-IYP1-GRI-100350</t>
        </is>
      </c>
      <c r="E32" s="27" t="inlineStr">
        <is>
          <t>100 x 350</t>
        </is>
      </c>
      <c r="F32" s="28" t="inlineStr">
        <is>
          <t>TOZKONTROL-IYP1</t>
        </is>
      </c>
      <c r="G32" s="29" t="inlineStr">
        <is>
          <t>Kapı Önü Paspası</t>
        </is>
      </c>
      <c r="H32" s="30" t="inlineStr">
        <is>
          <t>Paspas Yap</t>
        </is>
      </c>
      <c r="I32" s="31" t="n">
        <v>92.0</v>
      </c>
      <c r="J32" s="32" t="n">
        <v>6309.0</v>
      </c>
      <c r="K32" s="33" t="n">
        <v>5819.3</v>
      </c>
      <c r="L32" s="34" t="n">
        <v>22.0</v>
      </c>
      <c r="M32" s="35" t="n">
        <v>4074.27</v>
      </c>
      <c r="N32" s="36" t="inlineStr">
        <is>
          <t>25 Ağustos 08.00-1 Eylül 07.59</t>
        </is>
      </c>
      <c r="O32" s="37" t="n">
        <v>15.2</v>
      </c>
      <c r="P32" s="38" t="n">
        <v>5819.3</v>
      </c>
      <c r="Q32" s="39"/>
      <c r="R32" s="40" t="n">
        <f>=IF(AND(ISBLANK(Q32), ISBLANK(U32)), "", "7 Günlük Fiyat")</f>
        <v>0.0</v>
      </c>
      <c r="S32" s="41" t="n">
        <f>=IF(OR(Q32="", R32=""), "-", IF(ISNUMBER(SEARCH("7 Günlük", R32)), IF(Q32&lt;=M32, O32, "-"), "-"))</f>
        <v>0.0</v>
      </c>
      <c r="T32" s="42" t="str">
        <f>=IF(ISBLANK(Q32), "", "Hayır")</f>
      </c>
      <c r="U32" s="43"/>
      <c r="V32" s="44" t="inlineStr">
        <is>
          <t>50461ed1-c2c8-4393-967e-55d58a3e2664</t>
        </is>
      </c>
    </row>
    <row r="33">
      <c r="A33" s="23" t="inlineStr">
        <is>
          <t>Rampalı Giriş Paspası Toz Ve Nem Alıcı Su Emici Kaymaz Paspas Apartman Dükkan Iş Yeri Paspası</t>
        </is>
      </c>
      <c r="B33" s="24" t="inlineStr">
        <is>
          <t>769995957</t>
        </is>
      </c>
      <c r="C33" s="25" t="inlineStr">
        <is>
          <t>TOZKONTROL-IYP1-GRI-80350</t>
        </is>
      </c>
      <c r="D33" s="26" t="inlineStr">
        <is>
          <t>TOZKONTROL-IYP1-GRI-80350</t>
        </is>
      </c>
      <c r="E33" s="27" t="inlineStr">
        <is>
          <t>80 x 350</t>
        </is>
      </c>
      <c r="F33" s="28" t="inlineStr">
        <is>
          <t>TOZKONTROL-IYP1</t>
        </is>
      </c>
      <c r="G33" s="29" t="inlineStr">
        <is>
          <t>Kapı Önü Paspası</t>
        </is>
      </c>
      <c r="H33" s="30" t="inlineStr">
        <is>
          <t>Paspas Yap</t>
        </is>
      </c>
      <c r="I33" s="31" t="n">
        <v>93.0</v>
      </c>
      <c r="J33" s="32" t="n">
        <v>5078.0</v>
      </c>
      <c r="K33" s="33" t="n">
        <v>4268.53</v>
      </c>
      <c r="L33" s="34" t="n">
        <v>22.0</v>
      </c>
      <c r="M33" s="35" t="n">
        <v>3029.16</v>
      </c>
      <c r="N33" s="36" t="inlineStr">
        <is>
          <t>25 Ağustos 08.00-1 Eylül 07.59</t>
        </is>
      </c>
      <c r="O33" s="37" t="n">
        <v>15.0</v>
      </c>
      <c r="P33" s="38" t="n">
        <v>4268.53</v>
      </c>
      <c r="Q33" s="39"/>
      <c r="R33" s="40" t="n">
        <f>=IF(AND(ISBLANK(Q33), ISBLANK(U33)), "", "7 Günlük Fiyat")</f>
        <v>0.0</v>
      </c>
      <c r="S33" s="41" t="n">
        <f>=IF(OR(Q33="", R33=""), "-", IF(ISNUMBER(SEARCH("7 Günlük", R33)), IF(Q33&lt;=M33, O33, "-"), "-"))</f>
        <v>0.0</v>
      </c>
      <c r="T33" s="42" t="str">
        <f>=IF(ISBLANK(Q33), "", "Hayır")</f>
      </c>
      <c r="U33" s="43"/>
      <c r="V33" s="44" t="inlineStr">
        <is>
          <t>50461ed1-c2c8-4393-967e-55d58a3e2664</t>
        </is>
      </c>
    </row>
    <row r="34">
      <c r="A34" s="23" t="inlineStr">
        <is>
          <t>Rampalı Giriş Paspası Toz Ve Nem Alıcı Su Emici Kaymaz Paspas Apartman Dükkan Iş Yeri Paspası</t>
        </is>
      </c>
      <c r="B34" s="24" t="inlineStr">
        <is>
          <t>769995957</t>
        </is>
      </c>
      <c r="C34" s="25" t="inlineStr">
        <is>
          <t>TOZKONTROL-IYP1-GRI-1001150</t>
        </is>
      </c>
      <c r="D34" s="26" t="inlineStr">
        <is>
          <t>TOZKONTROL-IYP1-GRI-1001150</t>
        </is>
      </c>
      <c r="E34" s="27" t="inlineStr">
        <is>
          <t>100 x 1150</t>
        </is>
      </c>
      <c r="F34" s="28" t="inlineStr">
        <is>
          <t>TOZKONTROL-IYP1</t>
        </is>
      </c>
      <c r="G34" s="29" t="inlineStr">
        <is>
          <t>Kapı Önü Paspası</t>
        </is>
      </c>
      <c r="H34" s="30" t="inlineStr">
        <is>
          <t>Paspas Yap</t>
        </is>
      </c>
      <c r="I34" s="31" t="n">
        <v>93.0</v>
      </c>
      <c r="J34" s="32" t="n">
        <v>21700.0</v>
      </c>
      <c r="K34" s="33" t="n">
        <v>20082.79</v>
      </c>
      <c r="L34" s="34" t="n">
        <v>22.0</v>
      </c>
      <c r="M34" s="35" t="n">
        <v>14187.36</v>
      </c>
      <c r="N34" s="36" t="inlineStr">
        <is>
          <t>25 Ağustos 08.00-1 Eylül 07.59</t>
        </is>
      </c>
      <c r="O34" s="37" t="n">
        <v>15.3</v>
      </c>
      <c r="P34" s="38" t="n">
        <v>20082.79</v>
      </c>
      <c r="Q34" s="39"/>
      <c r="R34" s="40" t="n">
        <f>=IF(AND(ISBLANK(Q34), ISBLANK(U34)), "", "7 Günlük Fiyat")</f>
        <v>0.0</v>
      </c>
      <c r="S34" s="41" t="n">
        <f>=IF(OR(Q34="", R34=""), "-", IF(ISNUMBER(SEARCH("7 Günlük", R34)), IF(Q34&lt;=M34, O34, "-"), "-"))</f>
        <v>0.0</v>
      </c>
      <c r="T34" s="42" t="str">
        <f>=IF(ISBLANK(Q34), "", "Hayır")</f>
      </c>
      <c r="U34" s="43"/>
      <c r="V34" s="44" t="inlineStr">
        <is>
          <t>50461ed1-c2c8-4393-967e-55d58a3e2664</t>
        </is>
      </c>
    </row>
    <row r="35">
      <c r="A35" s="23" t="inlineStr">
        <is>
          <t>Rampalı Giriş Paspası Toz Ve Nem Alıcı Su Emici Kaymaz Paspas Apartman Dükkan Iş Yeri Paspası</t>
        </is>
      </c>
      <c r="B35" s="24" t="inlineStr">
        <is>
          <t>769995957</t>
        </is>
      </c>
      <c r="C35" s="25" t="inlineStr">
        <is>
          <t>TOZKONTROL-IYP1-GRI-120800</t>
        </is>
      </c>
      <c r="D35" s="26" t="inlineStr">
        <is>
          <t>TOZKONTROL-IYP1-GRI-120800</t>
        </is>
      </c>
      <c r="E35" s="27" t="inlineStr">
        <is>
          <t>120 x 800</t>
        </is>
      </c>
      <c r="F35" s="28" t="inlineStr">
        <is>
          <t>TOZKONTROL-IYP1</t>
        </is>
      </c>
      <c r="G35" s="29" t="inlineStr">
        <is>
          <t>Kapı Önü Paspası</t>
        </is>
      </c>
      <c r="H35" s="30" t="inlineStr">
        <is>
          <t>Paspas Yap</t>
        </is>
      </c>
      <c r="I35" s="31" t="n">
        <v>93.0</v>
      </c>
      <c r="J35" s="32" t="n">
        <v>16099.0</v>
      </c>
      <c r="K35" s="33" t="n">
        <v>14959.43</v>
      </c>
      <c r="L35" s="34" t="n">
        <v>22.0</v>
      </c>
      <c r="M35" s="35" t="n">
        <v>10202.95</v>
      </c>
      <c r="N35" s="36" t="inlineStr">
        <is>
          <t>25 Ağustos 08.00-1 Eylül 07.59</t>
        </is>
      </c>
      <c r="O35" s="37" t="n">
        <v>14.8</v>
      </c>
      <c r="P35" s="38" t="n">
        <v>14959.43</v>
      </c>
      <c r="Q35" s="39"/>
      <c r="R35" s="40" t="n">
        <f>=IF(AND(ISBLANK(Q35), ISBLANK(U35)), "", "7 Günlük Fiyat")</f>
        <v>0.0</v>
      </c>
      <c r="S35" s="41" t="n">
        <f>=IF(OR(Q35="", R35=""), "-", IF(ISNUMBER(SEARCH("7 Günlük", R35)), IF(Q35&lt;=M35, O35, "-"), "-"))</f>
        <v>0.0</v>
      </c>
      <c r="T35" s="42" t="str">
        <f>=IF(ISBLANK(Q35), "", "Hayır")</f>
      </c>
      <c r="U35" s="43"/>
      <c r="V35" s="44" t="inlineStr">
        <is>
          <t>50461ed1-c2c8-4393-967e-55d58a3e2664</t>
        </is>
      </c>
    </row>
    <row r="36">
      <c r="A36" s="23" t="inlineStr">
        <is>
          <t>Rampalı Giriş Paspası Toz Ve Nem Alıcı Su Emici Kaymaz Paspas Apartman Dükkan Iş Yeri Paspası</t>
        </is>
      </c>
      <c r="B36" s="24" t="inlineStr">
        <is>
          <t>769995957</t>
        </is>
      </c>
      <c r="C36" s="25" t="inlineStr">
        <is>
          <t>TOZKONTROL-IYP1-GRI-100900</t>
        </is>
      </c>
      <c r="D36" s="26" t="inlineStr">
        <is>
          <t>TOZKONTROL-IYP1-GRI-100900</t>
        </is>
      </c>
      <c r="E36" s="27" t="inlineStr">
        <is>
          <t>100 x 900</t>
        </is>
      </c>
      <c r="F36" s="28" t="inlineStr">
        <is>
          <t>TOZKONTROL-IYP1</t>
        </is>
      </c>
      <c r="G36" s="29" t="inlineStr">
        <is>
          <t>Kapı Önü Paspası</t>
        </is>
      </c>
      <c r="H36" s="30" t="inlineStr">
        <is>
          <t>Paspas Yap</t>
        </is>
      </c>
      <c r="I36" s="31" t="n">
        <v>93.0</v>
      </c>
      <c r="J36" s="32" t="n">
        <v>15170.0</v>
      </c>
      <c r="K36" s="33" t="n">
        <v>14111.48</v>
      </c>
      <c r="L36" s="34" t="n">
        <v>22.0</v>
      </c>
      <c r="M36" s="35" t="n">
        <v>9719.25</v>
      </c>
      <c r="N36" s="36" t="inlineStr">
        <is>
          <t>25 Ağustos 08.00-1 Eylül 07.59</t>
        </is>
      </c>
      <c r="O36" s="37" t="n">
        <v>15.0</v>
      </c>
      <c r="P36" s="38" t="n">
        <v>14111.48</v>
      </c>
      <c r="Q36" s="39"/>
      <c r="R36" s="40" t="n">
        <f>=IF(AND(ISBLANK(Q36), ISBLANK(U36)), "", "7 Günlük Fiyat")</f>
        <v>0.0</v>
      </c>
      <c r="S36" s="41" t="n">
        <f>=IF(OR(Q36="", R36=""), "-", IF(ISNUMBER(SEARCH("7 Günlük", R36)), IF(Q36&lt;=M36, O36, "-"), "-"))</f>
        <v>0.0</v>
      </c>
      <c r="T36" s="42" t="str">
        <f>=IF(ISBLANK(Q36), "", "Hayır")</f>
      </c>
      <c r="U36" s="43"/>
      <c r="V36" s="44" t="inlineStr">
        <is>
          <t>50461ed1-c2c8-4393-967e-55d58a3e2664</t>
        </is>
      </c>
    </row>
    <row r="37">
      <c r="A37" s="23" t="inlineStr">
        <is>
          <t>Rampalı Giriş Paspası Toz Ve Nem Alıcı Su Emici Kaymaz Paspas Apartman Dükkan Iş Yeri Paspası</t>
        </is>
      </c>
      <c r="B37" s="24" t="inlineStr">
        <is>
          <t>769995957</t>
        </is>
      </c>
      <c r="C37" s="25" t="inlineStr">
        <is>
          <t>TOZKONTROL-IYP1-GRI-120950</t>
        </is>
      </c>
      <c r="D37" s="26" t="inlineStr">
        <is>
          <t>TOZKONTROL-IYP1-GRI-120950</t>
        </is>
      </c>
      <c r="E37" s="27" t="inlineStr">
        <is>
          <t>120 x 950</t>
        </is>
      </c>
      <c r="F37" s="28" t="inlineStr">
        <is>
          <t>TOZKONTROL-IYP1</t>
        </is>
      </c>
      <c r="G37" s="29" t="inlineStr">
        <is>
          <t>Kapı Önü Paspası</t>
        </is>
      </c>
      <c r="H37" s="30" t="inlineStr">
        <is>
          <t>Paspas Yap</t>
        </is>
      </c>
      <c r="I37" s="31" t="n">
        <v>93.0</v>
      </c>
      <c r="J37" s="32" t="n">
        <v>21482.0</v>
      </c>
      <c r="K37" s="33" t="n">
        <v>19909.68</v>
      </c>
      <c r="L37" s="34" t="n">
        <v>22.0</v>
      </c>
      <c r="M37" s="35" t="n">
        <v>14177.83</v>
      </c>
      <c r="N37" s="36" t="inlineStr">
        <is>
          <t>25 Ağustos 08.00-1 Eylül 07.59</t>
        </is>
      </c>
      <c r="O37" s="37" t="n">
        <v>15.4</v>
      </c>
      <c r="P37" s="38" t="n">
        <v>19909.68</v>
      </c>
      <c r="Q37" s="39"/>
      <c r="R37" s="40" t="n">
        <f>=IF(AND(ISBLANK(Q37), ISBLANK(U37)), "", "7 Günlük Fiyat")</f>
        <v>0.0</v>
      </c>
      <c r="S37" s="41" t="n">
        <f>=IF(OR(Q37="", R37=""), "-", IF(ISNUMBER(SEARCH("7 Günlük", R37)), IF(Q37&lt;=M37, O37, "-"), "-"))</f>
        <v>0.0</v>
      </c>
      <c r="T37" s="42" t="str">
        <f>=IF(ISBLANK(Q37), "", "Hayır")</f>
      </c>
      <c r="U37" s="43"/>
      <c r="V37" s="44" t="inlineStr">
        <is>
          <t>50461ed1-c2c8-4393-967e-55d58a3e2664</t>
        </is>
      </c>
    </row>
    <row r="38">
      <c r="A38" s="23" t="inlineStr">
        <is>
          <t>Rampalı Giriş Paspası Toz Ve Nem Alıcı Su Emici Kaymaz Paspas Apartman Dükkan Iş Yeri Paspası</t>
        </is>
      </c>
      <c r="B38" s="24" t="inlineStr">
        <is>
          <t>769995957</t>
        </is>
      </c>
      <c r="C38" s="25" t="inlineStr">
        <is>
          <t>TOZKONTROL-IYP1-GRI-801000</t>
        </is>
      </c>
      <c r="D38" s="26" t="inlineStr">
        <is>
          <t>TOZKONTROL-IYP1-GRI-801000</t>
        </is>
      </c>
      <c r="E38" s="27" t="inlineStr">
        <is>
          <t>80 x 1000</t>
        </is>
      </c>
      <c r="F38" s="28" t="inlineStr">
        <is>
          <t>TOZKONTROL-IYP1</t>
        </is>
      </c>
      <c r="G38" s="29" t="inlineStr">
        <is>
          <t>Kapı Önü Paspası</t>
        </is>
      </c>
      <c r="H38" s="30" t="inlineStr">
        <is>
          <t>Paspas Yap</t>
        </is>
      </c>
      <c r="I38" s="31" t="n">
        <v>93.0</v>
      </c>
      <c r="J38" s="32" t="n">
        <v>13749.0</v>
      </c>
      <c r="K38" s="33" t="n">
        <v>12846.18</v>
      </c>
      <c r="L38" s="34" t="n">
        <v>22.0</v>
      </c>
      <c r="M38" s="35" t="n">
        <v>9087.92</v>
      </c>
      <c r="N38" s="36" t="inlineStr">
        <is>
          <t>25 Ağustos 08.00-1 Eylül 07.59</t>
        </is>
      </c>
      <c r="O38" s="37" t="n">
        <v>15.6</v>
      </c>
      <c r="P38" s="38" t="n">
        <v>12846.18</v>
      </c>
      <c r="Q38" s="39"/>
      <c r="R38" s="40" t="n">
        <f>=IF(AND(ISBLANK(Q38), ISBLANK(U38)), "", "7 Günlük Fiyat")</f>
        <v>0.0</v>
      </c>
      <c r="S38" s="41" t="n">
        <f>=IF(OR(Q38="", R38=""), "-", IF(ISNUMBER(SEARCH("7 Günlük", R38)), IF(Q38&lt;=M38, O38, "-"), "-"))</f>
        <v>0.0</v>
      </c>
      <c r="T38" s="42" t="str">
        <f>=IF(ISBLANK(Q38), "", "Hayır")</f>
      </c>
      <c r="U38" s="43"/>
      <c r="V38" s="44" t="inlineStr">
        <is>
          <t>50461ed1-c2c8-4393-967e-55d58a3e2664</t>
        </is>
      </c>
    </row>
    <row r="39">
      <c r="A39" s="23" t="inlineStr">
        <is>
          <t>Rampalı Giriş Paspası Toz Ve Nem Alıcı Su Emici Kaymaz Paspas Apartman Dükkan Iş Yeri Paspası</t>
        </is>
      </c>
      <c r="B39" s="24" t="inlineStr">
        <is>
          <t>769995957</t>
        </is>
      </c>
      <c r="C39" s="25" t="inlineStr">
        <is>
          <t>TOZKONTROL-IYP1-GRI-120750</t>
        </is>
      </c>
      <c r="D39" s="26" t="inlineStr">
        <is>
          <t>TOZKONTROL-IYP1-GRI-120750</t>
        </is>
      </c>
      <c r="E39" s="27" t="inlineStr">
        <is>
          <t>120 x 750</t>
        </is>
      </c>
      <c r="F39" s="28" t="inlineStr">
        <is>
          <t>TOZKONTROL-IYP1</t>
        </is>
      </c>
      <c r="G39" s="29" t="inlineStr">
        <is>
          <t>Kapı Önü Paspası</t>
        </is>
      </c>
      <c r="H39" s="30" t="inlineStr">
        <is>
          <t>Paspas Yap</t>
        </is>
      </c>
      <c r="I39" s="31" t="n">
        <v>93.0</v>
      </c>
      <c r="J39" s="32" t="n">
        <v>15170.0</v>
      </c>
      <c r="K39" s="33" t="n">
        <v>14064.84</v>
      </c>
      <c r="L39" s="34" t="n">
        <v>22.0</v>
      </c>
      <c r="M39" s="35" t="n">
        <v>9482.63</v>
      </c>
      <c r="N39" s="36" t="inlineStr">
        <is>
          <t>25 Ağustos 08.00-1 Eylül 07.59</t>
        </is>
      </c>
      <c r="O39" s="37" t="n">
        <v>14.6</v>
      </c>
      <c r="P39" s="38" t="n">
        <v>14064.84</v>
      </c>
      <c r="Q39" s="39"/>
      <c r="R39" s="40" t="n">
        <f>=IF(AND(ISBLANK(Q39), ISBLANK(U39)), "", "7 Günlük Fiyat")</f>
        <v>0.0</v>
      </c>
      <c r="S39" s="41" t="n">
        <f>=IF(OR(Q39="", R39=""), "-", IF(ISNUMBER(SEARCH("7 Günlük", R39)), IF(Q39&lt;=M39, O39, "-"), "-"))</f>
        <v>0.0</v>
      </c>
      <c r="T39" s="42" t="str">
        <f>=IF(ISBLANK(Q39), "", "Hayır")</f>
      </c>
      <c r="U39" s="43"/>
      <c r="V39" s="44" t="inlineStr">
        <is>
          <t>50461ed1-c2c8-4393-967e-55d58a3e2664</t>
        </is>
      </c>
    </row>
    <row r="40">
      <c r="A40" s="23" t="inlineStr">
        <is>
          <t>Rampalı Giriş Paspası Toz Ve Nem Alıcı Su Emici Kaymaz Paspas Apartman Dükkan Iş Yeri Paspası</t>
        </is>
      </c>
      <c r="B40" s="24" t="inlineStr">
        <is>
          <t>769995957</t>
        </is>
      </c>
      <c r="C40" s="25" t="inlineStr">
        <is>
          <t>TOZKONTROL-IYP1-GRI-80x1350</t>
        </is>
      </c>
      <c r="D40" s="26" t="inlineStr">
        <is>
          <t>TOZKONTROL-IYP1-GRI-80x1350</t>
        </is>
      </c>
      <c r="E40" s="27" t="inlineStr">
        <is>
          <t>80 x 1350</t>
        </is>
      </c>
      <c r="F40" s="28" t="inlineStr">
        <is>
          <t>TOZKONTROL-IYP1</t>
        </is>
      </c>
      <c r="G40" s="29" t="inlineStr">
        <is>
          <t>Kapı Önü Paspası</t>
        </is>
      </c>
      <c r="H40" s="30" t="inlineStr">
        <is>
          <t>Paspas Yap</t>
        </is>
      </c>
      <c r="I40" s="31" t="n">
        <v>93.0</v>
      </c>
      <c r="J40" s="32" t="n">
        <v>20833.0</v>
      </c>
      <c r="K40" s="33" t="n">
        <v>19290.24</v>
      </c>
      <c r="L40" s="34" t="n">
        <v>22.0</v>
      </c>
      <c r="M40" s="35" t="n">
        <v>13421.4</v>
      </c>
      <c r="N40" s="36" t="inlineStr">
        <is>
          <t>25 Ağustos 08.00-1 Eylül 07.59</t>
        </is>
      </c>
      <c r="O40" s="37" t="n">
        <v>15.0</v>
      </c>
      <c r="P40" s="38" t="n">
        <v>19290.24</v>
      </c>
      <c r="Q40" s="39"/>
      <c r="R40" s="40" t="n">
        <f>=IF(AND(ISBLANK(Q40), ISBLANK(U40)), "", "7 Günlük Fiyat")</f>
        <v>0.0</v>
      </c>
      <c r="S40" s="41" t="n">
        <f>=IF(OR(Q40="", R40=""), "-", IF(ISNUMBER(SEARCH("7 Günlük", R40)), IF(Q40&lt;=M40, O40, "-"), "-"))</f>
        <v>0.0</v>
      </c>
      <c r="T40" s="42" t="str">
        <f>=IF(ISBLANK(Q40), "", "Hayır")</f>
      </c>
      <c r="U40" s="43"/>
      <c r="V40" s="44" t="inlineStr">
        <is>
          <t>50461ed1-c2c8-4393-967e-55d58a3e2664</t>
        </is>
      </c>
    </row>
    <row r="41">
      <c r="A41" s="23" t="inlineStr">
        <is>
          <t>Rampalı Giriş Paspası Toz Ve Nem Alıcı Su Emici Kaymaz Paspas Apartman Dükkan Iş Yeri Paspası</t>
        </is>
      </c>
      <c r="B41" s="24" t="inlineStr">
        <is>
          <t>769995957</t>
        </is>
      </c>
      <c r="C41" s="25" t="inlineStr">
        <is>
          <t>TOZKONTROL-IYP1-GRI-100450</t>
        </is>
      </c>
      <c r="D41" s="26" t="inlineStr">
        <is>
          <t>TOZKONTROL-IYP1-GRI-100450</t>
        </is>
      </c>
      <c r="E41" s="27" t="inlineStr">
        <is>
          <t>100 x 450</t>
        </is>
      </c>
      <c r="F41" s="28" t="inlineStr">
        <is>
          <t>TOZKONTROL-IYP1</t>
        </is>
      </c>
      <c r="G41" s="29" t="inlineStr">
        <is>
          <t>Kapı Önü Paspası</t>
        </is>
      </c>
      <c r="H41" s="30" t="inlineStr">
        <is>
          <t>Paspas Yap</t>
        </is>
      </c>
      <c r="I41" s="31" t="n">
        <v>93.0</v>
      </c>
      <c r="J41" s="32" t="n">
        <v>7737.0</v>
      </c>
      <c r="K41" s="33" t="n">
        <v>7142.22</v>
      </c>
      <c r="L41" s="34" t="n">
        <v>22.0</v>
      </c>
      <c r="M41" s="35" t="n">
        <v>4914.52</v>
      </c>
      <c r="N41" s="36" t="inlineStr">
        <is>
          <t>25 Ağustos 08.00-1 Eylül 07.59</t>
        </is>
      </c>
      <c r="O41" s="37" t="n">
        <v>14.9</v>
      </c>
      <c r="P41" s="38" t="n">
        <v>7142.22</v>
      </c>
      <c r="Q41" s="39"/>
      <c r="R41" s="40" t="n">
        <f>=IF(AND(ISBLANK(Q41), ISBLANK(U41)), "", "7 Günlük Fiyat")</f>
        <v>0.0</v>
      </c>
      <c r="S41" s="41" t="n">
        <f>=IF(OR(Q41="", R41=""), "-", IF(ISNUMBER(SEARCH("7 Günlük", R41)), IF(Q41&lt;=M41, O41, "-"), "-"))</f>
        <v>0.0</v>
      </c>
      <c r="T41" s="42" t="str">
        <f>=IF(ISBLANK(Q41), "", "Hayır")</f>
      </c>
      <c r="U41" s="43"/>
      <c r="V41" s="44" t="inlineStr">
        <is>
          <t>50461ed1-c2c8-4393-967e-55d58a3e2664</t>
        </is>
      </c>
    </row>
    <row r="42">
      <c r="A42" s="23" t="inlineStr">
        <is>
          <t>Rampalı Giriş Paspası Toz Ve Nem Alıcı Su Emici Kaymaz Paspas Apartman Dükkan Iş Yeri Paspası</t>
        </is>
      </c>
      <c r="B42" s="24" t="inlineStr">
        <is>
          <t>769995957</t>
        </is>
      </c>
      <c r="C42" s="25" t="inlineStr">
        <is>
          <t>TOZKONTROL-IYP1-GRI-1001200</t>
        </is>
      </c>
      <c r="D42" s="26" t="inlineStr">
        <is>
          <t>TOZKONTROL-IYP1-GRI-1001200</t>
        </is>
      </c>
      <c r="E42" s="27" t="inlineStr">
        <is>
          <t>100 x 1200</t>
        </is>
      </c>
      <c r="F42" s="28" t="inlineStr">
        <is>
          <t>TOZKONTROL-IYP1</t>
        </is>
      </c>
      <c r="G42" s="29" t="inlineStr">
        <is>
          <t>Kapı Önü Paspası</t>
        </is>
      </c>
      <c r="H42" s="30" t="inlineStr">
        <is>
          <t>Paspas Yap</t>
        </is>
      </c>
      <c r="I42" s="31" t="n">
        <v>93.0</v>
      </c>
      <c r="J42" s="32" t="n">
        <v>22715.0</v>
      </c>
      <c r="K42" s="33" t="n">
        <v>21007.41</v>
      </c>
      <c r="L42" s="34" t="n">
        <v>22.0</v>
      </c>
      <c r="M42" s="35" t="n">
        <v>13760.82</v>
      </c>
      <c r="N42" s="36" t="inlineStr">
        <is>
          <t>25 Ağustos 08.00-1 Eylül 07.59</t>
        </is>
      </c>
      <c r="O42" s="37" t="n">
        <v>14.1</v>
      </c>
      <c r="P42" s="38" t="n">
        <v>21007.41</v>
      </c>
      <c r="Q42" s="39"/>
      <c r="R42" s="40" t="n">
        <f>=IF(AND(ISBLANK(Q42), ISBLANK(U42)), "", "7 Günlük Fiyat")</f>
        <v>0.0</v>
      </c>
      <c r="S42" s="41" t="n">
        <f>=IF(OR(Q42="", R42=""), "-", IF(ISNUMBER(SEARCH("7 Günlük", R42)), IF(Q42&lt;=M42, O42, "-"), "-"))</f>
        <v>0.0</v>
      </c>
      <c r="T42" s="42" t="str">
        <f>=IF(ISBLANK(Q42), "", "Hayır")</f>
      </c>
      <c r="U42" s="43"/>
      <c r="V42" s="44" t="inlineStr">
        <is>
          <t>50461ed1-c2c8-4393-967e-55d58a3e2664</t>
        </is>
      </c>
    </row>
    <row r="43">
      <c r="A43" s="23" t="inlineStr">
        <is>
          <t>Rampalı Giriş Paspası Toz Ve Nem Alıcı Su Emici Kaymaz Paspas Apartman Dükkan Iş Yeri Paspası</t>
        </is>
      </c>
      <c r="B43" s="24" t="inlineStr">
        <is>
          <t>769995957</t>
        </is>
      </c>
      <c r="C43" s="25" t="inlineStr">
        <is>
          <t>TOZKONTROL-IYP1-GRI-100250</t>
        </is>
      </c>
      <c r="D43" s="26" t="inlineStr">
        <is>
          <t>TOZKONTROL-IYP1-GRI-100250</t>
        </is>
      </c>
      <c r="E43" s="27" t="inlineStr">
        <is>
          <t>100 x 250</t>
        </is>
      </c>
      <c r="F43" s="28" t="inlineStr">
        <is>
          <t>TOZKONTROL-IYP1</t>
        </is>
      </c>
      <c r="G43" s="29" t="inlineStr">
        <is>
          <t>Kapı Önü Paspası</t>
        </is>
      </c>
      <c r="H43" s="30" t="inlineStr">
        <is>
          <t>Paspas Yap</t>
        </is>
      </c>
      <c r="I43" s="31" t="n">
        <v>93.0</v>
      </c>
      <c r="J43" s="32" t="n">
        <v>4580.0</v>
      </c>
      <c r="K43" s="33" t="n">
        <v>4194.9</v>
      </c>
      <c r="L43" s="34" t="n">
        <v>22.0</v>
      </c>
      <c r="M43" s="35" t="n">
        <v>2941.66</v>
      </c>
      <c r="N43" s="36" t="inlineStr">
        <is>
          <t>25 Ağustos 08.00-1 Eylül 07.59</t>
        </is>
      </c>
      <c r="O43" s="37" t="n">
        <v>15.1</v>
      </c>
      <c r="P43" s="38" t="n">
        <v>4194.9</v>
      </c>
      <c r="Q43" s="39"/>
      <c r="R43" s="40" t="n">
        <f>=IF(AND(ISBLANK(Q43), ISBLANK(U43)), "", "7 Günlük Fiyat")</f>
        <v>0.0</v>
      </c>
      <c r="S43" s="41" t="n">
        <f>=IF(OR(Q43="", R43=""), "-", IF(ISNUMBER(SEARCH("7 Günlük", R43)), IF(Q43&lt;=M43, O43, "-"), "-"))</f>
        <v>0.0</v>
      </c>
      <c r="T43" s="42" t="str">
        <f>=IF(ISBLANK(Q43), "", "Hayır")</f>
      </c>
      <c r="U43" s="43"/>
      <c r="V43" s="44" t="inlineStr">
        <is>
          <t>50461ed1-c2c8-4393-967e-55d58a3e2664</t>
        </is>
      </c>
    </row>
    <row r="44">
      <c r="A44" s="23" t="inlineStr">
        <is>
          <t>Rampalı Giriş Paspası Toz Ve Nem Alıcı Su Emici Kaymaz Paspas Apartman Dükkan Iş Yeri Paspası</t>
        </is>
      </c>
      <c r="B44" s="24" t="inlineStr">
        <is>
          <t>769995957</t>
        </is>
      </c>
      <c r="C44" s="25" t="inlineStr">
        <is>
          <t>TOZKONTROL-IYP1-GRI-80500</t>
        </is>
      </c>
      <c r="D44" s="26" t="inlineStr">
        <is>
          <t>TOZKONTROL-IYP1-GRI-80500</t>
        </is>
      </c>
      <c r="E44" s="27" t="inlineStr">
        <is>
          <t>80 x 500</t>
        </is>
      </c>
      <c r="F44" s="28" t="inlineStr">
        <is>
          <t>TOZKONTROL-IYP1</t>
        </is>
      </c>
      <c r="G44" s="29" t="inlineStr">
        <is>
          <t>Kapı Önü Paspası</t>
        </is>
      </c>
      <c r="H44" s="30" t="inlineStr">
        <is>
          <t>Paspas Yap</t>
        </is>
      </c>
      <c r="I44" s="31" t="n">
        <v>93.0</v>
      </c>
      <c r="J44" s="32" t="n">
        <v>7139.0</v>
      </c>
      <c r="K44" s="33" t="n">
        <v>6583.75</v>
      </c>
      <c r="L44" s="34" t="n">
        <v>22.0</v>
      </c>
      <c r="M44" s="35" t="n">
        <v>4554.96</v>
      </c>
      <c r="N44" s="36" t="inlineStr">
        <is>
          <t>25 Ağustos 08.00-1 Eylül 07.59</t>
        </is>
      </c>
      <c r="O44" s="37" t="n">
        <v>14.9</v>
      </c>
      <c r="P44" s="38" t="n">
        <v>6583.75</v>
      </c>
      <c r="Q44" s="39"/>
      <c r="R44" s="40" t="n">
        <f>=IF(AND(ISBLANK(Q44), ISBLANK(U44)), "", "7 Günlük Fiyat")</f>
        <v>0.0</v>
      </c>
      <c r="S44" s="41" t="n">
        <f>=IF(OR(Q44="", R44=""), "-", IF(ISNUMBER(SEARCH("7 Günlük", R44)), IF(Q44&lt;=M44, O44, "-"), "-"))</f>
        <v>0.0</v>
      </c>
      <c r="T44" s="42" t="str">
        <f>=IF(ISBLANK(Q44), "", "Hayır")</f>
      </c>
      <c r="U44" s="43"/>
      <c r="V44" s="44" t="inlineStr">
        <is>
          <t>50461ed1-c2c8-4393-967e-55d58a3e2664</t>
        </is>
      </c>
    </row>
    <row r="45">
      <c r="A45" s="23" t="inlineStr">
        <is>
          <t>Rampalı Giriş Paspası Toz Ve Nem Alıcı Su Emici Kaymaz Paspas Apartman Dükkan Iş Yeri Paspası</t>
        </is>
      </c>
      <c r="B45" s="24" t="inlineStr">
        <is>
          <t>769995957</t>
        </is>
      </c>
      <c r="C45" s="25" t="inlineStr">
        <is>
          <t>TOZKONTROL-IYP1-GRI-120550</t>
        </is>
      </c>
      <c r="D45" s="26" t="inlineStr">
        <is>
          <t>TOZKONTROL-IYP1-GRI-120550</t>
        </is>
      </c>
      <c r="E45" s="27" t="inlineStr">
        <is>
          <t>120 x 550</t>
        </is>
      </c>
      <c r="F45" s="28" t="inlineStr">
        <is>
          <t>TOZKONTROL-IYP1</t>
        </is>
      </c>
      <c r="G45" s="29" t="inlineStr">
        <is>
          <t>Kapı Önü Paspası</t>
        </is>
      </c>
      <c r="H45" s="30" t="inlineStr">
        <is>
          <t>Paspas Yap</t>
        </is>
      </c>
      <c r="I45" s="31" t="n">
        <v>93.0</v>
      </c>
      <c r="J45" s="32" t="n">
        <v>11272.0</v>
      </c>
      <c r="K45" s="33" t="n">
        <v>9456.09</v>
      </c>
      <c r="L45" s="34" t="n">
        <v>22.0</v>
      </c>
      <c r="M45" s="35" t="n">
        <v>6507.05</v>
      </c>
      <c r="N45" s="36" t="inlineStr">
        <is>
          <t>25 Ağustos 08.00-1 Eylül 07.59</t>
        </is>
      </c>
      <c r="O45" s="37" t="n">
        <v>14.6</v>
      </c>
      <c r="P45" s="38" t="n">
        <v>9456.09</v>
      </c>
      <c r="Q45" s="39"/>
      <c r="R45" s="40" t="n">
        <f>=IF(AND(ISBLANK(Q45), ISBLANK(U45)), "", "7 Günlük Fiyat")</f>
        <v>0.0</v>
      </c>
      <c r="S45" s="41" t="n">
        <f>=IF(OR(Q45="", R45=""), "-", IF(ISNUMBER(SEARCH("7 Günlük", R45)), IF(Q45&lt;=M45, O45, "-"), "-"))</f>
        <v>0.0</v>
      </c>
      <c r="T45" s="42" t="str">
        <f>=IF(ISBLANK(Q45), "", "Hayır")</f>
      </c>
      <c r="U45" s="43"/>
      <c r="V45" s="44" t="inlineStr">
        <is>
          <t>50461ed1-c2c8-4393-967e-55d58a3e2664</t>
        </is>
      </c>
    </row>
    <row r="46">
      <c r="A46" s="23" t="inlineStr">
        <is>
          <t>Rampalı Giriş Paspası Toz Ve Nem Alıcı Su Emici Kaymaz Paspas Apartman Dükkan Iş Yeri Paspası</t>
        </is>
      </c>
      <c r="B46" s="24" t="inlineStr">
        <is>
          <t>769995957</t>
        </is>
      </c>
      <c r="C46" s="25" t="inlineStr">
        <is>
          <t>TOZKONTROL-IYP1-GRI-80x1300</t>
        </is>
      </c>
      <c r="D46" s="26" t="inlineStr">
        <is>
          <t>TOZKONTROL-IYP1-GRI-80x1300</t>
        </is>
      </c>
      <c r="E46" s="27" t="inlineStr">
        <is>
          <t>80 x 1300</t>
        </is>
      </c>
      <c r="F46" s="28" t="inlineStr">
        <is>
          <t>TOZKONTROL-IYP1</t>
        </is>
      </c>
      <c r="G46" s="29" t="inlineStr">
        <is>
          <t>Kapı Önü Paspası</t>
        </is>
      </c>
      <c r="H46" s="30" t="inlineStr">
        <is>
          <t>Paspas Yap</t>
        </is>
      </c>
      <c r="I46" s="31" t="n">
        <v>93.0</v>
      </c>
      <c r="J46" s="32" t="n">
        <v>20205.0</v>
      </c>
      <c r="K46" s="33" t="n">
        <v>16974.32</v>
      </c>
      <c r="L46" s="34" t="n">
        <v>22.0</v>
      </c>
      <c r="M46" s="35" t="n">
        <v>11496.87</v>
      </c>
      <c r="N46" s="36" t="inlineStr">
        <is>
          <t>25 Ağustos 08.00-1 Eylül 07.59</t>
        </is>
      </c>
      <c r="O46" s="37" t="n">
        <v>14.2</v>
      </c>
      <c r="P46" s="38" t="n">
        <v>16974.32</v>
      </c>
      <c r="Q46" s="39"/>
      <c r="R46" s="40" t="n">
        <f>=IF(AND(ISBLANK(Q46), ISBLANK(U46)), "", "7 Günlük Fiyat")</f>
        <v>0.0</v>
      </c>
      <c r="S46" s="41" t="n">
        <f>=IF(OR(Q46="", R46=""), "-", IF(ISNUMBER(SEARCH("7 Günlük", R46)), IF(Q46&lt;=M46, O46, "-"), "-"))</f>
        <v>0.0</v>
      </c>
      <c r="T46" s="42" t="str">
        <f>=IF(ISBLANK(Q46), "", "Hayır")</f>
      </c>
      <c r="U46" s="43"/>
      <c r="V46" s="44" t="inlineStr">
        <is>
          <t>50461ed1-c2c8-4393-967e-55d58a3e2664</t>
        </is>
      </c>
    </row>
    <row r="47">
      <c r="A47" s="23" t="inlineStr">
        <is>
          <t>Rampalı Giriş Paspası Toz Ve Nem Alıcı Su Emici Kaymaz Paspas Apartman Dükkan Iş Yeri Paspası</t>
        </is>
      </c>
      <c r="B47" s="24" t="inlineStr">
        <is>
          <t>769995957</t>
        </is>
      </c>
      <c r="C47" s="25" t="inlineStr">
        <is>
          <t>TOZKONTROL-IYP1-GRI-120500</t>
        </is>
      </c>
      <c r="D47" s="26" t="inlineStr">
        <is>
          <t>TOZKONTROL-IYP1-GRI-120500</t>
        </is>
      </c>
      <c r="E47" s="27" t="inlineStr">
        <is>
          <t>120 x 500</t>
        </is>
      </c>
      <c r="F47" s="28" t="inlineStr">
        <is>
          <t>TOZKONTROL-IYP1</t>
        </is>
      </c>
      <c r="G47" s="29" t="inlineStr">
        <is>
          <t>Kapı Önü Paspası</t>
        </is>
      </c>
      <c r="H47" s="30" t="inlineStr">
        <is>
          <t>Paspas Yap</t>
        </is>
      </c>
      <c r="I47" s="31" t="n">
        <v>93.0</v>
      </c>
      <c r="J47" s="32" t="n">
        <v>10655.0</v>
      </c>
      <c r="K47" s="33" t="n">
        <v>9852.37</v>
      </c>
      <c r="L47" s="34" t="n">
        <v>22.0</v>
      </c>
      <c r="M47" s="35" t="n">
        <v>6672.55</v>
      </c>
      <c r="N47" s="36" t="inlineStr">
        <is>
          <t>25 Ağustos 08.00-1 Eylül 07.59</t>
        </is>
      </c>
      <c r="O47" s="37" t="n">
        <v>14.6</v>
      </c>
      <c r="P47" s="38" t="n">
        <v>9852.37</v>
      </c>
      <c r="Q47" s="39"/>
      <c r="R47" s="40" t="n">
        <f>=IF(AND(ISBLANK(Q47), ISBLANK(U47)), "", "7 Günlük Fiyat")</f>
        <v>0.0</v>
      </c>
      <c r="S47" s="41" t="n">
        <f>=IF(OR(Q47="", R47=""), "-", IF(ISNUMBER(SEARCH("7 Günlük", R47)), IF(Q47&lt;=M47, O47, "-"), "-"))</f>
        <v>0.0</v>
      </c>
      <c r="T47" s="42" t="str">
        <f>=IF(ISBLANK(Q47), "", "Hayır")</f>
      </c>
      <c r="U47" s="43"/>
      <c r="V47" s="44" t="inlineStr">
        <is>
          <t>50461ed1-c2c8-4393-967e-55d58a3e2664</t>
        </is>
      </c>
    </row>
    <row r="48">
      <c r="A48" s="23" t="inlineStr">
        <is>
          <t>Rampalı Giriş Paspası Toz Ve Nem Alıcı Su Emici Kaymaz Paspas Apartman Dükkan Iş Yeri Paspası</t>
        </is>
      </c>
      <c r="B48" s="24" t="inlineStr">
        <is>
          <t>769995957</t>
        </is>
      </c>
      <c r="C48" s="25" t="inlineStr">
        <is>
          <t>TOZKONTROL-IYP1-GRI-1001450</t>
        </is>
      </c>
      <c r="D48" s="26" t="inlineStr">
        <is>
          <t>TOZKONTROL-IYP1-GRI-1001450</t>
        </is>
      </c>
      <c r="E48" s="27" t="inlineStr">
        <is>
          <t>100 x 1450</t>
        </is>
      </c>
      <c r="F48" s="28" t="inlineStr">
        <is>
          <t>TOZKONTROL-IYP1</t>
        </is>
      </c>
      <c r="G48" s="29" t="inlineStr">
        <is>
          <t>Kapı Önü Paspası</t>
        </is>
      </c>
      <c r="H48" s="30" t="inlineStr">
        <is>
          <t>Paspas Yap</t>
        </is>
      </c>
      <c r="I48" s="31" t="n">
        <v>93.0</v>
      </c>
      <c r="J48" s="32" t="n">
        <v>26229.0</v>
      </c>
      <c r="K48" s="33" t="n">
        <v>24253.89</v>
      </c>
      <c r="L48" s="34" t="n">
        <v>22.0</v>
      </c>
      <c r="M48" s="35" t="n">
        <v>17022.77</v>
      </c>
      <c r="N48" s="36" t="inlineStr">
        <is>
          <t>25 Ağustos 08.00-1 Eylül 07.59</t>
        </is>
      </c>
      <c r="O48" s="37" t="n">
        <v>15.1</v>
      </c>
      <c r="P48" s="38" t="n">
        <v>24253.89</v>
      </c>
      <c r="Q48" s="39"/>
      <c r="R48" s="40" t="n">
        <f>=IF(AND(ISBLANK(Q48), ISBLANK(U48)), "", "7 Günlük Fiyat")</f>
        <v>0.0</v>
      </c>
      <c r="S48" s="41" t="n">
        <f>=IF(OR(Q48="", R48=""), "-", IF(ISNUMBER(SEARCH("7 Günlük", R48)), IF(Q48&lt;=M48, O48, "-"), "-"))</f>
        <v>0.0</v>
      </c>
      <c r="T48" s="42" t="str">
        <f>=IF(ISBLANK(Q48), "", "Hayır")</f>
      </c>
      <c r="U48" s="43"/>
      <c r="V48" s="44" t="inlineStr">
        <is>
          <t>50461ed1-c2c8-4393-967e-55d58a3e2664</t>
        </is>
      </c>
    </row>
    <row r="49">
      <c r="A49" s="23" t="inlineStr">
        <is>
          <t>Rampalı Giriş Paspası Toz Ve Nem Alıcı Su Emici Kaymaz Paspas Apartman Dükkan Iş Yeri Paspası</t>
        </is>
      </c>
      <c r="B49" s="24" t="inlineStr">
        <is>
          <t>769995957</t>
        </is>
      </c>
      <c r="C49" s="25" t="inlineStr">
        <is>
          <t>TOZKONTROL-IYP1-GRI-120900</t>
        </is>
      </c>
      <c r="D49" s="26" t="inlineStr">
        <is>
          <t>TOZKONTROL-IYP1-GRI-120900</t>
        </is>
      </c>
      <c r="E49" s="27" t="inlineStr">
        <is>
          <t>120 x 900</t>
        </is>
      </c>
      <c r="F49" s="28" t="inlineStr">
        <is>
          <t>TOZKONTROL-IYP1</t>
        </is>
      </c>
      <c r="G49" s="29" t="inlineStr">
        <is>
          <t>Kapı Önü Paspası</t>
        </is>
      </c>
      <c r="H49" s="30" t="inlineStr">
        <is>
          <t>Paspas Yap</t>
        </is>
      </c>
      <c r="I49" s="31" t="n">
        <v>93.0</v>
      </c>
      <c r="J49" s="32" t="n">
        <v>20833.0</v>
      </c>
      <c r="K49" s="33" t="n">
        <v>19265.94</v>
      </c>
      <c r="L49" s="34" t="n">
        <v>22.0</v>
      </c>
      <c r="M49" s="35" t="n">
        <v>13579.0</v>
      </c>
      <c r="N49" s="36" t="inlineStr">
        <is>
          <t>25 Ağustos 08.00-1 Eylül 07.59</t>
        </is>
      </c>
      <c r="O49" s="37" t="n">
        <v>15.2</v>
      </c>
      <c r="P49" s="38" t="n">
        <v>19265.94</v>
      </c>
      <c r="Q49" s="39"/>
      <c r="R49" s="40" t="n">
        <f>=IF(AND(ISBLANK(Q49), ISBLANK(U49)), "", "7 Günlük Fiyat")</f>
        <v>0.0</v>
      </c>
      <c r="S49" s="41" t="n">
        <f>=IF(OR(Q49="", R49=""), "-", IF(ISNUMBER(SEARCH("7 Günlük", R49)), IF(Q49&lt;=M49, O49, "-"), "-"))</f>
        <v>0.0</v>
      </c>
      <c r="T49" s="42" t="str">
        <f>=IF(ISBLANK(Q49), "", "Hayır")</f>
      </c>
      <c r="U49" s="43"/>
      <c r="V49" s="44" t="inlineStr">
        <is>
          <t>50461ed1-c2c8-4393-967e-55d58a3e2664</t>
        </is>
      </c>
    </row>
    <row r="50">
      <c r="A50" s="23" t="inlineStr">
        <is>
          <t>Rampalı Giriş Paspası Toz Ve Nem Alıcı Su Emici Kaymaz Paspas Apartman Dükkan Iş Yeri Paspası</t>
        </is>
      </c>
      <c r="B50" s="24" t="inlineStr">
        <is>
          <t>769995957</t>
        </is>
      </c>
      <c r="C50" s="25" t="inlineStr">
        <is>
          <t>TOZKONTROL-IYP1-GRI-100600</t>
        </is>
      </c>
      <c r="D50" s="26" t="inlineStr">
        <is>
          <t>TOZKONTROL-IYP1-GRI-100600</t>
        </is>
      </c>
      <c r="E50" s="27" t="inlineStr">
        <is>
          <t>100 x 600</t>
        </is>
      </c>
      <c r="F50" s="28" t="inlineStr">
        <is>
          <t>TOZKONTROL-IYP1</t>
        </is>
      </c>
      <c r="G50" s="29" t="inlineStr">
        <is>
          <t>Kapı Önü Paspası</t>
        </is>
      </c>
      <c r="H50" s="30" t="inlineStr">
        <is>
          <t>Paspas Yap</t>
        </is>
      </c>
      <c r="I50" s="31" t="n">
        <v>93.0</v>
      </c>
      <c r="J50" s="32" t="n">
        <v>10655.0</v>
      </c>
      <c r="K50" s="33" t="n">
        <v>9827.12</v>
      </c>
      <c r="L50" s="34" t="n">
        <v>22.0</v>
      </c>
      <c r="M50" s="35" t="n">
        <v>6196.39</v>
      </c>
      <c r="N50" s="36" t="inlineStr">
        <is>
          <t>25 Ağustos 08.00-1 Eylül 07.59</t>
        </is>
      </c>
      <c r="O50" s="37" t="n">
        <v>13.0</v>
      </c>
      <c r="P50" s="38" t="n">
        <v>9827.12</v>
      </c>
      <c r="Q50" s="39"/>
      <c r="R50" s="40" t="n">
        <f>=IF(AND(ISBLANK(Q50), ISBLANK(U50)), "", "7 Günlük Fiyat")</f>
        <v>0.0</v>
      </c>
      <c r="S50" s="41" t="n">
        <f>=IF(OR(Q50="", R50=""), "-", IF(ISNUMBER(SEARCH("7 Günlük", R50)), IF(Q50&lt;=M50, O50, "-"), "-"))</f>
        <v>0.0</v>
      </c>
      <c r="T50" s="42" t="str">
        <f>=IF(ISBLANK(Q50), "", "Hayır")</f>
      </c>
      <c r="U50" s="43"/>
      <c r="V50" s="44" t="inlineStr">
        <is>
          <t>50461ed1-c2c8-4393-967e-55d58a3e2664</t>
        </is>
      </c>
    </row>
    <row r="51">
      <c r="A51" s="23" t="inlineStr">
        <is>
          <t>Rampalı Giriş Paspası Toz Ve Nem Alıcı Su Emici Kaymaz Paspas Apartman Dükkan Iş Yeri Paspası</t>
        </is>
      </c>
      <c r="B51" s="24" t="inlineStr">
        <is>
          <t>769995957</t>
        </is>
      </c>
      <c r="C51" s="25" t="inlineStr">
        <is>
          <t>TOZKONTROL-IYP1-GRI-80x1200</t>
        </is>
      </c>
      <c r="D51" s="26" t="inlineStr">
        <is>
          <t>TOZKONTROL-IYP1-GRI-80x1200</t>
        </is>
      </c>
      <c r="E51" s="27" t="inlineStr">
        <is>
          <t>80 x 1200</t>
        </is>
      </c>
      <c r="F51" s="28" t="inlineStr">
        <is>
          <t>TOZKONTROL-IYP1</t>
        </is>
      </c>
      <c r="G51" s="29" t="inlineStr">
        <is>
          <t>Kapı Önü Paspası</t>
        </is>
      </c>
      <c r="H51" s="30" t="inlineStr">
        <is>
          <t>Paspas Yap</t>
        </is>
      </c>
      <c r="I51" s="31" t="n">
        <v>93.0</v>
      </c>
      <c r="J51" s="32" t="n">
        <v>16099.0</v>
      </c>
      <c r="K51" s="33" t="n">
        <v>13443.93</v>
      </c>
      <c r="L51" s="34" t="n">
        <v>22.0</v>
      </c>
      <c r="M51" s="35" t="n">
        <v>8553.01</v>
      </c>
      <c r="N51" s="36" t="inlineStr">
        <is>
          <t>25 Ağustos 08.00-1 Eylül 07.59</t>
        </is>
      </c>
      <c r="O51" s="37" t="n">
        <v>12.8</v>
      </c>
      <c r="P51" s="38" t="n">
        <v>13443.93</v>
      </c>
      <c r="Q51" s="39"/>
      <c r="R51" s="40" t="n">
        <f>=IF(AND(ISBLANK(Q51), ISBLANK(U51)), "", "7 Günlük Fiyat")</f>
        <v>0.0</v>
      </c>
      <c r="S51" s="41" t="n">
        <f>=IF(OR(Q51="", R51=""), "-", IF(ISNUMBER(SEARCH("7 Günlük", R51)), IF(Q51&lt;=M51, O51, "-"), "-"))</f>
        <v>0.0</v>
      </c>
      <c r="T51" s="42" t="str">
        <f>=IF(ISBLANK(Q51), "", "Hayır")</f>
      </c>
      <c r="U51" s="43"/>
      <c r="V51" s="44" t="inlineStr">
        <is>
          <t>50461ed1-c2c8-4393-967e-55d58a3e2664</t>
        </is>
      </c>
    </row>
    <row r="52">
      <c r="A52" s="23" t="inlineStr">
        <is>
          <t>Rampalı Giriş Paspası Toz Ve Nem Alıcı Su Emici Kaymaz Paspas Apartman Dükkan Iş Yeri Paspası</t>
        </is>
      </c>
      <c r="B52" s="24" t="inlineStr">
        <is>
          <t>769995957</t>
        </is>
      </c>
      <c r="C52" s="25" t="inlineStr">
        <is>
          <t>TOZKONTROL-IYP1-GRI-80200</t>
        </is>
      </c>
      <c r="D52" s="26" t="inlineStr">
        <is>
          <t>TOZKONTROL-IYP1-GRI-80200</t>
        </is>
      </c>
      <c r="E52" s="27" t="inlineStr">
        <is>
          <t>80 x 200</t>
        </is>
      </c>
      <c r="F52" s="28" t="inlineStr">
        <is>
          <t>TOZKONTROL-IYP1</t>
        </is>
      </c>
      <c r="G52" s="29" t="inlineStr">
        <is>
          <t>Kapı Önü Paspası</t>
        </is>
      </c>
      <c r="H52" s="30" t="inlineStr">
        <is>
          <t>Paspas Yap</t>
        </is>
      </c>
      <c r="I52" s="31" t="n">
        <v>90.0</v>
      </c>
      <c r="J52" s="32" t="n">
        <v>3141.0</v>
      </c>
      <c r="K52" s="33" t="n">
        <v>2858.99</v>
      </c>
      <c r="L52" s="34" t="n">
        <v>22.0</v>
      </c>
      <c r="M52" s="35" t="n">
        <v>1748.48</v>
      </c>
      <c r="N52" s="36" t="inlineStr">
        <is>
          <t>25 Ağustos 08.00-1 Eylül 07.59</t>
        </is>
      </c>
      <c r="O52" s="37" t="n">
        <v>12.8</v>
      </c>
      <c r="P52" s="38" t="n">
        <v>2858.99</v>
      </c>
      <c r="Q52" s="39"/>
      <c r="R52" s="40" t="n">
        <f>=IF(AND(ISBLANK(Q52), ISBLANK(U52)), "", "7 Günlük Fiyat")</f>
        <v>0.0</v>
      </c>
      <c r="S52" s="41" t="n">
        <f>=IF(OR(Q52="", R52=""), "-", IF(ISNUMBER(SEARCH("7 Günlük", R52)), IF(Q52&lt;=M52, O52, "-"), "-"))</f>
        <v>0.0</v>
      </c>
      <c r="T52" s="42" t="str">
        <f>=IF(ISBLANK(Q52), "", "Hayır")</f>
      </c>
      <c r="U52" s="43"/>
      <c r="V52" s="44" t="inlineStr">
        <is>
          <t>50461ed1-c2c8-4393-967e-55d58a3e2664</t>
        </is>
      </c>
    </row>
    <row r="53">
      <c r="A53" s="23" t="inlineStr">
        <is>
          <t>Rampalı Giriş Paspası Toz Ve Nem Alıcı Su Emici Kaymaz Paspas Apartman Dükkan Iş Yeri Paspası</t>
        </is>
      </c>
      <c r="B53" s="24" t="inlineStr">
        <is>
          <t>769995957</t>
        </is>
      </c>
      <c r="C53" s="25" t="inlineStr">
        <is>
          <t>TOZKONTROL-IYP1-GRI-80x1400</t>
        </is>
      </c>
      <c r="D53" s="26" t="inlineStr">
        <is>
          <t>TOZKONTROL-IYP1-GRI-80x1400</t>
        </is>
      </c>
      <c r="E53" s="27" t="inlineStr">
        <is>
          <t>80 x 1400</t>
        </is>
      </c>
      <c r="F53" s="28" t="inlineStr">
        <is>
          <t>TOZKONTROL-IYP1</t>
        </is>
      </c>
      <c r="G53" s="29" t="inlineStr">
        <is>
          <t>Kapı Önü Paspası</t>
        </is>
      </c>
      <c r="H53" s="30" t="inlineStr">
        <is>
          <t>Paspas Yap</t>
        </is>
      </c>
      <c r="I53" s="31" t="n">
        <v>93.0</v>
      </c>
      <c r="J53" s="32" t="n">
        <v>21459.0</v>
      </c>
      <c r="K53" s="33" t="n">
        <v>19825.19</v>
      </c>
      <c r="L53" s="34" t="n">
        <v>22.0</v>
      </c>
      <c r="M53" s="35" t="n">
        <v>13890.3</v>
      </c>
      <c r="N53" s="36" t="inlineStr">
        <is>
          <t>25 Ağustos 08.00-1 Eylül 07.59</t>
        </is>
      </c>
      <c r="O53" s="37" t="n">
        <v>15.1</v>
      </c>
      <c r="P53" s="38" t="n">
        <v>19825.19</v>
      </c>
      <c r="Q53" s="39"/>
      <c r="R53" s="40" t="n">
        <f>=IF(AND(ISBLANK(Q53), ISBLANK(U53)), "", "7 Günlük Fiyat")</f>
        <v>0.0</v>
      </c>
      <c r="S53" s="41" t="n">
        <f>=IF(OR(Q53="", R53=""), "-", IF(ISNUMBER(SEARCH("7 Günlük", R53)), IF(Q53&lt;=M53, O53, "-"), "-"))</f>
        <v>0.0</v>
      </c>
      <c r="T53" s="42" t="str">
        <f>=IF(ISBLANK(Q53), "", "Hayır")</f>
      </c>
      <c r="U53" s="43"/>
      <c r="V53" s="44" t="inlineStr">
        <is>
          <t>50461ed1-c2c8-4393-967e-55d58a3e2664</t>
        </is>
      </c>
    </row>
    <row r="54">
      <c r="A54" s="23" t="inlineStr">
        <is>
          <t>Rampalı Giriş Paspası Toz Ve Nem Alıcı Su Emici Kaymaz Paspas Apartman Dükkan Iş Yeri Paspası</t>
        </is>
      </c>
      <c r="B54" s="24" t="inlineStr">
        <is>
          <t>769995957</t>
        </is>
      </c>
      <c r="C54" s="25" t="inlineStr">
        <is>
          <t>TOZKONTROL-IYP1-GRI-120850</t>
        </is>
      </c>
      <c r="D54" s="26" t="inlineStr">
        <is>
          <t>TOZKONTROL-IYP1-GRI-120850</t>
        </is>
      </c>
      <c r="E54" s="27" t="inlineStr">
        <is>
          <t>120 x 850</t>
        </is>
      </c>
      <c r="F54" s="28" t="inlineStr">
        <is>
          <t>TOZKONTROL-IYP1</t>
        </is>
      </c>
      <c r="G54" s="29" t="inlineStr">
        <is>
          <t>Kapı Önü Paspası</t>
        </is>
      </c>
      <c r="H54" s="30" t="inlineStr">
        <is>
          <t>Paspas Yap</t>
        </is>
      </c>
      <c r="I54" s="31" t="n">
        <v>93.0</v>
      </c>
      <c r="J54" s="32" t="n">
        <v>19685.0</v>
      </c>
      <c r="K54" s="33" t="n">
        <v>18313.22</v>
      </c>
      <c r="L54" s="34" t="n">
        <v>22.0</v>
      </c>
      <c r="M54" s="35" t="n">
        <v>12487.03</v>
      </c>
      <c r="N54" s="36" t="inlineStr">
        <is>
          <t>25 Ağustos 08.00-1 Eylül 07.59</t>
        </is>
      </c>
      <c r="O54" s="37" t="n">
        <v>14.9</v>
      </c>
      <c r="P54" s="38" t="n">
        <v>18313.22</v>
      </c>
      <c r="Q54" s="39"/>
      <c r="R54" s="40" t="n">
        <f>=IF(AND(ISBLANK(Q54), ISBLANK(U54)), "", "7 Günlük Fiyat")</f>
        <v>0.0</v>
      </c>
      <c r="S54" s="41" t="n">
        <f>=IF(OR(Q54="", R54=""), "-", IF(ISNUMBER(SEARCH("7 Günlük", R54)), IF(Q54&lt;=M54, O54, "-"), "-"))</f>
        <v>0.0</v>
      </c>
      <c r="T54" s="42" t="str">
        <f>=IF(ISBLANK(Q54), "", "Hayır")</f>
      </c>
      <c r="U54" s="43"/>
      <c r="V54" s="44" t="inlineStr">
        <is>
          <t>50461ed1-c2c8-4393-967e-55d58a3e2664</t>
        </is>
      </c>
    </row>
    <row r="55">
      <c r="A55" s="23" t="inlineStr">
        <is>
          <t>Rampalı Giriş Paspası Toz Ve Nem Alıcı Su Emici Kaymaz Paspas Apartman Dükkan Iş Yeri Paspası</t>
        </is>
      </c>
      <c r="B55" s="24" t="inlineStr">
        <is>
          <t>769995957</t>
        </is>
      </c>
      <c r="C55" s="25" t="inlineStr">
        <is>
          <t>TOZKONTROL-IYP1-GRI-100800</t>
        </is>
      </c>
      <c r="D55" s="26" t="inlineStr">
        <is>
          <t>TOZKONTROL-IYP1-GRI-100800</t>
        </is>
      </c>
      <c r="E55" s="27" t="inlineStr">
        <is>
          <t>100 x 800</t>
        </is>
      </c>
      <c r="F55" s="28" t="inlineStr">
        <is>
          <t>TOZKONTROL-IYP1</t>
        </is>
      </c>
      <c r="G55" s="29" t="inlineStr">
        <is>
          <t>Kapı Önü Paspası</t>
        </is>
      </c>
      <c r="H55" s="30" t="inlineStr">
        <is>
          <t>Paspas Yap</t>
        </is>
      </c>
      <c r="I55" s="31" t="n">
        <v>93.0</v>
      </c>
      <c r="J55" s="32" t="n">
        <v>13749.0</v>
      </c>
      <c r="K55" s="33" t="n">
        <v>12823.69</v>
      </c>
      <c r="L55" s="34" t="n">
        <v>22.0</v>
      </c>
      <c r="M55" s="35" t="n">
        <v>8561.55</v>
      </c>
      <c r="N55" s="36" t="inlineStr">
        <is>
          <t>25 Ağustos 08.00-1 Eylül 07.59</t>
        </is>
      </c>
      <c r="O55" s="37" t="n">
        <v>14.4</v>
      </c>
      <c r="P55" s="38" t="n">
        <v>12823.69</v>
      </c>
      <c r="Q55" s="39"/>
      <c r="R55" s="40" t="n">
        <f>=IF(AND(ISBLANK(Q55), ISBLANK(U55)), "", "7 Günlük Fiyat")</f>
        <v>0.0</v>
      </c>
      <c r="S55" s="41" t="n">
        <f>=IF(OR(Q55="", R55=""), "-", IF(ISNUMBER(SEARCH("7 Günlük", R55)), IF(Q55&lt;=M55, O55, "-"), "-"))</f>
        <v>0.0</v>
      </c>
      <c r="T55" s="42" t="str">
        <f>=IF(ISBLANK(Q55), "", "Hayır")</f>
      </c>
      <c r="U55" s="43"/>
      <c r="V55" s="44" t="inlineStr">
        <is>
          <t>50461ed1-c2c8-4393-967e-55d58a3e2664</t>
        </is>
      </c>
    </row>
    <row r="56">
      <c r="A56" s="23" t="inlineStr">
        <is>
          <t>Rampalı Giriş Paspası Toz Ve Nem Alıcı Su Emici Kaymaz Paspas Apartman Dükkan Iş Yeri Paspası</t>
        </is>
      </c>
      <c r="B56" s="24" t="inlineStr">
        <is>
          <t>769995957</t>
        </is>
      </c>
      <c r="C56" s="25" t="inlineStr">
        <is>
          <t>TOZKONTROL-IYP1-GRI-100200</t>
        </is>
      </c>
      <c r="D56" s="26" t="inlineStr">
        <is>
          <t>TOZKONTROL-IYP1-GRI-100200</t>
        </is>
      </c>
      <c r="E56" s="27" t="inlineStr">
        <is>
          <t>100 x 200</t>
        </is>
      </c>
      <c r="F56" s="28" t="inlineStr">
        <is>
          <t>TOZKONTROL-IYP1</t>
        </is>
      </c>
      <c r="G56" s="29" t="inlineStr">
        <is>
          <t>Kapı Önü Paspası</t>
        </is>
      </c>
      <c r="H56" s="30" t="inlineStr">
        <is>
          <t>Paspas Yap</t>
        </is>
      </c>
      <c r="I56" s="31" t="n">
        <v>93.0</v>
      </c>
      <c r="J56" s="32" t="n">
        <v>3729.0</v>
      </c>
      <c r="K56" s="33" t="n">
        <v>3119.41</v>
      </c>
      <c r="L56" s="34" t="n">
        <v>22.0</v>
      </c>
      <c r="M56" s="35" t="n">
        <v>2092.02</v>
      </c>
      <c r="N56" s="36" t="inlineStr">
        <is>
          <t>25 Ağustos 08.00-1 Eylül 07.59</t>
        </is>
      </c>
      <c r="O56" s="37" t="n">
        <v>13.0</v>
      </c>
      <c r="P56" s="38" t="n">
        <v>3119.41</v>
      </c>
      <c r="Q56" s="39"/>
      <c r="R56" s="40" t="n">
        <f>=IF(AND(ISBLANK(Q56), ISBLANK(U56)), "", "7 Günlük Fiyat")</f>
        <v>0.0</v>
      </c>
      <c r="S56" s="41" t="n">
        <f>=IF(OR(Q56="", R56=""), "-", IF(ISNUMBER(SEARCH("7 Günlük", R56)), IF(Q56&lt;=M56, O56, "-"), "-"))</f>
        <v>0.0</v>
      </c>
      <c r="T56" s="42" t="str">
        <f>=IF(ISBLANK(Q56), "", "Hayır")</f>
      </c>
      <c r="U56" s="43"/>
      <c r="V56" s="44" t="inlineStr">
        <is>
          <t>50461ed1-c2c8-4393-967e-55d58a3e2664</t>
        </is>
      </c>
    </row>
    <row r="57">
      <c r="A57" s="23" t="inlineStr">
        <is>
          <t>Rampalı Giriş Paspası Toz Ve Nem Alıcı Su Emici Kaymaz Paspas Apartman Dükkan Iş Yeri Paspası</t>
        </is>
      </c>
      <c r="B57" s="24" t="inlineStr">
        <is>
          <t>769995957</t>
        </is>
      </c>
      <c r="C57" s="25" t="inlineStr">
        <is>
          <t>TOZKONTROL-IYP1-GRI-100850</t>
        </is>
      </c>
      <c r="D57" s="26" t="inlineStr">
        <is>
          <t>TOZKONTROL-IYP1-GRI-100850</t>
        </is>
      </c>
      <c r="E57" s="27" t="inlineStr">
        <is>
          <t>100 x 850</t>
        </is>
      </c>
      <c r="F57" s="28" t="inlineStr">
        <is>
          <t>TOZKONTROL-IYP1</t>
        </is>
      </c>
      <c r="G57" s="29" t="inlineStr">
        <is>
          <t>Kapı Önü Paspası</t>
        </is>
      </c>
      <c r="H57" s="30" t="inlineStr">
        <is>
          <t>Paspas Yap</t>
        </is>
      </c>
      <c r="I57" s="31" t="n">
        <v>93.0</v>
      </c>
      <c r="J57" s="32" t="n">
        <v>14478.0</v>
      </c>
      <c r="K57" s="33" t="n">
        <v>13448.91</v>
      </c>
      <c r="L57" s="34" t="n">
        <v>22.0</v>
      </c>
      <c r="M57" s="35" t="n">
        <v>9201.62</v>
      </c>
      <c r="N57" s="36" t="inlineStr">
        <is>
          <t>25 Ağustos 08.00-1 Eylül 07.59</t>
        </is>
      </c>
      <c r="O57" s="37" t="n">
        <v>14.9</v>
      </c>
      <c r="P57" s="38" t="n">
        <v>13448.91</v>
      </c>
      <c r="Q57" s="39"/>
      <c r="R57" s="40" t="n">
        <f>=IF(AND(ISBLANK(Q57), ISBLANK(U57)), "", "7 Günlük Fiyat")</f>
        <v>0.0</v>
      </c>
      <c r="S57" s="41" t="n">
        <f>=IF(OR(Q57="", R57=""), "-", IF(ISNUMBER(SEARCH("7 Günlük", R57)), IF(Q57&lt;=M57, O57, "-"), "-"))</f>
        <v>0.0</v>
      </c>
      <c r="T57" s="42" t="str">
        <f>=IF(ISBLANK(Q57), "", "Hayır")</f>
      </c>
      <c r="U57" s="43"/>
      <c r="V57" s="44" t="inlineStr">
        <is>
          <t>50461ed1-c2c8-4393-967e-55d58a3e2664</t>
        </is>
      </c>
    </row>
    <row r="58">
      <c r="A58" s="23" t="inlineStr">
        <is>
          <t>Rampalı Giriş Paspası Toz Ve Nem Alıcı Su Emici Kaymaz Paspas Apartman Dükkan Iş Yeri Paspası</t>
        </is>
      </c>
      <c r="B58" s="24" t="inlineStr">
        <is>
          <t>769995957</t>
        </is>
      </c>
      <c r="C58" s="25" t="inlineStr">
        <is>
          <t>TOZKONTROL-IYP1-GRI-80x1450</t>
        </is>
      </c>
      <c r="D58" s="26" t="inlineStr">
        <is>
          <t>TOZKONTROL-IYP1-GRI-80x1450</t>
        </is>
      </c>
      <c r="E58" s="27" t="inlineStr">
        <is>
          <t>80 x 1450</t>
        </is>
      </c>
      <c r="F58" s="28" t="inlineStr">
        <is>
          <t>TOZKONTROL-IYP1</t>
        </is>
      </c>
      <c r="G58" s="29" t="inlineStr">
        <is>
          <t>Kapı Önü Paspası</t>
        </is>
      </c>
      <c r="H58" s="30" t="inlineStr">
        <is>
          <t>Paspas Yap</t>
        </is>
      </c>
      <c r="I58" s="31" t="n">
        <v>93.0</v>
      </c>
      <c r="J58" s="32" t="n">
        <v>22087.0</v>
      </c>
      <c r="K58" s="33" t="n">
        <v>20453.01</v>
      </c>
      <c r="L58" s="34" t="n">
        <v>22.0</v>
      </c>
      <c r="M58" s="35" t="n">
        <v>14298.42</v>
      </c>
      <c r="N58" s="36" t="inlineStr">
        <is>
          <t>25 Ağustos 08.00-1 Eylül 07.59</t>
        </is>
      </c>
      <c r="O58" s="37" t="n">
        <v>15.1</v>
      </c>
      <c r="P58" s="38" t="n">
        <v>20453.01</v>
      </c>
      <c r="Q58" s="39"/>
      <c r="R58" s="40" t="n">
        <f>=IF(AND(ISBLANK(Q58), ISBLANK(U58)), "", "7 Günlük Fiyat")</f>
        <v>0.0</v>
      </c>
      <c r="S58" s="41" t="n">
        <f>=IF(OR(Q58="", R58=""), "-", IF(ISNUMBER(SEARCH("7 Günlük", R58)), IF(Q58&lt;=M58, O58, "-"), "-"))</f>
        <v>0.0</v>
      </c>
      <c r="T58" s="42" t="str">
        <f>=IF(ISBLANK(Q58), "", "Hayır")</f>
      </c>
      <c r="U58" s="43"/>
      <c r="V58" s="44" t="inlineStr">
        <is>
          <t>50461ed1-c2c8-4393-967e-55d58a3e2664</t>
        </is>
      </c>
    </row>
    <row r="59">
      <c r="A59" s="23" t="inlineStr">
        <is>
          <t>Rampalı Giriş Paspası Toz Ve Nem Alıcı Su Emici Kaymaz Paspas Apartman Dükkan Iş Yeri Paspası</t>
        </is>
      </c>
      <c r="B59" s="24" t="inlineStr">
        <is>
          <t>769995957</t>
        </is>
      </c>
      <c r="C59" s="25" t="inlineStr">
        <is>
          <t>TOZKONTROL-IYP1-GRI-120x1050</t>
        </is>
      </c>
      <c r="D59" s="26" t="inlineStr">
        <is>
          <t>TOZKONTROL-IYP1-GRI-120x1050</t>
        </is>
      </c>
      <c r="E59" s="27" t="inlineStr">
        <is>
          <t>120 x 1050</t>
        </is>
      </c>
      <c r="F59" s="28" t="inlineStr">
        <is>
          <t>TOZKONTROL-IYP1</t>
        </is>
      </c>
      <c r="G59" s="29" t="inlineStr">
        <is>
          <t>Kapı Önü Paspası</t>
        </is>
      </c>
      <c r="H59" s="30" t="inlineStr">
        <is>
          <t>Paspas Yap</t>
        </is>
      </c>
      <c r="I59" s="31" t="n">
        <v>93.0</v>
      </c>
      <c r="J59" s="32" t="n">
        <v>23280.0</v>
      </c>
      <c r="K59" s="33" t="n">
        <v>21710.64</v>
      </c>
      <c r="L59" s="34" t="n">
        <v>22.0</v>
      </c>
      <c r="M59" s="35" t="n">
        <v>14051.84</v>
      </c>
      <c r="N59" s="36" t="inlineStr">
        <is>
          <t>25 Ağustos 08.00-1 Eylül 07.59</t>
        </is>
      </c>
      <c r="O59" s="37" t="n">
        <v>13.9</v>
      </c>
      <c r="P59" s="38" t="n">
        <v>21710.64</v>
      </c>
      <c r="Q59" s="39"/>
      <c r="R59" s="40" t="n">
        <f>=IF(AND(ISBLANK(Q59), ISBLANK(U59)), "", "7 Günlük Fiyat")</f>
        <v>0.0</v>
      </c>
      <c r="S59" s="41" t="n">
        <f>=IF(OR(Q59="", R59=""), "-", IF(ISNUMBER(SEARCH("7 Günlük", R59)), IF(Q59&lt;=M59, O59, "-"), "-"))</f>
        <v>0.0</v>
      </c>
      <c r="T59" s="42" t="str">
        <f>=IF(ISBLANK(Q59), "", "Hayır")</f>
      </c>
      <c r="U59" s="43"/>
      <c r="V59" s="44" t="inlineStr">
        <is>
          <t>50461ed1-c2c8-4393-967e-55d58a3e2664</t>
        </is>
      </c>
    </row>
    <row r="60">
      <c r="A60" s="23" t="inlineStr">
        <is>
          <t>Rampalı Giriş Paspası Toz Ve Nem Alıcı Su Emici Kaymaz Paspas Apartman Dükkan Iş Yeri Paspası</t>
        </is>
      </c>
      <c r="B60" s="24" t="inlineStr">
        <is>
          <t>769995957</t>
        </is>
      </c>
      <c r="C60" s="25" t="inlineStr">
        <is>
          <t>TOZKONTROL-IYP1-GRI-80850</t>
        </is>
      </c>
      <c r="D60" s="26" t="inlineStr">
        <is>
          <t>TOZKONTROL-IYP1-GRI-80850</t>
        </is>
      </c>
      <c r="E60" s="27" t="inlineStr">
        <is>
          <t>80 x 850</t>
        </is>
      </c>
      <c r="F60" s="28" t="inlineStr">
        <is>
          <t>TOZKONTROL-IYP1</t>
        </is>
      </c>
      <c r="G60" s="29" t="inlineStr">
        <is>
          <t>Kapı Önü Paspası</t>
        </is>
      </c>
      <c r="H60" s="30" t="inlineStr">
        <is>
          <t>Paspas Yap</t>
        </is>
      </c>
      <c r="I60" s="31" t="n">
        <v>93.0</v>
      </c>
      <c r="J60" s="32" t="n">
        <v>11939.0</v>
      </c>
      <c r="K60" s="33" t="n">
        <v>11093.97</v>
      </c>
      <c r="L60" s="34" t="n">
        <v>22.0</v>
      </c>
      <c r="M60" s="35" t="n">
        <v>7888.68</v>
      </c>
      <c r="N60" s="36" t="inlineStr">
        <is>
          <t>25 Ağustos 08.00-1 Eylül 07.59</t>
        </is>
      </c>
      <c r="O60" s="37" t="n">
        <v>15.5</v>
      </c>
      <c r="P60" s="38" t="n">
        <v>11093.97</v>
      </c>
      <c r="Q60" s="39"/>
      <c r="R60" s="40" t="n">
        <f>=IF(AND(ISBLANK(Q60), ISBLANK(U60)), "", "7 Günlük Fiyat")</f>
        <v>0.0</v>
      </c>
      <c r="S60" s="41" t="n">
        <f>=IF(OR(Q60="", R60=""), "-", IF(ISNUMBER(SEARCH("7 Günlük", R60)), IF(Q60&lt;=M60, O60, "-"), "-"))</f>
        <v>0.0</v>
      </c>
      <c r="T60" s="42" t="str">
        <f>=IF(ISBLANK(Q60), "", "Hayır")</f>
      </c>
      <c r="U60" s="43"/>
      <c r="V60" s="44" t="inlineStr">
        <is>
          <t>50461ed1-c2c8-4393-967e-55d58a3e2664</t>
        </is>
      </c>
    </row>
    <row r="61">
      <c r="A61" s="23" t="inlineStr">
        <is>
          <t>Rampalı Giriş Paspası Toz Ve Nem Alıcı Su Emici Kaymaz Paspas Apartman Dükkan Iş Yeri Paspası</t>
        </is>
      </c>
      <c r="B61" s="24" t="inlineStr">
        <is>
          <t>769995957</t>
        </is>
      </c>
      <c r="C61" s="25" t="inlineStr">
        <is>
          <t>TOZKONTROL-IYP1-GRI-100950</t>
        </is>
      </c>
      <c r="D61" s="26" t="inlineStr">
        <is>
          <t>TOZKONTROL-IYP1-GRI-100950</t>
        </is>
      </c>
      <c r="E61" s="27" t="inlineStr">
        <is>
          <t>100 x 950</t>
        </is>
      </c>
      <c r="F61" s="28" t="inlineStr">
        <is>
          <t>TOZKONTROL-IYP1</t>
        </is>
      </c>
      <c r="G61" s="29" t="inlineStr">
        <is>
          <t>Kapı Önü Paspası</t>
        </is>
      </c>
      <c r="H61" s="30" t="inlineStr">
        <is>
          <t>Paspas Yap</t>
        </is>
      </c>
      <c r="I61" s="31" t="n">
        <v>93.0</v>
      </c>
      <c r="J61" s="32" t="n">
        <v>15908.0</v>
      </c>
      <c r="K61" s="33" t="n">
        <v>14801.43</v>
      </c>
      <c r="L61" s="34" t="n">
        <v>22.0</v>
      </c>
      <c r="M61" s="35" t="n">
        <v>10185.7</v>
      </c>
      <c r="N61" s="36" t="inlineStr">
        <is>
          <t>25 Ağustos 08.00-1 Eylül 07.59</t>
        </is>
      </c>
      <c r="O61" s="37" t="n">
        <v>15.0</v>
      </c>
      <c r="P61" s="38" t="n">
        <v>14801.43</v>
      </c>
      <c r="Q61" s="39"/>
      <c r="R61" s="40" t="n">
        <f>=IF(AND(ISBLANK(Q61), ISBLANK(U61)), "", "7 Günlük Fiyat")</f>
        <v>0.0</v>
      </c>
      <c r="S61" s="41" t="n">
        <f>=IF(OR(Q61="", R61=""), "-", IF(ISNUMBER(SEARCH("7 Günlük", R61)), IF(Q61&lt;=M61, O61, "-"), "-"))</f>
        <v>0.0</v>
      </c>
      <c r="T61" s="42" t="str">
        <f>=IF(ISBLANK(Q61), "", "Hayır")</f>
      </c>
      <c r="U61" s="43"/>
      <c r="V61" s="44" t="inlineStr">
        <is>
          <t>50461ed1-c2c8-4393-967e-55d58a3e2664</t>
        </is>
      </c>
    </row>
    <row r="62">
      <c r="A62" s="23" t="inlineStr">
        <is>
          <t>Rampalı Giriş Paspası Toz Ve Nem Alıcı Su Emici Kaymaz Paspas Apartman Dükkan Iş Yeri Paspası</t>
        </is>
      </c>
      <c r="B62" s="24" t="inlineStr">
        <is>
          <t>769995957</t>
        </is>
      </c>
      <c r="C62" s="25" t="inlineStr">
        <is>
          <t>TOZKONTROL-IYP1-GRI-1201500</t>
        </is>
      </c>
      <c r="D62" s="26" t="inlineStr">
        <is>
          <t>TOZKONTROL-IYP1-GRI-1201500</t>
        </is>
      </c>
      <c r="E62" s="27" t="inlineStr">
        <is>
          <t>120 x 1500</t>
        </is>
      </c>
      <c r="F62" s="28" t="inlineStr">
        <is>
          <t>TOZKONTROL-IYP1</t>
        </is>
      </c>
      <c r="G62" s="29" t="inlineStr">
        <is>
          <t>Kapı Önü Paspası</t>
        </is>
      </c>
      <c r="H62" s="30" t="inlineStr">
        <is>
          <t>Paspas Yap</t>
        </is>
      </c>
      <c r="I62" s="31" t="n">
        <v>93.0</v>
      </c>
      <c r="J62" s="32" t="n">
        <v>31217.0</v>
      </c>
      <c r="K62" s="33" t="n">
        <v>21620.18</v>
      </c>
      <c r="L62" s="34" t="n">
        <v>22.0</v>
      </c>
      <c r="M62" s="35" t="n">
        <v>14349.68</v>
      </c>
      <c r="N62" s="36" t="inlineStr">
        <is>
          <t>25 Ağustos 08.00-1 Eylül 07.59</t>
        </is>
      </c>
      <c r="O62" s="37" t="n">
        <v>10.8</v>
      </c>
      <c r="P62" s="38" t="n">
        <v>21620.18</v>
      </c>
      <c r="Q62" s="39"/>
      <c r="R62" s="40" t="n">
        <f>=IF(AND(ISBLANK(Q62), ISBLANK(U62)), "", "7 Günlük Fiyat")</f>
        <v>0.0</v>
      </c>
      <c r="S62" s="41" t="n">
        <f>=IF(OR(Q62="", R62=""), "-", IF(ISNUMBER(SEARCH("7 Günlük", R62)), IF(Q62&lt;=M62, O62, "-"), "-"))</f>
        <v>0.0</v>
      </c>
      <c r="T62" s="42" t="str">
        <f>=IF(ISBLANK(Q62), "", "Hayır")</f>
      </c>
      <c r="U62" s="43"/>
      <c r="V62" s="44" t="inlineStr">
        <is>
          <t>50461ed1-c2c8-4393-967e-55d58a3e2664</t>
        </is>
      </c>
    </row>
    <row r="63">
      <c r="A63" s="23" t="inlineStr">
        <is>
          <t>Rampalı Giriş Paspası Toz Ve Nem Alıcı Su Emici Kaymaz Paspas Apartman Dükkan Iş Yeri Paspası</t>
        </is>
      </c>
      <c r="B63" s="24" t="inlineStr">
        <is>
          <t>769995957</t>
        </is>
      </c>
      <c r="C63" s="25" t="inlineStr">
        <is>
          <t>TOZKONTROL-IYP1-GRI-120350</t>
        </is>
      </c>
      <c r="D63" s="26" t="inlineStr">
        <is>
          <t>TOZKONTROL-IYP1-GRI-120350</t>
        </is>
      </c>
      <c r="E63" s="27" t="inlineStr">
        <is>
          <t>120 x 350</t>
        </is>
      </c>
      <c r="F63" s="28" t="inlineStr">
        <is>
          <t>TOZKONTROL-IYP1</t>
        </is>
      </c>
      <c r="G63" s="29" t="inlineStr">
        <is>
          <t>Kapı Önü Paspası</t>
        </is>
      </c>
      <c r="H63" s="30" t="inlineStr">
        <is>
          <t>Paspas Yap</t>
        </is>
      </c>
      <c r="I63" s="31" t="n">
        <v>93.0</v>
      </c>
      <c r="J63" s="32" t="n">
        <v>7217.0</v>
      </c>
      <c r="K63" s="33" t="n">
        <v>6652.53</v>
      </c>
      <c r="L63" s="34" t="n">
        <v>22.0</v>
      </c>
      <c r="M63" s="35" t="n">
        <v>4567.65</v>
      </c>
      <c r="N63" s="36" t="inlineStr">
        <is>
          <t>25 Ağustos 08.00-1 Eylül 07.59</t>
        </is>
      </c>
      <c r="O63" s="37" t="n">
        <v>14.8</v>
      </c>
      <c r="P63" s="38" t="n">
        <v>6652.53</v>
      </c>
      <c r="Q63" s="39"/>
      <c r="R63" s="40" t="n">
        <f>=IF(AND(ISBLANK(Q63), ISBLANK(U63)), "", "7 Günlük Fiyat")</f>
        <v>0.0</v>
      </c>
      <c r="S63" s="41" t="n">
        <f>=IF(OR(Q63="", R63=""), "-", IF(ISNUMBER(SEARCH("7 Günlük", R63)), IF(Q63&lt;=M63, O63, "-"), "-"))</f>
        <v>0.0</v>
      </c>
      <c r="T63" s="42" t="str">
        <f>=IF(ISBLANK(Q63), "", "Hayır")</f>
      </c>
      <c r="U63" s="43"/>
      <c r="V63" s="44" t="inlineStr">
        <is>
          <t>50461ed1-c2c8-4393-967e-55d58a3e2664</t>
        </is>
      </c>
    </row>
    <row r="64">
      <c r="A64" s="23" t="inlineStr">
        <is>
          <t>Rampalı Giriş Paspası Toz Ve Nem Alıcı Su Emici Kaymaz Paspas Apartman Dükkan Iş Yeri Paspası</t>
        </is>
      </c>
      <c r="B64" s="24" t="inlineStr">
        <is>
          <t>769995957</t>
        </is>
      </c>
      <c r="C64" s="25" t="inlineStr">
        <is>
          <t>TOZKONTROL-IYP1-GRI-100300</t>
        </is>
      </c>
      <c r="D64" s="26" t="inlineStr">
        <is>
          <t>TOZKONTROL-IYP1-GRI-100300</t>
        </is>
      </c>
      <c r="E64" s="27" t="inlineStr">
        <is>
          <t>100 x 300</t>
        </is>
      </c>
      <c r="F64" s="28" t="inlineStr">
        <is>
          <t>TOZKONTROL-IYP1</t>
        </is>
      </c>
      <c r="G64" s="29" t="inlineStr">
        <is>
          <t>Kapı Önü Paspası</t>
        </is>
      </c>
      <c r="H64" s="30" t="inlineStr">
        <is>
          <t>Paspas Yap</t>
        </is>
      </c>
      <c r="I64" s="31" t="n">
        <v>93.0</v>
      </c>
      <c r="J64" s="32" t="n">
        <v>5278.0</v>
      </c>
      <c r="K64" s="33" t="n">
        <v>4870.95</v>
      </c>
      <c r="L64" s="34" t="n">
        <v>22.0</v>
      </c>
      <c r="M64" s="35" t="n">
        <v>3363.31</v>
      </c>
      <c r="N64" s="36" t="inlineStr">
        <is>
          <t>25 Ağustos 08.00-1 Eylül 07.59</t>
        </is>
      </c>
      <c r="O64" s="37" t="n">
        <v>15.0</v>
      </c>
      <c r="P64" s="38" t="n">
        <v>4870.95</v>
      </c>
      <c r="Q64" s="39"/>
      <c r="R64" s="40" t="n">
        <f>=IF(AND(ISBLANK(Q64), ISBLANK(U64)), "", "7 Günlük Fiyat")</f>
        <v>0.0</v>
      </c>
      <c r="S64" s="41" t="n">
        <f>=IF(OR(Q64="", R64=""), "-", IF(ISNUMBER(SEARCH("7 Günlük", R64)), IF(Q64&lt;=M64, O64, "-"), "-"))</f>
        <v>0.0</v>
      </c>
      <c r="T64" s="42" t="str">
        <f>=IF(ISBLANK(Q64), "", "Hayır")</f>
      </c>
      <c r="U64" s="43"/>
      <c r="V64" s="44" t="inlineStr">
        <is>
          <t>50461ed1-c2c8-4393-967e-55d58a3e2664</t>
        </is>
      </c>
    </row>
    <row r="65">
      <c r="A65" s="23" t="inlineStr">
        <is>
          <t>Rampalı Giriş Paspası Toz Ve Nem Alıcı Su Emici Kaymaz Paspas Apartman Dükkan Iş Yeri Paspası</t>
        </is>
      </c>
      <c r="B65" s="24" t="inlineStr">
        <is>
          <t>769995957</t>
        </is>
      </c>
      <c r="C65" s="25" t="inlineStr">
        <is>
          <t>TOZKONTROL-IYP1-GRI-100150</t>
        </is>
      </c>
      <c r="D65" s="26" t="inlineStr">
        <is>
          <t>TOZKONTROL-IYP1-GRI-100150</t>
        </is>
      </c>
      <c r="E65" s="27" t="inlineStr">
        <is>
          <t>100 x 150</t>
        </is>
      </c>
      <c r="F65" s="28" t="inlineStr">
        <is>
          <t>TOZKONTROL-IYP1</t>
        </is>
      </c>
      <c r="G65" s="29" t="inlineStr">
        <is>
          <t>Kapı Önü Paspası</t>
        </is>
      </c>
      <c r="H65" s="30" t="inlineStr">
        <is>
          <t>Paspas Yap</t>
        </is>
      </c>
      <c r="I65" s="31" t="n">
        <v>93.0</v>
      </c>
      <c r="J65" s="32" t="n">
        <v>2980.0</v>
      </c>
      <c r="K65" s="33" t="n">
        <v>2326.31</v>
      </c>
      <c r="L65" s="34" t="n">
        <v>21.2</v>
      </c>
      <c r="M65" s="35" t="n">
        <v>1706.12</v>
      </c>
      <c r="N65" s="36" t="inlineStr">
        <is>
          <t>25 Ağustos 08.00-1 Eylül 07.59</t>
        </is>
      </c>
      <c r="O65" s="37" t="n">
        <v>13.8</v>
      </c>
      <c r="P65" s="38" t="n">
        <v>2326.31</v>
      </c>
      <c r="Q65" s="39"/>
      <c r="R65" s="40" t="n">
        <f>=IF(AND(ISBLANK(Q65), ISBLANK(U65)), "", "7 Günlük Fiyat")</f>
        <v>0.0</v>
      </c>
      <c r="S65" s="41" t="n">
        <f>=IF(OR(Q65="", R65=""), "-", IF(ISNUMBER(SEARCH("7 Günlük", R65)), IF(Q65&lt;=M65, O65, "-"), "-"))</f>
        <v>0.0</v>
      </c>
      <c r="T65" s="42" t="str">
        <f>=IF(ISBLANK(Q65), "", "Hayır")</f>
      </c>
      <c r="U65" s="43"/>
      <c r="V65" s="44" t="inlineStr">
        <is>
          <t>50461ed1-c2c8-4393-967e-55d58a3e2664</t>
        </is>
      </c>
    </row>
    <row r="66">
      <c r="A66" s="23" t="inlineStr">
        <is>
          <t>Rampalı Giriş Paspası Toz Ve Nem Alıcı Su Emici Kaymaz Paspas Apartman Dükkan Iş Yeri Paspası</t>
        </is>
      </c>
      <c r="B66" s="24" t="inlineStr">
        <is>
          <t>769995957</t>
        </is>
      </c>
      <c r="C66" s="25" t="inlineStr">
        <is>
          <t>TOZKONTROL-IYP1-GRI-80x1050</t>
        </is>
      </c>
      <c r="D66" s="26" t="inlineStr">
        <is>
          <t>TOZKONTROL-IYP1-GRI-80x1050</t>
        </is>
      </c>
      <c r="E66" s="27" t="inlineStr">
        <is>
          <t>80 x 1050</t>
        </is>
      </c>
      <c r="F66" s="28" t="inlineStr">
        <is>
          <t>TOZKONTROL-IYP1</t>
        </is>
      </c>
      <c r="G66" s="29" t="inlineStr">
        <is>
          <t>Kapı Önü Paspası</t>
        </is>
      </c>
      <c r="H66" s="30" t="inlineStr">
        <is>
          <t>Paspas Yap</t>
        </is>
      </c>
      <c r="I66" s="31" t="n">
        <v>93.0</v>
      </c>
      <c r="J66" s="32" t="n">
        <v>14351.0</v>
      </c>
      <c r="K66" s="33" t="n">
        <v>13365.68</v>
      </c>
      <c r="L66" s="34" t="n">
        <v>22.0</v>
      </c>
      <c r="M66" s="35" t="n">
        <v>9162.21</v>
      </c>
      <c r="N66" s="36" t="inlineStr">
        <is>
          <t>25 Ağustos 08.00-1 Eylül 07.59</t>
        </is>
      </c>
      <c r="O66" s="37" t="n">
        <v>14.9</v>
      </c>
      <c r="P66" s="38" t="n">
        <v>13365.68</v>
      </c>
      <c r="Q66" s="39"/>
      <c r="R66" s="40" t="n">
        <f>=IF(AND(ISBLANK(Q66), ISBLANK(U66)), "", "7 Günlük Fiyat")</f>
        <v>0.0</v>
      </c>
      <c r="S66" s="41" t="n">
        <f>=IF(OR(Q66="", R66=""), "-", IF(ISNUMBER(SEARCH("7 Günlük", R66)), IF(Q66&lt;=M66, O66, "-"), "-"))</f>
        <v>0.0</v>
      </c>
      <c r="T66" s="42" t="str">
        <f>=IF(ISBLANK(Q66), "", "Hayır")</f>
      </c>
      <c r="U66" s="43"/>
      <c r="V66" s="44" t="inlineStr">
        <is>
          <t>50461ed1-c2c8-4393-967e-55d58a3e2664</t>
        </is>
      </c>
    </row>
    <row r="67">
      <c r="A67" s="23" t="inlineStr">
        <is>
          <t>Rampalı Giriş Paspası Toz Ve Nem Alıcı Su Emici Kaymaz Paspas Apartman Dükkan Iş Yeri Paspası</t>
        </is>
      </c>
      <c r="B67" s="24" t="inlineStr">
        <is>
          <t>769995957</t>
        </is>
      </c>
      <c r="C67" s="25" t="inlineStr">
        <is>
          <t>TOZKONTROL-IYP1-GRI-1201300</t>
        </is>
      </c>
      <c r="D67" s="26" t="inlineStr">
        <is>
          <t>TOZKONTROL-IYP1-GRI-1201300</t>
        </is>
      </c>
      <c r="E67" s="27" t="inlineStr">
        <is>
          <t>120 x 1300</t>
        </is>
      </c>
      <c r="F67" s="28" t="inlineStr">
        <is>
          <t>TOZKONTROL-IYP1</t>
        </is>
      </c>
      <c r="G67" s="29" t="inlineStr">
        <is>
          <t>Kapı Önü Paspası</t>
        </is>
      </c>
      <c r="H67" s="30" t="inlineStr">
        <is>
          <t>Paspas Yap</t>
        </is>
      </c>
      <c r="I67" s="31" t="n">
        <v>93.0</v>
      </c>
      <c r="J67" s="32" t="n">
        <v>27622.0</v>
      </c>
      <c r="K67" s="33" t="n">
        <v>25130.62</v>
      </c>
      <c r="L67" s="34" t="n">
        <v>22.0</v>
      </c>
      <c r="M67" s="35" t="n">
        <v>15751.51</v>
      </c>
      <c r="N67" s="36" t="inlineStr">
        <is>
          <t>25 Ağustos 08.00-1 Eylül 07.59</t>
        </is>
      </c>
      <c r="O67" s="37" t="n">
        <v>12.9</v>
      </c>
      <c r="P67" s="38" t="n">
        <v>25130.62</v>
      </c>
      <c r="Q67" s="39"/>
      <c r="R67" s="40" t="n">
        <f>=IF(AND(ISBLANK(Q67), ISBLANK(U67)), "", "7 Günlük Fiyat")</f>
        <v>0.0</v>
      </c>
      <c r="S67" s="41" t="n">
        <f>=IF(OR(Q67="", R67=""), "-", IF(ISNUMBER(SEARCH("7 Günlük", R67)), IF(Q67&lt;=M67, O67, "-"), "-"))</f>
        <v>0.0</v>
      </c>
      <c r="T67" s="42" t="str">
        <f>=IF(ISBLANK(Q67), "", "Hayır")</f>
      </c>
      <c r="U67" s="43"/>
      <c r="V67" s="44" t="inlineStr">
        <is>
          <t>50461ed1-c2c8-4393-967e-55d58a3e2664</t>
        </is>
      </c>
    </row>
    <row r="68">
      <c r="A68" s="23" t="inlineStr">
        <is>
          <t>Rampalı Giriş Paspası Toz Ve Nem Alıcı Su Emici Kaymaz Paspas Apartman Dükkan Iş Yeri Paspası</t>
        </is>
      </c>
      <c r="B68" s="24" t="inlineStr">
        <is>
          <t>769995957</t>
        </is>
      </c>
      <c r="C68" s="25" t="inlineStr">
        <is>
          <t>TOZKONTROL-IYP1-GRI-1201000</t>
        </is>
      </c>
      <c r="D68" s="26" t="inlineStr">
        <is>
          <t>TOZKONTROL-IYP1-GRI-1201000</t>
        </is>
      </c>
      <c r="E68" s="27" t="inlineStr">
        <is>
          <t>120 x 1000</t>
        </is>
      </c>
      <c r="F68" s="28" t="inlineStr">
        <is>
          <t>TOZKONTROL-IYP1</t>
        </is>
      </c>
      <c r="G68" s="29" t="inlineStr">
        <is>
          <t>Kapı Önü Paspası</t>
        </is>
      </c>
      <c r="H68" s="30" t="inlineStr">
        <is>
          <t>Paspas Yap</t>
        </is>
      </c>
      <c r="I68" s="31" t="n">
        <v>93.0</v>
      </c>
      <c r="J68" s="32" t="n">
        <v>22715.0</v>
      </c>
      <c r="K68" s="33" t="n">
        <v>20938.97</v>
      </c>
      <c r="L68" s="34" t="n">
        <v>22.0</v>
      </c>
      <c r="M68" s="35" t="n">
        <v>14540.67</v>
      </c>
      <c r="N68" s="36" t="inlineStr">
        <is>
          <t>25 Ağustos 08.00-1 Eylül 07.59</t>
        </is>
      </c>
      <c r="O68" s="37" t="n">
        <v>14.9</v>
      </c>
      <c r="P68" s="38" t="n">
        <v>20938.97</v>
      </c>
      <c r="Q68" s="39"/>
      <c r="R68" s="40" t="n">
        <f>=IF(AND(ISBLANK(Q68), ISBLANK(U68)), "", "7 Günlük Fiyat")</f>
        <v>0.0</v>
      </c>
      <c r="S68" s="41" t="n">
        <f>=IF(OR(Q68="", R68=""), "-", IF(ISNUMBER(SEARCH("7 Günlük", R68)), IF(Q68&lt;=M68, O68, "-"), "-"))</f>
        <v>0.0</v>
      </c>
      <c r="T68" s="42" t="str">
        <f>=IF(ISBLANK(Q68), "", "Hayır")</f>
      </c>
      <c r="U68" s="43"/>
      <c r="V68" s="44" t="inlineStr">
        <is>
          <t>50461ed1-c2c8-4393-967e-55d58a3e2664</t>
        </is>
      </c>
    </row>
    <row r="69">
      <c r="A69" s="23" t="inlineStr">
        <is>
          <t>Rampalı Giriş Paspası Toz Ve Nem Alıcı Su Emici Kaymaz Paspas Apartman Dükkan Iş Yeri Paspası</t>
        </is>
      </c>
      <c r="B69" s="24" t="inlineStr">
        <is>
          <t>769995957</t>
        </is>
      </c>
      <c r="C69" s="25" t="inlineStr">
        <is>
          <t>TOZKONTROL-IYP1-GRI-120x1450</t>
        </is>
      </c>
      <c r="D69" s="26" t="inlineStr">
        <is>
          <t>TOZKONTROL-IYP1-GRI-120x1450</t>
        </is>
      </c>
      <c r="E69" s="27" t="inlineStr">
        <is>
          <t>120 x 1450</t>
        </is>
      </c>
      <c r="F69" s="28" t="inlineStr">
        <is>
          <t>TOZKONTROL-IYP1</t>
        </is>
      </c>
      <c r="G69" s="29" t="inlineStr">
        <is>
          <t>Kapı Önü Paspası</t>
        </is>
      </c>
      <c r="H69" s="30" t="inlineStr">
        <is>
          <t>Paspas Yap</t>
        </is>
      </c>
      <c r="I69" s="31" t="n">
        <v>93.0</v>
      </c>
      <c r="J69" s="32" t="n">
        <v>30370.0</v>
      </c>
      <c r="K69" s="33" t="n">
        <v>21047.48</v>
      </c>
      <c r="L69" s="34" t="n">
        <v>22.0</v>
      </c>
      <c r="M69" s="35" t="n">
        <v>14078.45</v>
      </c>
      <c r="N69" s="36" t="inlineStr">
        <is>
          <t>25 Ağustos 08.00-1 Eylül 07.59</t>
        </is>
      </c>
      <c r="O69" s="37" t="n">
        <v>11.2</v>
      </c>
      <c r="P69" s="38" t="n">
        <v>21047.48</v>
      </c>
      <c r="Q69" s="39"/>
      <c r="R69" s="40" t="n">
        <f>=IF(AND(ISBLANK(Q69), ISBLANK(U69)), "", "7 Günlük Fiyat")</f>
        <v>0.0</v>
      </c>
      <c r="S69" s="41" t="n">
        <f>=IF(OR(Q69="", R69=""), "-", IF(ISNUMBER(SEARCH("7 Günlük", R69)), IF(Q69&lt;=M69, O69, "-"), "-"))</f>
        <v>0.0</v>
      </c>
      <c r="T69" s="42" t="str">
        <f>=IF(ISBLANK(Q69), "", "Hayır")</f>
      </c>
      <c r="U69" s="43"/>
      <c r="V69" s="44" t="inlineStr">
        <is>
          <t>50461ed1-c2c8-4393-967e-55d58a3e2664</t>
        </is>
      </c>
    </row>
    <row r="70">
      <c r="A70" s="23" t="inlineStr">
        <is>
          <t>Rampalı Giriş Paspası Toz Ve Nem Alıcı Su Emici Kaymaz Paspas Apartman Dükkan Iş Yeri Paspası</t>
        </is>
      </c>
      <c r="B70" s="24" t="inlineStr">
        <is>
          <t>769995957</t>
        </is>
      </c>
      <c r="C70" s="25" t="inlineStr">
        <is>
          <t>TOZKONTROL-IYP1-GRI-80x1500</t>
        </is>
      </c>
      <c r="D70" s="26" t="inlineStr">
        <is>
          <t>TOZKONTROL-IYP1-GRI-80x1500</t>
        </is>
      </c>
      <c r="E70" s="27" t="inlineStr">
        <is>
          <t>80 x 1500</t>
        </is>
      </c>
      <c r="F70" s="28" t="inlineStr">
        <is>
          <t>TOZKONTROL-IYP1</t>
        </is>
      </c>
      <c r="G70" s="29" t="inlineStr">
        <is>
          <t>Kapı Önü Paspası</t>
        </is>
      </c>
      <c r="H70" s="30" t="inlineStr">
        <is>
          <t>Paspas Yap</t>
        </is>
      </c>
      <c r="I70" s="31" t="n">
        <v>93.0</v>
      </c>
      <c r="J70" s="32" t="n">
        <v>22715.0</v>
      </c>
      <c r="K70" s="33" t="n">
        <v>21035.65</v>
      </c>
      <c r="L70" s="34" t="n">
        <v>22.0</v>
      </c>
      <c r="M70" s="35" t="n">
        <v>14703.09</v>
      </c>
      <c r="N70" s="36" t="inlineStr">
        <is>
          <t>25 Ağustos 08.00-1 Eylül 07.59</t>
        </is>
      </c>
      <c r="O70" s="37" t="n">
        <v>15.1</v>
      </c>
      <c r="P70" s="38" t="n">
        <v>21035.65</v>
      </c>
      <c r="Q70" s="39"/>
      <c r="R70" s="40" t="n">
        <f>=IF(AND(ISBLANK(Q70), ISBLANK(U70)), "", "7 Günlük Fiyat")</f>
        <v>0.0</v>
      </c>
      <c r="S70" s="41" t="n">
        <f>=IF(OR(Q70="", R70=""), "-", IF(ISNUMBER(SEARCH("7 Günlük", R70)), IF(Q70&lt;=M70, O70, "-"), "-"))</f>
        <v>0.0</v>
      </c>
      <c r="T70" s="42" t="str">
        <f>=IF(ISBLANK(Q70), "", "Hayır")</f>
      </c>
      <c r="U70" s="43"/>
      <c r="V70" s="44" t="inlineStr">
        <is>
          <t>50461ed1-c2c8-4393-967e-55d58a3e2664</t>
        </is>
      </c>
    </row>
    <row r="71">
      <c r="A71" s="23" t="inlineStr">
        <is>
          <t>Rampalı Giriş Paspası Toz Ve Nem Alıcı Su Emici Kaymaz Paspas Apartman Dükkan Iş Yeri Paspası</t>
        </is>
      </c>
      <c r="B71" s="24" t="inlineStr">
        <is>
          <t>769995957</t>
        </is>
      </c>
      <c r="C71" s="25" t="inlineStr">
        <is>
          <t>TOZKONTROL-IYP1-GRI-100550</t>
        </is>
      </c>
      <c r="D71" s="26" t="inlineStr">
        <is>
          <t>TOZKONTROL-IYP1-GRI-100550</t>
        </is>
      </c>
      <c r="E71" s="27" t="inlineStr">
        <is>
          <t>100 x 550</t>
        </is>
      </c>
      <c r="F71" s="28" t="inlineStr">
        <is>
          <t>TOZKONTROL-IYP1</t>
        </is>
      </c>
      <c r="G71" s="29" t="inlineStr">
        <is>
          <t>Kapı Önü Paspası</t>
        </is>
      </c>
      <c r="H71" s="30" t="inlineStr">
        <is>
          <t>Paspas Yap</t>
        </is>
      </c>
      <c r="I71" s="31" t="n">
        <v>93.0</v>
      </c>
      <c r="J71" s="32" t="n">
        <v>9734.0</v>
      </c>
      <c r="K71" s="33" t="n">
        <v>9058.62</v>
      </c>
      <c r="L71" s="34" t="n">
        <v>22.0</v>
      </c>
      <c r="M71" s="35" t="n">
        <v>6401.2</v>
      </c>
      <c r="N71" s="36" t="inlineStr">
        <is>
          <t>25 Ağustos 08.00-1 Eylül 07.59</t>
        </is>
      </c>
      <c r="O71" s="37" t="n">
        <v>15.5</v>
      </c>
      <c r="P71" s="38" t="n">
        <v>9058.62</v>
      </c>
      <c r="Q71" s="39"/>
      <c r="R71" s="40" t="n">
        <f>=IF(AND(ISBLANK(Q71), ISBLANK(U71)), "", "7 Günlük Fiyat")</f>
        <v>0.0</v>
      </c>
      <c r="S71" s="41" t="n">
        <f>=IF(OR(Q71="", R71=""), "-", IF(ISNUMBER(SEARCH("7 Günlük", R71)), IF(Q71&lt;=M71, O71, "-"), "-"))</f>
        <v>0.0</v>
      </c>
      <c r="T71" s="42" t="str">
        <f>=IF(ISBLANK(Q71), "", "Hayır")</f>
      </c>
      <c r="U71" s="43"/>
      <c r="V71" s="44" t="inlineStr">
        <is>
          <t>50461ed1-c2c8-4393-967e-55d58a3e2664</t>
        </is>
      </c>
    </row>
    <row r="72">
      <c r="A72" s="23" t="inlineStr">
        <is>
          <t>Rampalı Giriş Paspası Toz Ve Nem Alıcı Su Emici Kaymaz Paspas Apartman Dükkan Iş Yeri Paspası</t>
        </is>
      </c>
      <c r="B72" s="24" t="inlineStr">
        <is>
          <t>769995957</t>
        </is>
      </c>
      <c r="C72" s="25" t="inlineStr">
        <is>
          <t>TOZKONTROL-IYP1-GRI-80150</t>
        </is>
      </c>
      <c r="D72" s="26" t="inlineStr">
        <is>
          <t>TOZKONTROL-IYP1-GRI-80150</t>
        </is>
      </c>
      <c r="E72" s="27" t="inlineStr">
        <is>
          <t>80 x 150</t>
        </is>
      </c>
      <c r="F72" s="28" t="inlineStr">
        <is>
          <t>TOZKONTROL-IYP1</t>
        </is>
      </c>
      <c r="G72" s="29" t="inlineStr">
        <is>
          <t>Kapı Önü Paspası</t>
        </is>
      </c>
      <c r="H72" s="30" t="inlineStr">
        <is>
          <t>Paspas Yap</t>
        </is>
      </c>
      <c r="I72" s="31" t="n">
        <v>88.0</v>
      </c>
      <c r="J72" s="32" t="n">
        <v>2759.0</v>
      </c>
      <c r="K72" s="33" t="n">
        <v>2371.27</v>
      </c>
      <c r="L72" s="34" t="n">
        <v>22.0</v>
      </c>
      <c r="M72" s="35" t="n">
        <v>1586.61</v>
      </c>
      <c r="N72" s="36" t="inlineStr">
        <is>
          <t>25 Ağustos 08.00-1 Eylül 07.59</t>
        </is>
      </c>
      <c r="O72" s="37" t="n">
        <v>12.9</v>
      </c>
      <c r="P72" s="38" t="n">
        <v>2371.27</v>
      </c>
      <c r="Q72" s="39"/>
      <c r="R72" s="40" t="n">
        <f>=IF(AND(ISBLANK(Q72), ISBLANK(U72)), "", "7 Günlük Fiyat")</f>
        <v>0.0</v>
      </c>
      <c r="S72" s="41" t="n">
        <f>=IF(OR(Q72="", R72=""), "-", IF(ISNUMBER(SEARCH("7 Günlük", R72)), IF(Q72&lt;=M72, O72, "-"), "-"))</f>
        <v>0.0</v>
      </c>
      <c r="T72" s="42" t="str">
        <f>=IF(ISBLANK(Q72), "", "Hayır")</f>
      </c>
      <c r="U72" s="43"/>
      <c r="V72" s="44" t="inlineStr">
        <is>
          <t>50461ed1-c2c8-4393-967e-55d58a3e2664</t>
        </is>
      </c>
    </row>
    <row r="73">
      <c r="A73" s="23" t="inlineStr">
        <is>
          <t>Rampalı Giriş Paspası Toz Ve Nem Alıcı Su Emici Kaymaz Paspas Apartman Dükkan Iş Yeri Paspası</t>
        </is>
      </c>
      <c r="B73" s="24" t="inlineStr">
        <is>
          <t>769995957</t>
        </is>
      </c>
      <c r="C73" s="25" t="inlineStr">
        <is>
          <t>TOZKONTROL-IYP1-GRI-3360</t>
        </is>
      </c>
      <c r="D73" s="26" t="inlineStr">
        <is>
          <t>TOZKONTROL-IYP1-GRI-3360</t>
        </is>
      </c>
      <c r="E73" s="27" t="inlineStr">
        <is>
          <t>33 x 60</t>
        </is>
      </c>
      <c r="F73" s="28" t="inlineStr">
        <is>
          <t>TOZKONTROL-IYP1</t>
        </is>
      </c>
      <c r="G73" s="29" t="inlineStr">
        <is>
          <t>Kapı Önü Paspası</t>
        </is>
      </c>
      <c r="H73" s="30" t="inlineStr">
        <is>
          <t>Paspas Yap</t>
        </is>
      </c>
      <c r="I73" s="31" t="n">
        <v>90.0</v>
      </c>
      <c r="J73" s="32" t="n">
        <v>599.0</v>
      </c>
      <c r="K73" s="33" t="n">
        <v>599.0</v>
      </c>
      <c r="L73" s="34" t="n">
        <v>22.0</v>
      </c>
      <c r="M73" s="35" t="n">
        <v>457.2</v>
      </c>
      <c r="N73" s="36" t="inlineStr">
        <is>
          <t>25 Ağustos 08.00-1 Eylül 07.59</t>
        </is>
      </c>
      <c r="O73" s="37" t="n">
        <v>16.9</v>
      </c>
      <c r="P73" s="38" t="n">
        <v>599.0</v>
      </c>
      <c r="Q73" s="39"/>
      <c r="R73" s="40" t="n">
        <f>=IF(AND(ISBLANK(Q73), ISBLANK(U73)), "", "7 Günlük Fiyat")</f>
        <v>0.0</v>
      </c>
      <c r="S73" s="41" t="n">
        <f>=IF(OR(Q73="", R73=""), "-", IF(ISNUMBER(SEARCH("7 Günlük", R73)), IF(Q73&lt;=M73, O73, "-"), "-"))</f>
        <v>0.0</v>
      </c>
      <c r="T73" s="42" t="str">
        <f>=IF(ISBLANK(Q73), "", "Hayır")</f>
      </c>
      <c r="U73" s="43"/>
      <c r="V73" s="44" t="inlineStr">
        <is>
          <t>50461ed1-c2c8-4393-967e-55d58a3e2664</t>
        </is>
      </c>
    </row>
    <row r="74">
      <c r="A74" s="23" t="inlineStr">
        <is>
          <t>Rampalı Giriş Paspası Toz Ve Nem Alıcı Su Emici Kaymaz Paspas Apartman Dükkan Iş Yeri Paspası</t>
        </is>
      </c>
      <c r="B74" s="24" t="inlineStr">
        <is>
          <t>769995957</t>
        </is>
      </c>
      <c r="C74" s="25" t="inlineStr">
        <is>
          <t>TOZKONTROL-IYP1-GRI-80800</t>
        </is>
      </c>
      <c r="D74" s="26" t="inlineStr">
        <is>
          <t>TOZKONTROL-IYP1-GRI-80800</t>
        </is>
      </c>
      <c r="E74" s="27" t="inlineStr">
        <is>
          <t>80 x 800</t>
        </is>
      </c>
      <c r="F74" s="28" t="inlineStr">
        <is>
          <t>TOZKONTROL-IYP1</t>
        </is>
      </c>
      <c r="G74" s="29" t="inlineStr">
        <is>
          <t>Kapı Önü Paspası</t>
        </is>
      </c>
      <c r="H74" s="30" t="inlineStr">
        <is>
          <t>Paspas Yap</t>
        </is>
      </c>
      <c r="I74" s="31" t="n">
        <v>93.0</v>
      </c>
      <c r="J74" s="32" t="n">
        <v>11335.0</v>
      </c>
      <c r="K74" s="33" t="n">
        <v>10531.2</v>
      </c>
      <c r="L74" s="34" t="n">
        <v>22.0</v>
      </c>
      <c r="M74" s="35" t="n">
        <v>7321.81</v>
      </c>
      <c r="N74" s="36" t="inlineStr">
        <is>
          <t>25 Ağustos 08.00-1 Eylül 07.59</t>
        </is>
      </c>
      <c r="O74" s="37" t="n">
        <v>15.2</v>
      </c>
      <c r="P74" s="38" t="n">
        <v>10531.2</v>
      </c>
      <c r="Q74" s="39"/>
      <c r="R74" s="40" t="n">
        <f>=IF(AND(ISBLANK(Q74), ISBLANK(U74)), "", "7 Günlük Fiyat")</f>
        <v>0.0</v>
      </c>
      <c r="S74" s="41" t="n">
        <f>=IF(OR(Q74="", R74=""), "-", IF(ISNUMBER(SEARCH("7 Günlük", R74)), IF(Q74&lt;=M74, O74, "-"), "-"))</f>
        <v>0.0</v>
      </c>
      <c r="T74" s="42" t="str">
        <f>=IF(ISBLANK(Q74), "", "Hayır")</f>
      </c>
      <c r="U74" s="43"/>
      <c r="V74" s="44" t="inlineStr">
        <is>
          <t>50461ed1-c2c8-4393-967e-55d58a3e2664</t>
        </is>
      </c>
    </row>
    <row r="75">
      <c r="A75" s="23" t="inlineStr">
        <is>
          <t>Rampalı Giriş Paspası Toz Ve Nem Alıcı Su Emici Kaymaz Paspas Apartman Dükkan Iş Yeri Paspası</t>
        </is>
      </c>
      <c r="B75" s="24" t="inlineStr">
        <is>
          <t>769995957</t>
        </is>
      </c>
      <c r="C75" s="25" t="inlineStr">
        <is>
          <t>TOZKONTROL-IYP1-GRI-80750</t>
        </is>
      </c>
      <c r="D75" s="26" t="inlineStr">
        <is>
          <t>TOZKONTROL-IYP1-GRI-80750</t>
        </is>
      </c>
      <c r="E75" s="27" t="inlineStr">
        <is>
          <t>80 x 750</t>
        </is>
      </c>
      <c r="F75" s="28" t="inlineStr">
        <is>
          <t>TOZKONTROL-IYP1</t>
        </is>
      </c>
      <c r="G75" s="29" t="inlineStr">
        <is>
          <t>Kapı Önü Paspası</t>
        </is>
      </c>
      <c r="H75" s="30" t="inlineStr">
        <is>
          <t>Paspas Yap</t>
        </is>
      </c>
      <c r="I75" s="31" t="n">
        <v>93.0</v>
      </c>
      <c r="J75" s="32" t="n">
        <v>10655.0</v>
      </c>
      <c r="K75" s="33" t="n">
        <v>9923.1</v>
      </c>
      <c r="L75" s="34" t="n">
        <v>22.0</v>
      </c>
      <c r="M75" s="35" t="n">
        <v>7002.92</v>
      </c>
      <c r="N75" s="36" t="inlineStr">
        <is>
          <t>25 Ağustos 08.00-1 Eylül 07.59</t>
        </is>
      </c>
      <c r="O75" s="37" t="n">
        <v>15.5</v>
      </c>
      <c r="P75" s="38" t="n">
        <v>9923.1</v>
      </c>
      <c r="Q75" s="39"/>
      <c r="R75" s="40" t="n">
        <f>=IF(AND(ISBLANK(Q75), ISBLANK(U75)), "", "7 Günlük Fiyat")</f>
        <v>0.0</v>
      </c>
      <c r="S75" s="41" t="n">
        <f>=IF(OR(Q75="", R75=""), "-", IF(ISNUMBER(SEARCH("7 Günlük", R75)), IF(Q75&lt;=M75, O75, "-"), "-"))</f>
        <v>0.0</v>
      </c>
      <c r="T75" s="42" t="str">
        <f>=IF(ISBLANK(Q75), "", "Hayır")</f>
      </c>
      <c r="U75" s="43"/>
      <c r="V75" s="44" t="inlineStr">
        <is>
          <t>50461ed1-c2c8-4393-967e-55d58a3e2664</t>
        </is>
      </c>
    </row>
    <row r="76">
      <c r="A76" s="23" t="inlineStr">
        <is>
          <t>Rampalı Giriş Paspası Toz Ve Nem Alıcı Su Emici Kaymaz Paspas Apartman Dükkan Iş Yeri Paspası</t>
        </is>
      </c>
      <c r="B76" s="24" t="inlineStr">
        <is>
          <t>769995957</t>
        </is>
      </c>
      <c r="C76" s="25" t="inlineStr">
        <is>
          <t>TOZKONTROL-IYP1-GRI-80x1150</t>
        </is>
      </c>
      <c r="D76" s="26" t="inlineStr">
        <is>
          <t>TOZKONTROL-IYP1-GRI-80x1150</t>
        </is>
      </c>
      <c r="E76" s="27" t="inlineStr">
        <is>
          <t>80 x 1150</t>
        </is>
      </c>
      <c r="F76" s="28" t="inlineStr">
        <is>
          <t>TOZKONTROL-IYP1</t>
        </is>
      </c>
      <c r="G76" s="29" t="inlineStr">
        <is>
          <t>Kapı Önü Paspası</t>
        </is>
      </c>
      <c r="H76" s="30" t="inlineStr">
        <is>
          <t>Paspas Yap</t>
        </is>
      </c>
      <c r="I76" s="31" t="n">
        <v>93.0</v>
      </c>
      <c r="J76" s="32" t="n">
        <v>15482.0</v>
      </c>
      <c r="K76" s="33" t="n">
        <v>14437.23</v>
      </c>
      <c r="L76" s="34" t="n">
        <v>22.0</v>
      </c>
      <c r="M76" s="35" t="n">
        <v>9846.19</v>
      </c>
      <c r="N76" s="36" t="inlineStr">
        <is>
          <t>25 Ağustos 08.00-1 Eylül 07.59</t>
        </is>
      </c>
      <c r="O76" s="37" t="n">
        <v>14.8</v>
      </c>
      <c r="P76" s="38" t="n">
        <v>14437.23</v>
      </c>
      <c r="Q76" s="39"/>
      <c r="R76" s="40" t="n">
        <f>=IF(AND(ISBLANK(Q76), ISBLANK(U76)), "", "7 Günlük Fiyat")</f>
        <v>0.0</v>
      </c>
      <c r="S76" s="41" t="n">
        <f>=IF(OR(Q76="", R76=""), "-", IF(ISNUMBER(SEARCH("7 Günlük", R76)), IF(Q76&lt;=M76, O76, "-"), "-"))</f>
        <v>0.0</v>
      </c>
      <c r="T76" s="42" t="str">
        <f>=IF(ISBLANK(Q76), "", "Hayır")</f>
      </c>
      <c r="U76" s="43"/>
      <c r="V76" s="44" t="inlineStr">
        <is>
          <t>50461ed1-c2c8-4393-967e-55d58a3e2664</t>
        </is>
      </c>
    </row>
    <row r="77">
      <c r="A77" s="23" t="inlineStr">
        <is>
          <t>Rampalı Giriş Paspası Toz Ve Nem Alıcı Su Emici Kaymaz Paspas Apartman Dükkan Iş Yeri Paspası</t>
        </is>
      </c>
      <c r="B77" s="24" t="inlineStr">
        <is>
          <t>769995957</t>
        </is>
      </c>
      <c r="C77" s="25" t="inlineStr">
        <is>
          <t>TOZKONTROL-IYP1-GRI-120x1250</t>
        </is>
      </c>
      <c r="D77" s="26" t="inlineStr">
        <is>
          <t>TOZKONTROL-IYP1-GRI-120x1250</t>
        </is>
      </c>
      <c r="E77" s="27" t="inlineStr">
        <is>
          <t>120 x 1250</t>
        </is>
      </c>
      <c r="F77" s="28" t="inlineStr">
        <is>
          <t>TOZKONTROL-IYP1</t>
        </is>
      </c>
      <c r="G77" s="29" t="inlineStr">
        <is>
          <t>Kapı Önü Paspası</t>
        </is>
      </c>
      <c r="H77" s="30" t="inlineStr">
        <is>
          <t>Paspas Yap</t>
        </is>
      </c>
      <c r="I77" s="31" t="n">
        <v>93.0</v>
      </c>
      <c r="J77" s="32" t="n">
        <v>26967.0</v>
      </c>
      <c r="K77" s="33" t="n">
        <v>24736.08</v>
      </c>
      <c r="L77" s="34" t="n">
        <v>22.0</v>
      </c>
      <c r="M77" s="35" t="n">
        <v>16674.79</v>
      </c>
      <c r="N77" s="36" t="inlineStr">
        <is>
          <t>25 Ağustos 08.00-1 Eylül 07.59</t>
        </is>
      </c>
      <c r="O77" s="37" t="n">
        <v>14.3</v>
      </c>
      <c r="P77" s="38" t="n">
        <v>24736.08</v>
      </c>
      <c r="Q77" s="39"/>
      <c r="R77" s="40" t="n">
        <f>=IF(AND(ISBLANK(Q77), ISBLANK(U77)), "", "7 Günlük Fiyat")</f>
        <v>0.0</v>
      </c>
      <c r="S77" s="41" t="n">
        <f>=IF(OR(Q77="", R77=""), "-", IF(ISNUMBER(SEARCH("7 Günlük", R77)), IF(Q77&lt;=M77, O77, "-"), "-"))</f>
        <v>0.0</v>
      </c>
      <c r="T77" s="42" t="str">
        <f>=IF(ISBLANK(Q77), "", "Hayır")</f>
      </c>
      <c r="U77" s="43"/>
      <c r="V77" s="44" t="inlineStr">
        <is>
          <t>50461ed1-c2c8-4393-967e-55d58a3e2664</t>
        </is>
      </c>
    </row>
    <row r="78">
      <c r="A78" s="23" t="inlineStr">
        <is>
          <t>Rampalı Giriş Paspası Toz Ve Nem Alıcı Su Emici Kaymaz Paspas Apartman Dükkan Iş Yeri Paspası</t>
        </is>
      </c>
      <c r="B78" s="24" t="inlineStr">
        <is>
          <t>769995957</t>
        </is>
      </c>
      <c r="C78" s="25" t="inlineStr">
        <is>
          <t>TOZKONTROL-IYP1-GRI-1201200</t>
        </is>
      </c>
      <c r="D78" s="26" t="inlineStr">
        <is>
          <t>TOZKONTROL-IYP1-GRI-1201200</t>
        </is>
      </c>
      <c r="E78" s="27" t="inlineStr">
        <is>
          <t>120 x 1200</t>
        </is>
      </c>
      <c r="F78" s="28" t="inlineStr">
        <is>
          <t>TOZKONTROL-IYP1</t>
        </is>
      </c>
      <c r="G78" s="29" t="inlineStr">
        <is>
          <t>Kapı Önü Paspası</t>
        </is>
      </c>
      <c r="H78" s="30" t="inlineStr">
        <is>
          <t>Paspas Yap</t>
        </is>
      </c>
      <c r="I78" s="31" t="n">
        <v>93.0</v>
      </c>
      <c r="J78" s="32" t="n">
        <v>25926.0</v>
      </c>
      <c r="K78" s="33" t="n">
        <v>21146.51</v>
      </c>
      <c r="L78" s="34" t="n">
        <v>22.0</v>
      </c>
      <c r="M78" s="35" t="n">
        <v>13405.32</v>
      </c>
      <c r="N78" s="36" t="inlineStr">
        <is>
          <t>25 Ağustos 08.00-1 Eylül 07.59</t>
        </is>
      </c>
      <c r="O78" s="37" t="n">
        <v>12.8</v>
      </c>
      <c r="P78" s="38" t="n">
        <v>21146.51</v>
      </c>
      <c r="Q78" s="39"/>
      <c r="R78" s="40" t="n">
        <f>=IF(AND(ISBLANK(Q78), ISBLANK(U78)), "", "7 Günlük Fiyat")</f>
        <v>0.0</v>
      </c>
      <c r="S78" s="41" t="n">
        <f>=IF(OR(Q78="", R78=""), "-", IF(ISNUMBER(SEARCH("7 Günlük", R78)), IF(Q78&lt;=M78, O78, "-"), "-"))</f>
        <v>0.0</v>
      </c>
      <c r="T78" s="42" t="str">
        <f>=IF(ISBLANK(Q78), "", "Hayır")</f>
      </c>
      <c r="U78" s="43"/>
      <c r="V78" s="44" t="inlineStr">
        <is>
          <t>50461ed1-c2c8-4393-967e-55d58a3e2664</t>
        </is>
      </c>
    </row>
    <row r="79">
      <c r="A79" s="23" t="inlineStr">
        <is>
          <t>Rampalı Giriş Paspası Toz Ve Nem Alıcı Su Emici Kaymaz Paspas Apartman Dükkan Iş Yeri Paspası</t>
        </is>
      </c>
      <c r="B79" s="24" t="inlineStr">
        <is>
          <t>769995957</t>
        </is>
      </c>
      <c r="C79" s="25" t="inlineStr">
        <is>
          <t>TOZKONTROL-IYP1-GRI-1001500</t>
        </is>
      </c>
      <c r="D79" s="26" t="inlineStr">
        <is>
          <t>TOZKONTROL-IYP1-GRI-1001500</t>
        </is>
      </c>
      <c r="E79" s="27" t="inlineStr">
        <is>
          <t>100 x 1500</t>
        </is>
      </c>
      <c r="F79" s="28" t="inlineStr">
        <is>
          <t>TOZKONTROL-IYP1</t>
        </is>
      </c>
      <c r="G79" s="29" t="inlineStr">
        <is>
          <t>Kapı Önü Paspası</t>
        </is>
      </c>
      <c r="H79" s="30" t="inlineStr">
        <is>
          <t>Paspas Yap</t>
        </is>
      </c>
      <c r="I79" s="31" t="n">
        <v>93.0</v>
      </c>
      <c r="J79" s="32" t="n">
        <v>26967.0</v>
      </c>
      <c r="K79" s="33" t="n">
        <v>24570.48</v>
      </c>
      <c r="L79" s="34" t="n">
        <v>22.0</v>
      </c>
      <c r="M79" s="35" t="n">
        <v>15474.38</v>
      </c>
      <c r="N79" s="36" t="inlineStr">
        <is>
          <t>25 Ağustos 08.00-1 Eylül 07.59</t>
        </is>
      </c>
      <c r="O79" s="37" t="n">
        <v>13.0</v>
      </c>
      <c r="P79" s="38" t="n">
        <v>24570.48</v>
      </c>
      <c r="Q79" s="39"/>
      <c r="R79" s="40" t="n">
        <f>=IF(AND(ISBLANK(Q79), ISBLANK(U79)), "", "7 Günlük Fiyat")</f>
        <v>0.0</v>
      </c>
      <c r="S79" s="41" t="n">
        <f>=IF(OR(Q79="", R79=""), "-", IF(ISNUMBER(SEARCH("7 Günlük", R79)), IF(Q79&lt;=M79, O79, "-"), "-"))</f>
        <v>0.0</v>
      </c>
      <c r="T79" s="42" t="str">
        <f>=IF(ISBLANK(Q79), "", "Hayır")</f>
      </c>
      <c r="U79" s="43"/>
      <c r="V79" s="44" t="inlineStr">
        <is>
          <t>50461ed1-c2c8-4393-967e-55d58a3e2664</t>
        </is>
      </c>
    </row>
    <row r="80">
      <c r="A80" s="23" t="inlineStr">
        <is>
          <t>Rampalı Giriş Paspası Toz Ve Nem Alıcı Su Emici Kaymaz Paspas Apartman Dükkan Iş Yeri Paspası</t>
        </is>
      </c>
      <c r="B80" s="24" t="inlineStr">
        <is>
          <t>769995957</t>
        </is>
      </c>
      <c r="C80" s="25" t="inlineStr">
        <is>
          <t>TOZKONTROL-IYP1-GRI-120600</t>
        </is>
      </c>
      <c r="D80" s="26" t="inlineStr">
        <is>
          <t>TOZKONTROL-IYP1-GRI-120600</t>
        </is>
      </c>
      <c r="E80" s="27" t="inlineStr">
        <is>
          <t>120 x 600</t>
        </is>
      </c>
      <c r="F80" s="28" t="inlineStr">
        <is>
          <t>TOZKONTROL-IYP1</t>
        </is>
      </c>
      <c r="G80" s="29" t="inlineStr">
        <is>
          <t>Kapı Önü Paspası</t>
        </is>
      </c>
      <c r="H80" s="30" t="inlineStr">
        <is>
          <t>Paspas Yap</t>
        </is>
      </c>
      <c r="I80" s="31" t="n">
        <v>93.0</v>
      </c>
      <c r="J80" s="32" t="n">
        <v>12542.0</v>
      </c>
      <c r="K80" s="33" t="n">
        <v>10960.02</v>
      </c>
      <c r="L80" s="34" t="n">
        <v>22.0</v>
      </c>
      <c r="M80" s="35" t="n">
        <v>6942.65</v>
      </c>
      <c r="N80" s="36" t="inlineStr">
        <is>
          <t>25 Ağustos 08.00-1 Eylül 07.59</t>
        </is>
      </c>
      <c r="O80" s="37" t="n">
        <v>12.7</v>
      </c>
      <c r="P80" s="38" t="n">
        <v>10960.02</v>
      </c>
      <c r="Q80" s="39"/>
      <c r="R80" s="40" t="n">
        <f>=IF(AND(ISBLANK(Q80), ISBLANK(U80)), "", "7 Günlük Fiyat")</f>
        <v>0.0</v>
      </c>
      <c r="S80" s="41" t="n">
        <f>=IF(OR(Q80="", R80=""), "-", IF(ISNUMBER(SEARCH("7 Günlük", R80)), IF(Q80&lt;=M80, O80, "-"), "-"))</f>
        <v>0.0</v>
      </c>
      <c r="T80" s="42" t="str">
        <f>=IF(ISBLANK(Q80), "", "Hayır")</f>
      </c>
      <c r="U80" s="43"/>
      <c r="V80" s="44" t="inlineStr">
        <is>
          <t>50461ed1-c2c8-4393-967e-55d58a3e2664</t>
        </is>
      </c>
    </row>
    <row r="81">
      <c r="A81" s="23" t="inlineStr">
        <is>
          <t>Rampalı Giriş Paspası Toz Ve Nem Alıcı Su Emici Kaymaz Paspas Apartman Dükkan Iş Yeri Paspası</t>
        </is>
      </c>
      <c r="B81" s="24" t="inlineStr">
        <is>
          <t>769995957</t>
        </is>
      </c>
      <c r="C81" s="25" t="inlineStr">
        <is>
          <t>TOZKONTROL-IYP1-GRI-80300</t>
        </is>
      </c>
      <c r="D81" s="26" t="inlineStr">
        <is>
          <t>TOZKONTROL-IYP1-GRI-80300</t>
        </is>
      </c>
      <c r="E81" s="27" t="inlineStr">
        <is>
          <t>80 x 300</t>
        </is>
      </c>
      <c r="F81" s="28" t="inlineStr">
        <is>
          <t>TOZKONTROL-IYP1</t>
        </is>
      </c>
      <c r="G81" s="29" t="inlineStr">
        <is>
          <t>Kapı Önü Paspası</t>
        </is>
      </c>
      <c r="H81" s="30" t="inlineStr">
        <is>
          <t>Paspas Yap</t>
        </is>
      </c>
      <c r="I81" s="31" t="n">
        <v>93.0</v>
      </c>
      <c r="J81" s="32" t="n">
        <v>4496.0</v>
      </c>
      <c r="K81" s="33" t="n">
        <v>3796.78</v>
      </c>
      <c r="L81" s="34" t="n">
        <v>22.0</v>
      </c>
      <c r="M81" s="35" t="n">
        <v>2616.87</v>
      </c>
      <c r="N81" s="36" t="inlineStr">
        <is>
          <t>25 Ağustos 08.00-1 Eylül 07.59</t>
        </is>
      </c>
      <c r="O81" s="37" t="n">
        <v>14.9</v>
      </c>
      <c r="P81" s="38" t="n">
        <v>3796.78</v>
      </c>
      <c r="Q81" s="39"/>
      <c r="R81" s="40" t="n">
        <f>=IF(AND(ISBLANK(Q81), ISBLANK(U81)), "", "7 Günlük Fiyat")</f>
        <v>0.0</v>
      </c>
      <c r="S81" s="41" t="n">
        <f>=IF(OR(Q81="", R81=""), "-", IF(ISNUMBER(SEARCH("7 Günlük", R81)), IF(Q81&lt;=M81, O81, "-"), "-"))</f>
        <v>0.0</v>
      </c>
      <c r="T81" s="42" t="str">
        <f>=IF(ISBLANK(Q81), "", "Hayır")</f>
      </c>
      <c r="U81" s="43"/>
      <c r="V81" s="44" t="inlineStr">
        <is>
          <t>50461ed1-c2c8-4393-967e-55d58a3e2664</t>
        </is>
      </c>
    </row>
    <row r="82">
      <c r="A82" s="23" t="inlineStr">
        <is>
          <t>Rampalı Giriş Paspası Toz Ve Nem Alıcı Su Emici Kaymaz Paspas Apartman Dükkan Iş Yeri Paspası</t>
        </is>
      </c>
      <c r="B82" s="24" t="inlineStr">
        <is>
          <t>769995957</t>
        </is>
      </c>
      <c r="C82" s="25" t="inlineStr">
        <is>
          <t>TOZKONTROL-IYP1-GRI-120200</t>
        </is>
      </c>
      <c r="D82" s="26" t="inlineStr">
        <is>
          <t>TOZKONTROL-IYP1-GRI-120200</t>
        </is>
      </c>
      <c r="E82" s="27" t="inlineStr">
        <is>
          <t>120 x 200</t>
        </is>
      </c>
      <c r="F82" s="28" t="inlineStr">
        <is>
          <t>TOZKONTROL-IYP1</t>
        </is>
      </c>
      <c r="G82" s="29" t="inlineStr">
        <is>
          <t>Kapı Önü Paspası</t>
        </is>
      </c>
      <c r="H82" s="30" t="inlineStr">
        <is>
          <t>Paspas Yap</t>
        </is>
      </c>
      <c r="I82" s="31" t="n">
        <v>93.0</v>
      </c>
      <c r="J82" s="32" t="n">
        <v>4496.0</v>
      </c>
      <c r="K82" s="33" t="n">
        <v>4158.92</v>
      </c>
      <c r="L82" s="34" t="n">
        <v>22.0</v>
      </c>
      <c r="M82" s="35" t="n">
        <v>2996.12</v>
      </c>
      <c r="N82" s="36" t="inlineStr">
        <is>
          <t>25 Ağustos 08.00-1 Eylül 07.59</t>
        </is>
      </c>
      <c r="O82" s="37" t="n">
        <v>15.4</v>
      </c>
      <c r="P82" s="38" t="n">
        <v>4158.92</v>
      </c>
      <c r="Q82" s="39"/>
      <c r="R82" s="40" t="n">
        <f>=IF(AND(ISBLANK(Q82), ISBLANK(U82)), "", "7 Günlük Fiyat")</f>
        <v>0.0</v>
      </c>
      <c r="S82" s="41" t="n">
        <f>=IF(OR(Q82="", R82=""), "-", IF(ISNUMBER(SEARCH("7 Günlük", R82)), IF(Q82&lt;=M82, O82, "-"), "-"))</f>
        <v>0.0</v>
      </c>
      <c r="T82" s="42" t="str">
        <f>=IF(ISBLANK(Q82), "", "Hayır")</f>
      </c>
      <c r="U82" s="43"/>
      <c r="V82" s="44" t="inlineStr">
        <is>
          <t>50461ed1-c2c8-4393-967e-55d58a3e2664</t>
        </is>
      </c>
    </row>
    <row r="83">
      <c r="A83" s="23" t="inlineStr">
        <is>
          <t>Rampalı Giriş Paspası Toz Ve Nem Alıcı Su Emici Kaymaz Paspas Apartman Dükkan Iş Yeri Paspası</t>
        </is>
      </c>
      <c r="B83" s="24" t="inlineStr">
        <is>
          <t>769995957</t>
        </is>
      </c>
      <c r="C83" s="25" t="inlineStr">
        <is>
          <t>TOZKONTROL-IYP1-GRI-80600</t>
        </is>
      </c>
      <c r="D83" s="26" t="inlineStr">
        <is>
          <t>TOZKONTROL-IYP1-GRI-80600</t>
        </is>
      </c>
      <c r="E83" s="27" t="inlineStr">
        <is>
          <t>80 x 600</t>
        </is>
      </c>
      <c r="F83" s="28" t="inlineStr">
        <is>
          <t>TOZKONTROL-IYP1</t>
        </is>
      </c>
      <c r="G83" s="29" t="inlineStr">
        <is>
          <t>Kapı Önü Paspası</t>
        </is>
      </c>
      <c r="H83" s="30" t="inlineStr">
        <is>
          <t>Paspas Yap</t>
        </is>
      </c>
      <c r="I83" s="31" t="n">
        <v>93.0</v>
      </c>
      <c r="J83" s="32" t="n">
        <v>8238.0</v>
      </c>
      <c r="K83" s="33" t="n">
        <v>7627.85</v>
      </c>
      <c r="L83" s="34" t="n">
        <v>22.0</v>
      </c>
      <c r="M83" s="35" t="n">
        <v>5320.4</v>
      </c>
      <c r="N83" s="36" t="inlineStr">
        <is>
          <t>25 Ağustos 08.00-1 Eylül 07.59</t>
        </is>
      </c>
      <c r="O83" s="37" t="n">
        <v>15.2</v>
      </c>
      <c r="P83" s="38" t="n">
        <v>7627.85</v>
      </c>
      <c r="Q83" s="39"/>
      <c r="R83" s="40" t="n">
        <f>=IF(AND(ISBLANK(Q83), ISBLANK(U83)), "", "7 Günlük Fiyat")</f>
        <v>0.0</v>
      </c>
      <c r="S83" s="41" t="n">
        <f>=IF(OR(Q83="", R83=""), "-", IF(ISNUMBER(SEARCH("7 Günlük", R83)), IF(Q83&lt;=M83, O83, "-"), "-"))</f>
        <v>0.0</v>
      </c>
      <c r="T83" s="42" t="str">
        <f>=IF(ISBLANK(Q83), "", "Hayır")</f>
      </c>
      <c r="U83" s="43"/>
      <c r="V83" s="44" t="inlineStr">
        <is>
          <t>50461ed1-c2c8-4393-967e-55d58a3e2664</t>
        </is>
      </c>
    </row>
    <row r="84">
      <c r="A84" s="23" t="inlineStr">
        <is>
          <t>Rampalı Giriş Paspası Toz Ve Nem Alıcı Su Emici Kaymaz Paspas Apartman Dükkan Iş Yeri Paspası</t>
        </is>
      </c>
      <c r="B84" s="24" t="inlineStr">
        <is>
          <t>769995957</t>
        </is>
      </c>
      <c r="C84" s="25" t="inlineStr">
        <is>
          <t>TOZKONTROL-IYP1-GRI-1201100</t>
        </is>
      </c>
      <c r="D84" s="26" t="inlineStr">
        <is>
          <t>TOZKONTROL-IYP1-GRI-1201100</t>
        </is>
      </c>
      <c r="E84" s="27" t="inlineStr">
        <is>
          <t>120 x 1100</t>
        </is>
      </c>
      <c r="F84" s="28" t="inlineStr">
        <is>
          <t>TOZKONTROL-IYP1</t>
        </is>
      </c>
      <c r="G84" s="29" t="inlineStr">
        <is>
          <t>Kapı Önü Paspası</t>
        </is>
      </c>
      <c r="H84" s="30" t="inlineStr">
        <is>
          <t>Paspas Yap</t>
        </is>
      </c>
      <c r="I84" s="31" t="n">
        <v>93.0</v>
      </c>
      <c r="J84" s="32" t="n">
        <v>24129.0</v>
      </c>
      <c r="K84" s="33" t="n">
        <v>22330.07</v>
      </c>
      <c r="L84" s="34" t="n">
        <v>22.0</v>
      </c>
      <c r="M84" s="35" t="n">
        <v>15695.17</v>
      </c>
      <c r="N84" s="36" t="inlineStr">
        <is>
          <t>25 Ağustos 08.00-1 Eylül 07.59</t>
        </is>
      </c>
      <c r="O84" s="37" t="n">
        <v>15.2</v>
      </c>
      <c r="P84" s="38" t="n">
        <v>22330.07</v>
      </c>
      <c r="Q84" s="39"/>
      <c r="R84" s="40" t="n">
        <f>=IF(AND(ISBLANK(Q84), ISBLANK(U84)), "", "7 Günlük Fiyat")</f>
        <v>0.0</v>
      </c>
      <c r="S84" s="41" t="n">
        <f>=IF(OR(Q84="", R84=""), "-", IF(ISNUMBER(SEARCH("7 Günlük", R84)), IF(Q84&lt;=M84, O84, "-"), "-"))</f>
        <v>0.0</v>
      </c>
      <c r="T84" s="42" t="str">
        <f>=IF(ISBLANK(Q84), "", "Hayır")</f>
      </c>
      <c r="U84" s="43"/>
      <c r="V84" s="44" t="inlineStr">
        <is>
          <t>50461ed1-c2c8-4393-967e-55d58a3e2664</t>
        </is>
      </c>
    </row>
    <row r="85">
      <c r="A85" s="23" t="inlineStr">
        <is>
          <t>Rampalı Giriş Paspası Toz Ve Nem Alıcı Su Emici Kaymaz Paspas Apartman Dükkan Iş Yeri Paspası</t>
        </is>
      </c>
      <c r="B85" s="24" t="inlineStr">
        <is>
          <t>769995957</t>
        </is>
      </c>
      <c r="C85" s="25" t="inlineStr">
        <is>
          <t>TOZKONTROL-IYP1-GRI-5090</t>
        </is>
      </c>
      <c r="D85" s="26" t="inlineStr">
        <is>
          <t>TOZKONTROL-IYP1-GRI-5090</t>
        </is>
      </c>
      <c r="E85" s="27" t="inlineStr">
        <is>
          <t>50 x 90</t>
        </is>
      </c>
      <c r="F85" s="28" t="inlineStr">
        <is>
          <t>TOZKONTROL-IYP1</t>
        </is>
      </c>
      <c r="G85" s="29" t="inlineStr">
        <is>
          <t>Kapı Önü Paspası</t>
        </is>
      </c>
      <c r="H85" s="30" t="inlineStr">
        <is>
          <t>Paspas Yap</t>
        </is>
      </c>
      <c r="I85" s="31" t="n">
        <v>90.0</v>
      </c>
      <c r="J85" s="32" t="n">
        <v>1149.0</v>
      </c>
      <c r="K85" s="33" t="n">
        <v>985.35</v>
      </c>
      <c r="L85" s="34" t="n">
        <v>21.5</v>
      </c>
      <c r="M85" s="35" t="n">
        <v>858.69</v>
      </c>
      <c r="N85" s="36" t="inlineStr">
        <is>
          <t>25 Ağustos 08.00-1 Eylül 07.59</t>
        </is>
      </c>
      <c r="O85" s="37" t="n">
        <v>17.8</v>
      </c>
      <c r="P85" s="38" t="n">
        <v>985.35</v>
      </c>
      <c r="Q85" s="39"/>
      <c r="R85" s="40" t="n">
        <f>=IF(AND(ISBLANK(Q85), ISBLANK(U85)), "", "7 Günlük Fiyat")</f>
        <v>0.0</v>
      </c>
      <c r="S85" s="41" t="n">
        <f>=IF(OR(Q85="", R85=""), "-", IF(ISNUMBER(SEARCH("7 Günlük", R85)), IF(Q85&lt;=M85, O85, "-"), "-"))</f>
        <v>0.0</v>
      </c>
      <c r="T85" s="42" t="str">
        <f>=IF(ISBLANK(Q85), "", "Hayır")</f>
      </c>
      <c r="U85" s="43"/>
      <c r="V85" s="44" t="inlineStr">
        <is>
          <t>50461ed1-c2c8-4393-967e-55d58a3e2664</t>
        </is>
      </c>
    </row>
    <row r="86">
      <c r="A86" s="23" t="inlineStr">
        <is>
          <t>Rampalı Giriş Paspası Toz Ve Nem Alıcı Su Emici Kaymaz Paspas Apartman Dükkan Iş Yeri Paspası</t>
        </is>
      </c>
      <c r="B86" s="24" t="inlineStr">
        <is>
          <t>769995957</t>
        </is>
      </c>
      <c r="C86" s="25" t="inlineStr">
        <is>
          <t>TOZKONTROL-IYP1-GRI-4070</t>
        </is>
      </c>
      <c r="D86" s="26" t="inlineStr">
        <is>
          <t>TOZKONTROL-IYP1-GRI-4070</t>
        </is>
      </c>
      <c r="E86" s="27" t="inlineStr">
        <is>
          <t>40 x 70</t>
        </is>
      </c>
      <c r="F86" s="28" t="inlineStr">
        <is>
          <t>TOZKONTROL-IYP1</t>
        </is>
      </c>
      <c r="G86" s="29" t="inlineStr">
        <is>
          <t>Kapı Önü Paspası</t>
        </is>
      </c>
      <c r="H86" s="30" t="inlineStr">
        <is>
          <t>Paspas Yap</t>
        </is>
      </c>
      <c r="I86" s="31" t="n">
        <v>83.0</v>
      </c>
      <c r="J86" s="32" t="n">
        <v>799.0</v>
      </c>
      <c r="K86" s="33" t="n">
        <v>799.0</v>
      </c>
      <c r="L86" s="34" t="n">
        <v>22.0</v>
      </c>
      <c r="M86" s="35" t="n">
        <v>640.3</v>
      </c>
      <c r="N86" s="36" t="inlineStr">
        <is>
          <t>25 Ağustos 08.00-1 Eylül 07.59</t>
        </is>
      </c>
      <c r="O86" s="37" t="n">
        <v>17.9</v>
      </c>
      <c r="P86" s="38" t="n">
        <v>799.0</v>
      </c>
      <c r="Q86" s="39"/>
      <c r="R86" s="40" t="n">
        <f>=IF(AND(ISBLANK(Q86), ISBLANK(U86)), "", "7 Günlük Fiyat")</f>
        <v>0.0</v>
      </c>
      <c r="S86" s="41" t="n">
        <f>=IF(OR(Q86="", R86=""), "-", IF(ISNUMBER(SEARCH("7 Günlük", R86)), IF(Q86&lt;=M86, O86, "-"), "-"))</f>
        <v>0.0</v>
      </c>
      <c r="T86" s="42" t="str">
        <f>=IF(ISBLANK(Q86), "", "Hayır")</f>
      </c>
      <c r="U86" s="43"/>
      <c r="V86" s="44" t="inlineStr">
        <is>
          <t>50461ed1-c2c8-4393-967e-55d58a3e2664</t>
        </is>
      </c>
    </row>
    <row r="87">
      <c r="A87" s="23" t="inlineStr">
        <is>
          <t>Rampalı Giriş Paspası Toz Ve Nem Alıcı Su Emici Kaymaz Paspas Apartman Dükkan Iş Yeri Paspası</t>
        </is>
      </c>
      <c r="B87" s="24" t="inlineStr">
        <is>
          <t>769995957</t>
        </is>
      </c>
      <c r="C87" s="25" t="inlineStr">
        <is>
          <t>TOZKONTROL-IYP1-GRI-100650</t>
        </is>
      </c>
      <c r="D87" s="26" t="inlineStr">
        <is>
          <t>TOZKONTROL-IYP1-GRI-100650</t>
        </is>
      </c>
      <c r="E87" s="27" t="inlineStr">
        <is>
          <t>100 x 650</t>
        </is>
      </c>
      <c r="F87" s="28" t="inlineStr">
        <is>
          <t>TOZKONTROL-IYP1</t>
        </is>
      </c>
      <c r="G87" s="29" t="inlineStr">
        <is>
          <t>Kapı Önü Paspası</t>
        </is>
      </c>
      <c r="H87" s="30" t="inlineStr">
        <is>
          <t>Paspas Yap</t>
        </is>
      </c>
      <c r="I87" s="31" t="n">
        <v>93.0</v>
      </c>
      <c r="J87" s="32" t="n">
        <v>11146.0</v>
      </c>
      <c r="K87" s="33" t="n">
        <v>10379.43</v>
      </c>
      <c r="L87" s="34" t="n">
        <v>22.0</v>
      </c>
      <c r="M87" s="35" t="n">
        <v>7306.09</v>
      </c>
      <c r="N87" s="36" t="inlineStr">
        <is>
          <t>25 Ağustos 08.00-1 Eylül 07.59</t>
        </is>
      </c>
      <c r="O87" s="37" t="n">
        <v>15.4</v>
      </c>
      <c r="P87" s="38" t="n">
        <v>10379.43</v>
      </c>
      <c r="Q87" s="39"/>
      <c r="R87" s="40" t="n">
        <f>=IF(AND(ISBLANK(Q87), ISBLANK(U87)), "", "7 Günlük Fiyat")</f>
        <v>0.0</v>
      </c>
      <c r="S87" s="41" t="n">
        <f>=IF(OR(Q87="", R87=""), "-", IF(ISNUMBER(SEARCH("7 Günlük", R87)), IF(Q87&lt;=M87, O87, "-"), "-"))</f>
        <v>0.0</v>
      </c>
      <c r="T87" s="42" t="str">
        <f>=IF(ISBLANK(Q87), "", "Hayır")</f>
      </c>
      <c r="U87" s="43"/>
      <c r="V87" s="44" t="inlineStr">
        <is>
          <t>50461ed1-c2c8-4393-967e-55d58a3e2664</t>
        </is>
      </c>
    </row>
    <row r="88">
      <c r="A88" s="23" t="inlineStr">
        <is>
          <t>Rampalı Giriş Paspası Toz Ve Nem Alıcı Su Emici Kaymaz Paspas Apartman Dükkan Iş Yeri Paspası</t>
        </is>
      </c>
      <c r="B88" s="24" t="inlineStr">
        <is>
          <t>769995957</t>
        </is>
      </c>
      <c r="C88" s="25" t="inlineStr">
        <is>
          <t>TOZKONTROL-IYP1-GRI-150250</t>
        </is>
      </c>
      <c r="D88" s="26" t="inlineStr">
        <is>
          <t>TOZKONTROL-IYP1-GRI-150250</t>
        </is>
      </c>
      <c r="E88" s="27" t="inlineStr">
        <is>
          <t>150 x 250</t>
        </is>
      </c>
      <c r="F88" s="28" t="inlineStr">
        <is>
          <t>TOZKONTROL-IYP1</t>
        </is>
      </c>
      <c r="G88" s="29" t="inlineStr">
        <is>
          <t>Kapı Önü Paspası</t>
        </is>
      </c>
      <c r="H88" s="30" t="inlineStr">
        <is>
          <t>Paspas Yap</t>
        </is>
      </c>
      <c r="I88" s="31" t="n">
        <v>93.0</v>
      </c>
      <c r="J88" s="32" t="n">
        <v>6600.0</v>
      </c>
      <c r="K88" s="33" t="n">
        <v>5854.66</v>
      </c>
      <c r="L88" s="34" t="n">
        <v>22.0</v>
      </c>
      <c r="M88" s="35" t="n">
        <v>3861.78</v>
      </c>
      <c r="N88" s="36" t="inlineStr">
        <is>
          <t>25 Ağustos 08.00-1 Eylül 07.59</t>
        </is>
      </c>
      <c r="O88" s="37" t="n">
        <v>13.6</v>
      </c>
      <c r="P88" s="38" t="n">
        <v>5854.66</v>
      </c>
      <c r="Q88" s="39"/>
      <c r="R88" s="40" t="n">
        <f>=IF(AND(ISBLANK(Q88), ISBLANK(U88)), "", "7 Günlük Fiyat")</f>
        <v>0.0</v>
      </c>
      <c r="S88" s="41" t="n">
        <f>=IF(OR(Q88="", R88=""), "-", IF(ISNUMBER(SEARCH("7 Günlük", R88)), IF(Q88&lt;=M88, O88, "-"), "-"))</f>
        <v>0.0</v>
      </c>
      <c r="T88" s="42" t="str">
        <f>=IF(ISBLANK(Q88), "", "Hayır")</f>
      </c>
      <c r="U88" s="43"/>
      <c r="V88" s="44" t="inlineStr">
        <is>
          <t>50461ed1-c2c8-4393-967e-55d58a3e2664</t>
        </is>
      </c>
    </row>
    <row r="89">
      <c r="A89" s="23" t="inlineStr">
        <is>
          <t>Rampalı Giriş Paspası Toz Ve Nem Alıcı Su Emici Kaymaz Paspas Apartman Dükkan Iş Yeri Paspası</t>
        </is>
      </c>
      <c r="B89" s="24" t="inlineStr">
        <is>
          <t>769995957</t>
        </is>
      </c>
      <c r="C89" s="25" t="inlineStr">
        <is>
          <t>TOZKONTROL-IYP1-GRI-100700</t>
        </is>
      </c>
      <c r="D89" s="26" t="inlineStr">
        <is>
          <t>TOZKONTROL-IYP1-GRI-100700</t>
        </is>
      </c>
      <c r="E89" s="27" t="inlineStr">
        <is>
          <t>100 x 700</t>
        </is>
      </c>
      <c r="F89" s="28" t="inlineStr">
        <is>
          <t>TOZKONTROL-IYP1</t>
        </is>
      </c>
      <c r="G89" s="29" t="inlineStr">
        <is>
          <t>Kapı Önü Paspası</t>
        </is>
      </c>
      <c r="H89" s="30" t="inlineStr">
        <is>
          <t>Paspas Yap</t>
        </is>
      </c>
      <c r="I89" s="31" t="n">
        <v>93.0</v>
      </c>
      <c r="J89" s="32" t="n">
        <v>12074.0</v>
      </c>
      <c r="K89" s="33" t="n">
        <v>10742.07</v>
      </c>
      <c r="L89" s="34" t="n">
        <v>22.0</v>
      </c>
      <c r="M89" s="35" t="n">
        <v>6872.14</v>
      </c>
      <c r="N89" s="36" t="inlineStr">
        <is>
          <t>25 Ağustos 08.00-1 Eylül 07.59</t>
        </is>
      </c>
      <c r="O89" s="37" t="n">
        <v>12.5</v>
      </c>
      <c r="P89" s="38" t="n">
        <v>10742.07</v>
      </c>
      <c r="Q89" s="39"/>
      <c r="R89" s="40" t="n">
        <f>=IF(AND(ISBLANK(Q89), ISBLANK(U89)), "", "7 Günlük Fiyat")</f>
        <v>0.0</v>
      </c>
      <c r="S89" s="41" t="n">
        <f>=IF(OR(Q89="", R89=""), "-", IF(ISNUMBER(SEARCH("7 Günlük", R89)), IF(Q89&lt;=M89, O89, "-"), "-"))</f>
        <v>0.0</v>
      </c>
      <c r="T89" s="42" t="str">
        <f>=IF(ISBLANK(Q89), "", "Hayır")</f>
      </c>
      <c r="U89" s="43"/>
      <c r="V89" s="44" t="inlineStr">
        <is>
          <t>50461ed1-c2c8-4393-967e-55d58a3e2664</t>
        </is>
      </c>
    </row>
    <row r="90">
      <c r="A90" s="23" t="inlineStr">
        <is>
          <t>Rampalı Giriş Paspası Toz Ve Nem Alıcı Su Emici Kaymaz Paspas Apartman Dükkan Iş Yeri Paspası</t>
        </is>
      </c>
      <c r="B90" s="24" t="inlineStr">
        <is>
          <t>769995957</t>
        </is>
      </c>
      <c r="C90" s="25" t="inlineStr">
        <is>
          <t>TOZKONTROL-IYP1-GRI-100750</t>
        </is>
      </c>
      <c r="D90" s="26" t="inlineStr">
        <is>
          <t>TOZKONTROL-IYP1-GRI-100750</t>
        </is>
      </c>
      <c r="E90" s="27" t="inlineStr">
        <is>
          <t>100 x 750</t>
        </is>
      </c>
      <c r="F90" s="28" t="inlineStr">
        <is>
          <t>TOZKONTROL-IYP1</t>
        </is>
      </c>
      <c r="G90" s="29" t="inlineStr">
        <is>
          <t>Kapı Önü Paspası</t>
        </is>
      </c>
      <c r="H90" s="30" t="inlineStr">
        <is>
          <t>Paspas Yap</t>
        </is>
      </c>
      <c r="I90" s="31" t="n">
        <v>93.0</v>
      </c>
      <c r="J90" s="32" t="n">
        <v>12726.0</v>
      </c>
      <c r="K90" s="33" t="n">
        <v>11836.7</v>
      </c>
      <c r="L90" s="34" t="n">
        <v>22.0</v>
      </c>
      <c r="M90" s="35" t="n">
        <v>8775.01</v>
      </c>
      <c r="N90" s="36" t="inlineStr">
        <is>
          <t>25 Ağustos 08.00-1 Eylül 07.59</t>
        </is>
      </c>
      <c r="O90" s="37" t="n">
        <v>16.2</v>
      </c>
      <c r="P90" s="38" t="n">
        <v>11836.7</v>
      </c>
      <c r="Q90" s="39"/>
      <c r="R90" s="40" t="n">
        <f>=IF(AND(ISBLANK(Q90), ISBLANK(U90)), "", "7 Günlük Fiyat")</f>
        <v>0.0</v>
      </c>
      <c r="S90" s="41" t="n">
        <f>=IF(OR(Q90="", R90=""), "-", IF(ISNUMBER(SEARCH("7 Günlük", R90)), IF(Q90&lt;=M90, O90, "-"), "-"))</f>
        <v>0.0</v>
      </c>
      <c r="T90" s="42" t="str">
        <f>=IF(ISBLANK(Q90), "", "Hayır")</f>
      </c>
      <c r="U90" s="43"/>
      <c r="V90" s="44" t="inlineStr">
        <is>
          <t>50461ed1-c2c8-4393-967e-55d58a3e2664</t>
        </is>
      </c>
    </row>
    <row r="91">
      <c r="A91" s="23" t="inlineStr">
        <is>
          <t>Rampalı Giriş Paspası Toz Ve Nem Alıcı Su Emici Kaymaz Paspas Apartman Dükkan Iş Yeri Paspası</t>
        </is>
      </c>
      <c r="B91" s="24" t="inlineStr">
        <is>
          <t>769995957</t>
        </is>
      </c>
      <c r="C91" s="25" t="inlineStr">
        <is>
          <t>TOZKONTROL-IYP1-GRI-50120</t>
        </is>
      </c>
      <c r="D91" s="26" t="inlineStr">
        <is>
          <t>TOZKONTROL-IYP1-GRI-50120</t>
        </is>
      </c>
      <c r="E91" s="27" t="inlineStr">
        <is>
          <t>50 x 120</t>
        </is>
      </c>
      <c r="F91" s="28" t="inlineStr">
        <is>
          <t>TOZKONTROL-IYP1</t>
        </is>
      </c>
      <c r="G91" s="29" t="inlineStr">
        <is>
          <t>Kapı Önü Paspası</t>
        </is>
      </c>
      <c r="H91" s="30" t="inlineStr">
        <is>
          <t>Paspas Yap</t>
        </is>
      </c>
      <c r="I91" s="31" t="n">
        <v>87.0</v>
      </c>
      <c r="J91" s="32" t="n">
        <v>1599.0</v>
      </c>
      <c r="K91" s="33" t="n">
        <v>1354.78</v>
      </c>
      <c r="L91" s="34" t="n">
        <v>22.0</v>
      </c>
      <c r="M91" s="35" t="n">
        <v>1023.46</v>
      </c>
      <c r="N91" s="36" t="inlineStr">
        <is>
          <t>25 Ağustos 08.00-1 Eylül 07.59</t>
        </is>
      </c>
      <c r="O91" s="37" t="n">
        <v>15.3</v>
      </c>
      <c r="P91" s="38" t="n">
        <v>1354.78</v>
      </c>
      <c r="Q91" s="39"/>
      <c r="R91" s="40" t="n">
        <f>=IF(AND(ISBLANK(Q91), ISBLANK(U91)), "", "7 Günlük Fiyat")</f>
        <v>0.0</v>
      </c>
      <c r="S91" s="41" t="n">
        <f>=IF(OR(Q91="", R91=""), "-", IF(ISNUMBER(SEARCH("7 Günlük", R91)), IF(Q91&lt;=M91, O91, "-"), "-"))</f>
        <v>0.0</v>
      </c>
      <c r="T91" s="42" t="str">
        <f>=IF(ISBLANK(Q91), "", "Hayır")</f>
      </c>
      <c r="U91" s="43"/>
      <c r="V91" s="44" t="inlineStr">
        <is>
          <t>50461ed1-c2c8-4393-967e-55d58a3e2664</t>
        </is>
      </c>
    </row>
    <row r="92">
      <c r="A92" s="23" t="inlineStr">
        <is>
          <t>Rampalı Giriş Paspası Toz Ve Nem Alıcı Su Emici Kaymaz Paspas Apartman Dükkan Iş Yeri Paspası</t>
        </is>
      </c>
      <c r="B92" s="24" t="inlineStr">
        <is>
          <t>769995957</t>
        </is>
      </c>
      <c r="C92" s="25" t="inlineStr">
        <is>
          <t>TOZKONTROL-IYP1-GRI-80x1100</t>
        </is>
      </c>
      <c r="D92" s="26" t="inlineStr">
        <is>
          <t>TOZKONTROL-IYP1-GRI-80x1100</t>
        </is>
      </c>
      <c r="E92" s="27" t="inlineStr">
        <is>
          <t>80 x 1100</t>
        </is>
      </c>
      <c r="F92" s="28" t="inlineStr">
        <is>
          <t>TOZKONTROL-IYP1</t>
        </is>
      </c>
      <c r="G92" s="29" t="inlineStr">
        <is>
          <t>Kapı Önü Paspası</t>
        </is>
      </c>
      <c r="H92" s="30" t="inlineStr">
        <is>
          <t>Paspas Yap</t>
        </is>
      </c>
      <c r="I92" s="31" t="n">
        <v>93.0</v>
      </c>
      <c r="J92" s="32" t="n">
        <v>14955.0</v>
      </c>
      <c r="K92" s="33" t="n">
        <v>13958.34</v>
      </c>
      <c r="L92" s="34" t="n">
        <v>22.0</v>
      </c>
      <c r="M92" s="35" t="n">
        <v>9620.49</v>
      </c>
      <c r="N92" s="36" t="inlineStr">
        <is>
          <t>25 Ağustos 08.00-1 Eylül 07.59</t>
        </is>
      </c>
      <c r="O92" s="37" t="n">
        <v>15.1</v>
      </c>
      <c r="P92" s="38" t="n">
        <v>13958.34</v>
      </c>
      <c r="Q92" s="39"/>
      <c r="R92" s="40" t="n">
        <f>=IF(AND(ISBLANK(Q92), ISBLANK(U92)), "", "7 Günlük Fiyat")</f>
        <v>0.0</v>
      </c>
      <c r="S92" s="41" t="n">
        <f>=IF(OR(Q92="", R92=""), "-", IF(ISNUMBER(SEARCH("7 Günlük", R92)), IF(Q92&lt;=M92, O92, "-"), "-"))</f>
        <v>0.0</v>
      </c>
      <c r="T92" s="42" t="str">
        <f>=IF(ISBLANK(Q92), "", "Hayır")</f>
      </c>
      <c r="U92" s="43"/>
      <c r="V92" s="44" t="inlineStr">
        <is>
          <t>50461ed1-c2c8-4393-967e-55d58a3e2664</t>
        </is>
      </c>
    </row>
    <row r="93">
      <c r="A93" s="23" t="inlineStr">
        <is>
          <t>Rampalı Giriş Paspası Toz Ve Nem Alıcı Su Emici Kaymaz Paspas Apartman Dükkan Iş Yeri Paspası</t>
        </is>
      </c>
      <c r="B93" s="24" t="inlineStr">
        <is>
          <t>769995957</t>
        </is>
      </c>
      <c r="C93" s="25" t="inlineStr">
        <is>
          <t>TOZKONTROL-IYP1-GRI-120450</t>
        </is>
      </c>
      <c r="D93" s="26" t="inlineStr">
        <is>
          <t>TOZKONTROL-IYP1-GRI-120450</t>
        </is>
      </c>
      <c r="E93" s="27" t="inlineStr">
        <is>
          <t>120 x 450</t>
        </is>
      </c>
      <c r="F93" s="28" t="inlineStr">
        <is>
          <t>TOZKONTROL-IYP1</t>
        </is>
      </c>
      <c r="G93" s="29" t="inlineStr">
        <is>
          <t>Kapı Önü Paspası</t>
        </is>
      </c>
      <c r="H93" s="30" t="inlineStr">
        <is>
          <t>Paspas Yap</t>
        </is>
      </c>
      <c r="I93" s="31" t="n">
        <v>93.0</v>
      </c>
      <c r="J93" s="32" t="n">
        <v>9548.0</v>
      </c>
      <c r="K93" s="33" t="n">
        <v>8837.97</v>
      </c>
      <c r="L93" s="34" t="n">
        <v>22.0</v>
      </c>
      <c r="M93" s="35" t="n">
        <v>6075.96</v>
      </c>
      <c r="N93" s="36" t="inlineStr">
        <is>
          <t>25 Ağustos 08.00-1 Eylül 07.59</t>
        </is>
      </c>
      <c r="O93" s="37" t="n">
        <v>14.9</v>
      </c>
      <c r="P93" s="38" t="n">
        <v>8837.97</v>
      </c>
      <c r="Q93" s="39"/>
      <c r="R93" s="40" t="n">
        <f>=IF(AND(ISBLANK(Q93), ISBLANK(U93)), "", "7 Günlük Fiyat")</f>
        <v>0.0</v>
      </c>
      <c r="S93" s="41" t="n">
        <f>=IF(OR(Q93="", R93=""), "-", IF(ISNUMBER(SEARCH("7 Günlük", R93)), IF(Q93&lt;=M93, O93, "-"), "-"))</f>
        <v>0.0</v>
      </c>
      <c r="T93" s="42" t="str">
        <f>=IF(ISBLANK(Q93), "", "Hayır")</f>
      </c>
      <c r="U93" s="43"/>
      <c r="V93" s="44" t="inlineStr">
        <is>
          <t>50461ed1-c2c8-4393-967e-55d58a3e2664</t>
        </is>
      </c>
    </row>
    <row r="94">
      <c r="A94" s="23" t="inlineStr">
        <is>
          <t>Rampalı Giriş Paspası Toz Ve Nem Alıcı Su Emici Kaymaz Paspas Apartman Dükkan Iş Yeri Paspası</t>
        </is>
      </c>
      <c r="B94" s="24" t="inlineStr">
        <is>
          <t>769995957</t>
        </is>
      </c>
      <c r="C94" s="25" t="inlineStr">
        <is>
          <t>TOZKONTROL-IYP1-GRI-100120</t>
        </is>
      </c>
      <c r="D94" s="26" t="inlineStr">
        <is>
          <t>TOZKONTROL-IYP1-GRI-100120</t>
        </is>
      </c>
      <c r="E94" s="27" t="inlineStr">
        <is>
          <t>100 x 120</t>
        </is>
      </c>
      <c r="F94" s="28" t="inlineStr">
        <is>
          <t>TOZKONTROL-IYP1</t>
        </is>
      </c>
      <c r="G94" s="29" t="inlineStr">
        <is>
          <t>Kapı Önü Paspası</t>
        </is>
      </c>
      <c r="H94" s="30" t="inlineStr">
        <is>
          <t>Paspas Yap</t>
        </is>
      </c>
      <c r="I94" s="31" t="n">
        <v>92.0</v>
      </c>
      <c r="J94" s="32" t="n">
        <v>2759.0</v>
      </c>
      <c r="K94" s="33" t="n">
        <v>2399.01</v>
      </c>
      <c r="L94" s="34" t="n">
        <v>22.0</v>
      </c>
      <c r="M94" s="35" t="n">
        <v>1778.25</v>
      </c>
      <c r="N94" s="36" t="inlineStr">
        <is>
          <t>25 Ağustos 08.00-1 Eylül 07.59</t>
        </is>
      </c>
      <c r="O94" s="37" t="n">
        <v>14.9</v>
      </c>
      <c r="P94" s="38" t="n">
        <v>2399.01</v>
      </c>
      <c r="Q94" s="39"/>
      <c r="R94" s="40" t="n">
        <f>=IF(AND(ISBLANK(Q94), ISBLANK(U94)), "", "7 Günlük Fiyat")</f>
        <v>0.0</v>
      </c>
      <c r="S94" s="41" t="n">
        <f>=IF(OR(Q94="", R94=""), "-", IF(ISNUMBER(SEARCH("7 Günlük", R94)), IF(Q94&lt;=M94, O94, "-"), "-"))</f>
        <v>0.0</v>
      </c>
      <c r="T94" s="42" t="str">
        <f>=IF(ISBLANK(Q94), "", "Hayır")</f>
      </c>
      <c r="U94" s="43"/>
      <c r="V94" s="44" t="inlineStr">
        <is>
          <t>50461ed1-c2c8-4393-967e-55d58a3e2664</t>
        </is>
      </c>
    </row>
    <row r="95">
      <c r="A95" s="23" t="inlineStr">
        <is>
          <t>Rampalı Giriş Paspası Toz Ve Nem Alıcı Su Emici Kaymaz Paspas Apartman Dükkan Iş Yeri Paspası</t>
        </is>
      </c>
      <c r="B95" s="24" t="inlineStr">
        <is>
          <t>769995957</t>
        </is>
      </c>
      <c r="C95" s="25" t="inlineStr">
        <is>
          <t>TOZKONTROL-IYP1-GRI-1201400</t>
        </is>
      </c>
      <c r="D95" s="26" t="inlineStr">
        <is>
          <t>TOZKONTROL-IYP1-GRI-1201400</t>
        </is>
      </c>
      <c r="E95" s="27" t="inlineStr">
        <is>
          <t>120 x 1400</t>
        </is>
      </c>
      <c r="F95" s="28" t="inlineStr">
        <is>
          <t>TOZKONTROL-IYP1</t>
        </is>
      </c>
      <c r="G95" s="29" t="inlineStr">
        <is>
          <t>Kapı Önü Paspası</t>
        </is>
      </c>
      <c r="H95" s="30" t="inlineStr">
        <is>
          <t>Paspas Yap</t>
        </is>
      </c>
      <c r="I95" s="31" t="n">
        <v>93.0</v>
      </c>
      <c r="J95" s="32" t="n">
        <v>29420.0</v>
      </c>
      <c r="K95" s="33" t="n">
        <v>26700.17</v>
      </c>
      <c r="L95" s="34" t="n">
        <v>22.0</v>
      </c>
      <c r="M95" s="35" t="n">
        <v>16592.09</v>
      </c>
      <c r="N95" s="36" t="inlineStr">
        <is>
          <t>25 Ağustos 08.00-1 Eylül 07.59</t>
        </is>
      </c>
      <c r="O95" s="37" t="n">
        <v>12.7</v>
      </c>
      <c r="P95" s="38" t="n">
        <v>26700.17</v>
      </c>
      <c r="Q95" s="39"/>
      <c r="R95" s="40" t="n">
        <f>=IF(AND(ISBLANK(Q95), ISBLANK(U95)), "", "7 Günlük Fiyat")</f>
        <v>0.0</v>
      </c>
      <c r="S95" s="41" t="n">
        <f>=IF(OR(Q95="", R95=""), "-", IF(ISNUMBER(SEARCH("7 Günlük", R95)), IF(Q95&lt;=M95, O95, "-"), "-"))</f>
        <v>0.0</v>
      </c>
      <c r="T95" s="42" t="str">
        <f>=IF(ISBLANK(Q95), "", "Hayır")</f>
      </c>
      <c r="U95" s="43"/>
      <c r="V95" s="44" t="inlineStr">
        <is>
          <t>50461ed1-c2c8-4393-967e-55d58a3e2664</t>
        </is>
      </c>
    </row>
    <row r="96">
      <c r="A96" s="23" t="inlineStr">
        <is>
          <t>Nem ve Toz Alıcı Yıkanabilir Kauçuk Kenarlı Kapı Önü Paspas</t>
        </is>
      </c>
      <c r="B96" s="24" t="inlineStr">
        <is>
          <t>1094094672</t>
        </is>
      </c>
      <c r="C96" s="25" t="inlineStr">
        <is>
          <t>RAMPALIPOLI-40x60</t>
        </is>
      </c>
      <c r="D96" s="26" t="inlineStr">
        <is>
          <t>RAMPALIPOLI-40x60</t>
        </is>
      </c>
      <c r="E96" s="27" t="inlineStr">
        <is>
          <t>40 x 60</t>
        </is>
      </c>
      <c r="F96" s="28" t="inlineStr">
        <is>
          <t>RAMPALIPOLI</t>
        </is>
      </c>
      <c r="G96" s="29" t="inlineStr">
        <is>
          <t>Kapı Önü Paspası</t>
        </is>
      </c>
      <c r="H96" s="30" t="inlineStr">
        <is>
          <t>Paspas Yap</t>
        </is>
      </c>
      <c r="I96" s="31" t="n">
        <v>75.0</v>
      </c>
      <c r="J96" s="32" t="n">
        <v>649.0</v>
      </c>
      <c r="K96" s="33" t="n">
        <v>582.13</v>
      </c>
      <c r="L96" s="34" t="n">
        <v>21.5</v>
      </c>
      <c r="M96" s="35" t="n">
        <v>493.6</v>
      </c>
      <c r="N96" s="36" t="inlineStr">
        <is>
          <t>25 Ağustos 08.00-1 Eylül 07.59</t>
        </is>
      </c>
      <c r="O96" s="37" t="n">
        <v>18.0</v>
      </c>
      <c r="P96" s="38" t="n">
        <v>582.13</v>
      </c>
      <c r="Q96" s="39"/>
      <c r="R96" s="40" t="n">
        <f>=IF(AND(ISBLANK(Q96), ISBLANK(U96)), "", "7 Günlük Fiyat")</f>
        <v>0.0</v>
      </c>
      <c r="S96" s="41" t="n">
        <f>=IF(OR(Q96="", R96=""), "-", IF(ISNUMBER(SEARCH("7 Günlük", R96)), IF(Q96&lt;=M96, O96, "-"), "-"))</f>
        <v>0.0</v>
      </c>
      <c r="T96" s="42" t="str">
        <f>=IF(ISBLANK(Q96), "", "Hayır")</f>
      </c>
      <c r="U96" s="43"/>
      <c r="V96" s="44" t="inlineStr">
        <is>
          <t>50461ed1-c2c8-4393-967e-55d58a3e2664</t>
        </is>
      </c>
    </row>
    <row r="97">
      <c r="A97" s="23" t="inlineStr">
        <is>
          <t>Nem ve Toz Alıcı Yıkanabilir Kauçuk Kenarlı Kapı Önü Paspas</t>
        </is>
      </c>
      <c r="B97" s="24" t="inlineStr">
        <is>
          <t>1094094672</t>
        </is>
      </c>
      <c r="C97" s="25" t="inlineStr">
        <is>
          <t>RAMPALIPOLI-50x80</t>
        </is>
      </c>
      <c r="D97" s="26" t="inlineStr">
        <is>
          <t>RAMPALIPOLI-50x80</t>
        </is>
      </c>
      <c r="E97" s="27" t="inlineStr">
        <is>
          <t>50 x 80</t>
        </is>
      </c>
      <c r="F97" s="28" t="inlineStr">
        <is>
          <t>RAMPALIPOLI</t>
        </is>
      </c>
      <c r="G97" s="29" t="inlineStr">
        <is>
          <t>Kapı Önü Paspası</t>
        </is>
      </c>
      <c r="H97" s="30" t="inlineStr">
        <is>
          <t>Paspas Yap</t>
        </is>
      </c>
      <c r="I97" s="31" t="n">
        <v>71.0</v>
      </c>
      <c r="J97" s="32" t="n">
        <v>799.0</v>
      </c>
      <c r="K97" s="33" t="n">
        <v>799.0</v>
      </c>
      <c r="L97" s="34" t="n">
        <v>22.0</v>
      </c>
      <c r="M97" s="35" t="n">
        <v>595.36</v>
      </c>
      <c r="N97" s="36" t="inlineStr">
        <is>
          <t>25 Ağustos 08.00-1 Eylül 07.59</t>
        </is>
      </c>
      <c r="O97" s="37" t="n">
        <v>16.5</v>
      </c>
      <c r="P97" s="38" t="n">
        <v>799.0</v>
      </c>
      <c r="Q97" s="39"/>
      <c r="R97" s="40" t="n">
        <f>=IF(AND(ISBLANK(Q97), ISBLANK(U97)), "", "7 Günlük Fiyat")</f>
        <v>0.0</v>
      </c>
      <c r="S97" s="41" t="n">
        <f>=IF(OR(Q97="", R97=""), "-", IF(ISNUMBER(SEARCH("7 Günlük", R97)), IF(Q97&lt;=M97, O97, "-"), "-"))</f>
        <v>0.0</v>
      </c>
      <c r="T97" s="42" t="str">
        <f>=IF(ISBLANK(Q97), "", "Hayır")</f>
      </c>
      <c r="U97" s="43"/>
      <c r="V97" s="44" t="inlineStr">
        <is>
          <t>50461ed1-c2c8-4393-967e-55d58a3e2664</t>
        </is>
      </c>
    </row>
    <row r="98">
      <c r="A98" s="23" t="inlineStr">
        <is>
          <t>Rampalı Giriş Paspası Toz Ve Nem Alıcı Su Emici Kaymaz Paspas Apartman Dükkan Iş Yeri Paspası</t>
        </is>
      </c>
      <c r="B98" s="24" t="inlineStr">
        <is>
          <t>769999711</t>
        </is>
      </c>
      <c r="C98" s="25" t="inlineStr">
        <is>
          <t>TOZKONTROL-IYP1-SIYAH-80800</t>
        </is>
      </c>
      <c r="D98" s="26" t="inlineStr">
        <is>
          <t>TOZKONTROL-IYP1-SIYAH-80800</t>
        </is>
      </c>
      <c r="E98" s="27" t="inlineStr">
        <is>
          <t>80 x 800</t>
        </is>
      </c>
      <c r="F98" s="28" t="inlineStr">
        <is>
          <t>TOZKONTROL-IYP1</t>
        </is>
      </c>
      <c r="G98" s="29" t="inlineStr">
        <is>
          <t>Kapı Önü Paspası</t>
        </is>
      </c>
      <c r="H98" s="30" t="inlineStr">
        <is>
          <t>Paspas Yap</t>
        </is>
      </c>
      <c r="I98" s="31" t="n">
        <v>93.0</v>
      </c>
      <c r="J98" s="32" t="n">
        <v>11335.0</v>
      </c>
      <c r="K98" s="33" t="n">
        <v>10549.39</v>
      </c>
      <c r="L98" s="34" t="n">
        <v>22.0</v>
      </c>
      <c r="M98" s="35" t="n">
        <v>7403.13</v>
      </c>
      <c r="N98" s="36" t="inlineStr">
        <is>
          <t>25 Ağustos 08.00-1 Eylül 07.59</t>
        </is>
      </c>
      <c r="O98" s="37" t="n">
        <v>17.2</v>
      </c>
      <c r="P98" s="38" t="n">
        <v>10549.39</v>
      </c>
      <c r="Q98" s="39"/>
      <c r="R98" s="40" t="n">
        <f>=IF(AND(ISBLANK(Q98), ISBLANK(U98)), "", "7 Günlük Fiyat")</f>
        <v>0.0</v>
      </c>
      <c r="S98" s="41" t="n">
        <f>=IF(OR(Q98="", R98=""), "-", IF(ISNUMBER(SEARCH("7 Günlük", R98)), IF(Q98&lt;=M98, O98, "-"), "-"))</f>
        <v>0.0</v>
      </c>
      <c r="T98" s="42" t="str">
        <f>=IF(ISBLANK(Q98), "", "Hayır")</f>
      </c>
      <c r="U98" s="43"/>
      <c r="V98" s="44" t="inlineStr">
        <is>
          <t>50461ed1-c2c8-4393-967e-55d58a3e2664</t>
        </is>
      </c>
    </row>
    <row r="99">
      <c r="A99" s="23" t="inlineStr">
        <is>
          <t>Rampalı Giriş Paspası Toz Ve Nem Alıcı Su Emici Kaymaz Paspas Apartman Dükkan Iş Yeri Paspası</t>
        </is>
      </c>
      <c r="B99" s="24" t="inlineStr">
        <is>
          <t>769999711</t>
        </is>
      </c>
      <c r="C99" s="25" t="inlineStr">
        <is>
          <t>TOZKONTROL-IYP1-SIYAH-1201100</t>
        </is>
      </c>
      <c r="D99" s="26" t="inlineStr">
        <is>
          <t>TOZKONTROL-IYP1-SIYAH-1201100</t>
        </is>
      </c>
      <c r="E99" s="27" t="inlineStr">
        <is>
          <t>120 x 1100</t>
        </is>
      </c>
      <c r="F99" s="28" t="inlineStr">
        <is>
          <t>TOZKONTROL-IYP1</t>
        </is>
      </c>
      <c r="G99" s="29" t="inlineStr">
        <is>
          <t>Kapı Önü Paspası</t>
        </is>
      </c>
      <c r="H99" s="30" t="inlineStr">
        <is>
          <t>Paspas Yap</t>
        </is>
      </c>
      <c r="I99" s="31" t="n">
        <v>93.0</v>
      </c>
      <c r="J99" s="32" t="n">
        <v>24129.0</v>
      </c>
      <c r="K99" s="33" t="n">
        <v>22213.23</v>
      </c>
      <c r="L99" s="34" t="n">
        <v>22.0</v>
      </c>
      <c r="M99" s="35" t="n">
        <v>15342.31</v>
      </c>
      <c r="N99" s="36" t="inlineStr">
        <is>
          <t>25 Ağustos 08.00-1 Eylül 07.59</t>
        </is>
      </c>
      <c r="O99" s="37" t="n">
        <v>16.8</v>
      </c>
      <c r="P99" s="38" t="n">
        <v>22213.23</v>
      </c>
      <c r="Q99" s="39"/>
      <c r="R99" s="40" t="n">
        <f>=IF(AND(ISBLANK(Q99), ISBLANK(U99)), "", "7 Günlük Fiyat")</f>
        <v>0.0</v>
      </c>
      <c r="S99" s="41" t="n">
        <f>=IF(OR(Q99="", R99=""), "-", IF(ISNUMBER(SEARCH("7 Günlük", R99)), IF(Q99&lt;=M99, O99, "-"), "-"))</f>
        <v>0.0</v>
      </c>
      <c r="T99" s="42" t="str">
        <f>=IF(ISBLANK(Q99), "", "Hayır")</f>
      </c>
      <c r="U99" s="43"/>
      <c r="V99" s="44" t="inlineStr">
        <is>
          <t>50461ed1-c2c8-4393-967e-55d58a3e2664</t>
        </is>
      </c>
    </row>
    <row r="100">
      <c r="A100" s="23" t="inlineStr">
        <is>
          <t>Rampalı Giriş Paspası Toz Ve Nem Alıcı Su Emici Kaymaz Paspas Apartman Dükkan Iş Yeri Paspası</t>
        </is>
      </c>
      <c r="B100" s="24" t="inlineStr">
        <is>
          <t>769999711</t>
        </is>
      </c>
      <c r="C100" s="25" t="inlineStr">
        <is>
          <t>TOZKONTROL-IYP1-SIYAH-100500</t>
        </is>
      </c>
      <c r="D100" s="26" t="inlineStr">
        <is>
          <t>TOZKONTROL-IYP1-SIYAH-100500</t>
        </is>
      </c>
      <c r="E100" s="27" t="inlineStr">
        <is>
          <t>100 x 500</t>
        </is>
      </c>
      <c r="F100" s="28" t="inlineStr">
        <is>
          <t>TOZKONTROL-IYP1</t>
        </is>
      </c>
      <c r="G100" s="29" t="inlineStr">
        <is>
          <t>Kapı Önü Paspası</t>
        </is>
      </c>
      <c r="H100" s="30" t="inlineStr">
        <is>
          <t>Paspas Yap</t>
        </is>
      </c>
      <c r="I100" s="31" t="n">
        <v>93.0</v>
      </c>
      <c r="J100" s="32" t="n">
        <v>8475.0</v>
      </c>
      <c r="K100" s="33" t="n">
        <v>7862.26</v>
      </c>
      <c r="L100" s="34" t="n">
        <v>22.0</v>
      </c>
      <c r="M100" s="35" t="n">
        <v>5575.88</v>
      </c>
      <c r="N100" s="36" t="inlineStr">
        <is>
          <t>25 Ağustos 08.00-1 Eylül 07.59</t>
        </is>
      </c>
      <c r="O100" s="37" t="n">
        <v>17.3</v>
      </c>
      <c r="P100" s="38" t="n">
        <v>7862.26</v>
      </c>
      <c r="Q100" s="39"/>
      <c r="R100" s="40" t="n">
        <f>=IF(AND(ISBLANK(Q100), ISBLANK(U100)), "", "7 Günlük Fiyat")</f>
        <v>0.0</v>
      </c>
      <c r="S100" s="41" t="n">
        <f>=IF(OR(Q100="", R100=""), "-", IF(ISNUMBER(SEARCH("7 Günlük", R100)), IF(Q100&lt;=M100, O100, "-"), "-"))</f>
        <v>0.0</v>
      </c>
      <c r="T100" s="42" t="str">
        <f>=IF(ISBLANK(Q100), "", "Hayır")</f>
      </c>
      <c r="U100" s="43"/>
      <c r="V100" s="44" t="inlineStr">
        <is>
          <t>50461ed1-c2c8-4393-967e-55d58a3e2664</t>
        </is>
      </c>
    </row>
    <row r="101">
      <c r="A101" s="23" t="inlineStr">
        <is>
          <t>Rampalı Giriş Paspası Toz Ve Nem Alıcı Su Emici Kaymaz Paspas Apartman Dükkan Iş Yeri Paspası</t>
        </is>
      </c>
      <c r="B101" s="24" t="inlineStr">
        <is>
          <t>769999711</t>
        </is>
      </c>
      <c r="C101" s="25" t="inlineStr">
        <is>
          <t>TOZKONTROL-IYP1-SIYAH-80x1400</t>
        </is>
      </c>
      <c r="D101" s="26" t="inlineStr">
        <is>
          <t>TOZKONTROL-IYP1-SIYAH-80x1400</t>
        </is>
      </c>
      <c r="E101" s="27" t="inlineStr">
        <is>
          <t>80 x 1400</t>
        </is>
      </c>
      <c r="F101" s="28" t="inlineStr">
        <is>
          <t>TOZKONTROL-IYP1</t>
        </is>
      </c>
      <c r="G101" s="29" t="inlineStr">
        <is>
          <t>Kapı Önü Paspası</t>
        </is>
      </c>
      <c r="H101" s="30" t="inlineStr">
        <is>
          <t>Paspas Yap</t>
        </is>
      </c>
      <c r="I101" s="31" t="n">
        <v>93.0</v>
      </c>
      <c r="J101" s="32" t="n">
        <v>21459.0</v>
      </c>
      <c r="K101" s="33" t="n">
        <v>19804.75</v>
      </c>
      <c r="L101" s="34" t="n">
        <v>22.0</v>
      </c>
      <c r="M101" s="35" t="n">
        <v>13616.76</v>
      </c>
      <c r="N101" s="36" t="inlineStr">
        <is>
          <t>25 Ağustos 08.00-1 Eylül 07.59</t>
        </is>
      </c>
      <c r="O101" s="37" t="n">
        <v>16.8</v>
      </c>
      <c r="P101" s="38" t="n">
        <v>19804.75</v>
      </c>
      <c r="Q101" s="39"/>
      <c r="R101" s="40" t="n">
        <f>=IF(AND(ISBLANK(Q101), ISBLANK(U101)), "", "7 Günlük Fiyat")</f>
        <v>0.0</v>
      </c>
      <c r="S101" s="41" t="n">
        <f>=IF(OR(Q101="", R101=""), "-", IF(ISNUMBER(SEARCH("7 Günlük", R101)), IF(Q101&lt;=M101, O101, "-"), "-"))</f>
        <v>0.0</v>
      </c>
      <c r="T101" s="42" t="str">
        <f>=IF(ISBLANK(Q101), "", "Hayır")</f>
      </c>
      <c r="U101" s="43"/>
      <c r="V101" s="44" t="inlineStr">
        <is>
          <t>50461ed1-c2c8-4393-967e-55d58a3e2664</t>
        </is>
      </c>
    </row>
    <row r="102">
      <c r="A102" s="23" t="inlineStr">
        <is>
          <t>Rampalı Giriş Paspası Toz Ve Nem Alıcı Su Emici Kaymaz Paspas Apartman Dükkan Iş Yeri Paspası</t>
        </is>
      </c>
      <c r="B102" s="24" t="inlineStr">
        <is>
          <t>769999711</t>
        </is>
      </c>
      <c r="C102" s="25" t="inlineStr">
        <is>
          <t>TOZKONTROL-IYP1-SIYAH-3360</t>
        </is>
      </c>
      <c r="D102" s="26" t="inlineStr">
        <is>
          <t>TOZKONTROL-IYP1-SIYAH-3360</t>
        </is>
      </c>
      <c r="E102" s="27" t="inlineStr">
        <is>
          <t>33 x 60</t>
        </is>
      </c>
      <c r="F102" s="28" t="inlineStr">
        <is>
          <t>TOZKONTROL-IYP1</t>
        </is>
      </c>
      <c r="G102" s="29" t="inlineStr">
        <is>
          <t>Kapı Önü Paspası</t>
        </is>
      </c>
      <c r="H102" s="30" t="inlineStr">
        <is>
          <t>Paspas Yap</t>
        </is>
      </c>
      <c r="I102" s="31" t="n">
        <v>91.0</v>
      </c>
      <c r="J102" s="32" t="n">
        <v>599.0</v>
      </c>
      <c r="K102" s="33" t="n">
        <v>599.0</v>
      </c>
      <c r="L102" s="34" t="n">
        <v>22.0</v>
      </c>
      <c r="M102" s="35" t="n">
        <v>438.96</v>
      </c>
      <c r="N102" s="36" t="inlineStr">
        <is>
          <t>25 Ağustos 08.00-1 Eylül 07.59</t>
        </is>
      </c>
      <c r="O102" s="37" t="n">
        <v>17.7</v>
      </c>
      <c r="P102" s="38" t="n">
        <v>599.0</v>
      </c>
      <c r="Q102" s="39"/>
      <c r="R102" s="40" t="n">
        <f>=IF(AND(ISBLANK(Q102), ISBLANK(U102)), "", "7 Günlük Fiyat")</f>
        <v>0.0</v>
      </c>
      <c r="S102" s="41" t="n">
        <f>=IF(OR(Q102="", R102=""), "-", IF(ISNUMBER(SEARCH("7 Günlük", R102)), IF(Q102&lt;=M102, O102, "-"), "-"))</f>
        <v>0.0</v>
      </c>
      <c r="T102" s="42" t="str">
        <f>=IF(ISBLANK(Q102), "", "Hayır")</f>
      </c>
      <c r="U102" s="43"/>
      <c r="V102" s="44" t="inlineStr">
        <is>
          <t>50461ed1-c2c8-4393-967e-55d58a3e2664</t>
        </is>
      </c>
    </row>
    <row r="103">
      <c r="A103" s="23" t="inlineStr">
        <is>
          <t>Rampalı Giriş Paspası Toz Ve Nem Alıcı Su Emici Kaymaz Paspas Apartman Dükkan Iş Yeri Paspası</t>
        </is>
      </c>
      <c r="B103" s="24" t="inlineStr">
        <is>
          <t>769999711</t>
        </is>
      </c>
      <c r="C103" s="25" t="inlineStr">
        <is>
          <t>TOZKONTROL-IYP1-SIYAH-80x1350</t>
        </is>
      </c>
      <c r="D103" s="26" t="inlineStr">
        <is>
          <t>TOZKONTROL-IYP1-SIYAH-80x1350</t>
        </is>
      </c>
      <c r="E103" s="27" t="inlineStr">
        <is>
          <t>80 x 1350</t>
        </is>
      </c>
      <c r="F103" s="28" t="inlineStr">
        <is>
          <t>TOZKONTROL-IYP1</t>
        </is>
      </c>
      <c r="G103" s="29" t="inlineStr">
        <is>
          <t>Kapı Önü Paspası</t>
        </is>
      </c>
      <c r="H103" s="30" t="inlineStr">
        <is>
          <t>Paspas Yap</t>
        </is>
      </c>
      <c r="I103" s="31" t="n">
        <v>93.0</v>
      </c>
      <c r="J103" s="32" t="n">
        <v>20833.0</v>
      </c>
      <c r="K103" s="33" t="n">
        <v>19242.29</v>
      </c>
      <c r="L103" s="34" t="n">
        <v>22.0</v>
      </c>
      <c r="M103" s="35" t="n">
        <v>12875.62</v>
      </c>
      <c r="N103" s="36" t="inlineStr">
        <is>
          <t>25 Ağustos 08.00-1 Eylül 07.59</t>
        </is>
      </c>
      <c r="O103" s="37" t="n">
        <v>16.3</v>
      </c>
      <c r="P103" s="38" t="n">
        <v>19242.29</v>
      </c>
      <c r="Q103" s="39"/>
      <c r="R103" s="40" t="n">
        <f>=IF(AND(ISBLANK(Q103), ISBLANK(U103)), "", "7 Günlük Fiyat")</f>
        <v>0.0</v>
      </c>
      <c r="S103" s="41" t="n">
        <f>=IF(OR(Q103="", R103=""), "-", IF(ISNUMBER(SEARCH("7 Günlük", R103)), IF(Q103&lt;=M103, O103, "-"), "-"))</f>
        <v>0.0</v>
      </c>
      <c r="T103" s="42" t="str">
        <f>=IF(ISBLANK(Q103), "", "Hayır")</f>
      </c>
      <c r="U103" s="43"/>
      <c r="V103" s="44" t="inlineStr">
        <is>
          <t>50461ed1-c2c8-4393-967e-55d58a3e2664</t>
        </is>
      </c>
    </row>
    <row r="104">
      <c r="A104" s="23" t="inlineStr">
        <is>
          <t>Rampalı Giriş Paspası Toz Ve Nem Alıcı Su Emici Kaymaz Paspas Apartman Dükkan Iş Yeri Paspası</t>
        </is>
      </c>
      <c r="B104" s="24" t="inlineStr">
        <is>
          <t>769999711</t>
        </is>
      </c>
      <c r="C104" s="25" t="inlineStr">
        <is>
          <t>TOZKONTROL-IYP1-SIYAH-5090</t>
        </is>
      </c>
      <c r="D104" s="26" t="inlineStr">
        <is>
          <t>TOZKONTROL-IYP1-SIYAH-5090</t>
        </is>
      </c>
      <c r="E104" s="27" t="inlineStr">
        <is>
          <t>50 x 90</t>
        </is>
      </c>
      <c r="F104" s="28" t="inlineStr">
        <is>
          <t>TOZKONTROL-IYP1</t>
        </is>
      </c>
      <c r="G104" s="29" t="inlineStr">
        <is>
          <t>Kapı Önü Paspası</t>
        </is>
      </c>
      <c r="H104" s="30" t="inlineStr">
        <is>
          <t>Paspas Yap</t>
        </is>
      </c>
      <c r="I104" s="31" t="n">
        <v>90.0</v>
      </c>
      <c r="J104" s="32" t="n">
        <v>1149.0</v>
      </c>
      <c r="K104" s="33" t="n">
        <v>985.35</v>
      </c>
      <c r="L104" s="34" t="n">
        <v>21.7</v>
      </c>
      <c r="M104" s="35" t="n">
        <v>828.63</v>
      </c>
      <c r="N104" s="36" t="inlineStr">
        <is>
          <t>25 Ağustos 08.00-1 Eylül 07.59</t>
        </is>
      </c>
      <c r="O104" s="37" t="n">
        <v>18.7</v>
      </c>
      <c r="P104" s="38" t="n">
        <v>985.35</v>
      </c>
      <c r="Q104" s="39"/>
      <c r="R104" s="40" t="n">
        <f>=IF(AND(ISBLANK(Q104), ISBLANK(U104)), "", "7 Günlük Fiyat")</f>
        <v>0.0</v>
      </c>
      <c r="S104" s="41" t="n">
        <f>=IF(OR(Q104="", R104=""), "-", IF(ISNUMBER(SEARCH("7 Günlük", R104)), IF(Q104&lt;=M104, O104, "-"), "-"))</f>
        <v>0.0</v>
      </c>
      <c r="T104" s="42" t="str">
        <f>=IF(ISBLANK(Q104), "", "Hayır")</f>
      </c>
      <c r="U104" s="43"/>
      <c r="V104" s="44" t="inlineStr">
        <is>
          <t>50461ed1-c2c8-4393-967e-55d58a3e2664</t>
        </is>
      </c>
    </row>
    <row r="105">
      <c r="A105" s="23" t="inlineStr">
        <is>
          <t>Rampalı Giriş Paspası Toz Ve Nem Alıcı Su Emici Kaymaz Paspas Apartman Dükkan Iş Yeri Paspası</t>
        </is>
      </c>
      <c r="B105" s="24" t="inlineStr">
        <is>
          <t>769999711</t>
        </is>
      </c>
      <c r="C105" s="25" t="inlineStr">
        <is>
          <t>TOZKONTROL-IYP1-SIYAH-1201500</t>
        </is>
      </c>
      <c r="D105" s="26" t="inlineStr">
        <is>
          <t>TOZKONTROL-IYP1-SIYAH-1201500</t>
        </is>
      </c>
      <c r="E105" s="27" t="inlineStr">
        <is>
          <t>120 x 1500</t>
        </is>
      </c>
      <c r="F105" s="28" t="inlineStr">
        <is>
          <t>TOZKONTROL-IYP1</t>
        </is>
      </c>
      <c r="G105" s="29" t="inlineStr">
        <is>
          <t>Kapı Önü Paspası</t>
        </is>
      </c>
      <c r="H105" s="30" t="inlineStr">
        <is>
          <t>Paspas Yap</t>
        </is>
      </c>
      <c r="I105" s="31" t="n">
        <v>93.0</v>
      </c>
      <c r="J105" s="32" t="n">
        <v>31217.0</v>
      </c>
      <c r="K105" s="33" t="n">
        <v>21780.24</v>
      </c>
      <c r="L105" s="34" t="n">
        <v>22.0</v>
      </c>
      <c r="M105" s="35" t="n">
        <v>14294.74</v>
      </c>
      <c r="N105" s="36" t="inlineStr">
        <is>
          <t>25 Ağustos 08.00-1 Eylül 07.59</t>
        </is>
      </c>
      <c r="O105" s="37" t="n">
        <v>14.0</v>
      </c>
      <c r="P105" s="38" t="n">
        <v>21780.24</v>
      </c>
      <c r="Q105" s="39"/>
      <c r="R105" s="40" t="n">
        <f>=IF(AND(ISBLANK(Q105), ISBLANK(U105)), "", "7 Günlük Fiyat")</f>
        <v>0.0</v>
      </c>
      <c r="S105" s="41" t="n">
        <f>=IF(OR(Q105="", R105=""), "-", IF(ISNUMBER(SEARCH("7 Günlük", R105)), IF(Q105&lt;=M105, O105, "-"), "-"))</f>
        <v>0.0</v>
      </c>
      <c r="T105" s="42" t="str">
        <f>=IF(ISBLANK(Q105), "", "Hayır")</f>
      </c>
      <c r="U105" s="43"/>
      <c r="V105" s="44" t="inlineStr">
        <is>
          <t>50461ed1-c2c8-4393-967e-55d58a3e2664</t>
        </is>
      </c>
    </row>
    <row r="106">
      <c r="A106" s="23" t="inlineStr">
        <is>
          <t>Rampalı Giriş Paspası Toz Ve Nem Alıcı Su Emici Kaymaz Paspas Apartman Dükkan Iş Yeri Paspası</t>
        </is>
      </c>
      <c r="B106" s="24" t="inlineStr">
        <is>
          <t>769999711</t>
        </is>
      </c>
      <c r="C106" s="25" t="inlineStr">
        <is>
          <t>TOZKONTROL-IYP1-SIYAH-1201300</t>
        </is>
      </c>
      <c r="D106" s="26" t="inlineStr">
        <is>
          <t>TOZKONTROL-IYP1-SIYAH-1201300</t>
        </is>
      </c>
      <c r="E106" s="27" t="inlineStr">
        <is>
          <t>120 x 1300</t>
        </is>
      </c>
      <c r="F106" s="28" t="inlineStr">
        <is>
          <t>TOZKONTROL-IYP1</t>
        </is>
      </c>
      <c r="G106" s="29" t="inlineStr">
        <is>
          <t>Kapı Önü Paspası</t>
        </is>
      </c>
      <c r="H106" s="30" t="inlineStr">
        <is>
          <t>Paspas Yap</t>
        </is>
      </c>
      <c r="I106" s="31" t="n">
        <v>93.0</v>
      </c>
      <c r="J106" s="32" t="n">
        <v>27622.0</v>
      </c>
      <c r="K106" s="33" t="n">
        <v>25470.61</v>
      </c>
      <c r="L106" s="34" t="n">
        <v>22.0</v>
      </c>
      <c r="M106" s="35" t="n">
        <v>17337.88</v>
      </c>
      <c r="N106" s="36" t="inlineStr">
        <is>
          <t>25 Ağustos 08.00-1 Eylül 07.59</t>
        </is>
      </c>
      <c r="O106" s="37" t="n">
        <v>16.6</v>
      </c>
      <c r="P106" s="38" t="n">
        <v>25470.61</v>
      </c>
      <c r="Q106" s="39"/>
      <c r="R106" s="40" t="n">
        <f>=IF(AND(ISBLANK(Q106), ISBLANK(U106)), "", "7 Günlük Fiyat")</f>
        <v>0.0</v>
      </c>
      <c r="S106" s="41" t="n">
        <f>=IF(OR(Q106="", R106=""), "-", IF(ISNUMBER(SEARCH("7 Günlük", R106)), IF(Q106&lt;=M106, O106, "-"), "-"))</f>
        <v>0.0</v>
      </c>
      <c r="T106" s="42" t="str">
        <f>=IF(ISBLANK(Q106), "", "Hayır")</f>
      </c>
      <c r="U106" s="43"/>
      <c r="V106" s="44" t="inlineStr">
        <is>
          <t>50461ed1-c2c8-4393-967e-55d58a3e2664</t>
        </is>
      </c>
    </row>
    <row r="107">
      <c r="A107" s="23" t="inlineStr">
        <is>
          <t>Rampalı Giriş Paspası Toz Ve Nem Alıcı Su Emici Kaymaz Paspas Apartman Dükkan Iş Yeri Paspası</t>
        </is>
      </c>
      <c r="B107" s="24" t="inlineStr">
        <is>
          <t>769999711</t>
        </is>
      </c>
      <c r="C107" s="25" t="inlineStr">
        <is>
          <t>TOZKONTROL-IYP1-SIYAH-120750</t>
        </is>
      </c>
      <c r="D107" s="26" t="inlineStr">
        <is>
          <t>TOZKONTROL-IYP1-SIYAH-120750</t>
        </is>
      </c>
      <c r="E107" s="27" t="inlineStr">
        <is>
          <t>120 x 750</t>
        </is>
      </c>
      <c r="F107" s="28" t="inlineStr">
        <is>
          <t>TOZKONTROL-IYP1</t>
        </is>
      </c>
      <c r="G107" s="29" t="inlineStr">
        <is>
          <t>Kapı Önü Paspası</t>
        </is>
      </c>
      <c r="H107" s="30" t="inlineStr">
        <is>
          <t>Paspas Yap</t>
        </is>
      </c>
      <c r="I107" s="31" t="n">
        <v>93.0</v>
      </c>
      <c r="J107" s="32" t="n">
        <v>15170.0</v>
      </c>
      <c r="K107" s="33" t="n">
        <v>14066.4</v>
      </c>
      <c r="L107" s="34" t="n">
        <v>22.0</v>
      </c>
      <c r="M107" s="35" t="n">
        <v>9483.47</v>
      </c>
      <c r="N107" s="36" t="inlineStr">
        <is>
          <t>25 Ağustos 08.00-1 Eylül 07.59</t>
        </is>
      </c>
      <c r="O107" s="37" t="n">
        <v>16.6</v>
      </c>
      <c r="P107" s="38" t="n">
        <v>14066.4</v>
      </c>
      <c r="Q107" s="39"/>
      <c r="R107" s="40" t="n">
        <f>=IF(AND(ISBLANK(Q107), ISBLANK(U107)), "", "7 Günlük Fiyat")</f>
        <v>0.0</v>
      </c>
      <c r="S107" s="41" t="n">
        <f>=IF(OR(Q107="", R107=""), "-", IF(ISNUMBER(SEARCH("7 Günlük", R107)), IF(Q107&lt;=M107, O107, "-"), "-"))</f>
        <v>0.0</v>
      </c>
      <c r="T107" s="42" t="str">
        <f>=IF(ISBLANK(Q107), "", "Hayır")</f>
      </c>
      <c r="U107" s="43"/>
      <c r="V107" s="44" t="inlineStr">
        <is>
          <t>50461ed1-c2c8-4393-967e-55d58a3e2664</t>
        </is>
      </c>
    </row>
    <row r="108">
      <c r="A108" s="23" t="inlineStr">
        <is>
          <t>Rampalı Giriş Paspası Toz Ve Nem Alıcı Su Emici Kaymaz Paspas Apartman Dükkan Iş Yeri Paspası</t>
        </is>
      </c>
      <c r="B108" s="24" t="inlineStr">
        <is>
          <t>769999711</t>
        </is>
      </c>
      <c r="C108" s="25" t="inlineStr">
        <is>
          <t>TOZKONTROL-IYP1-SIYAH-120950</t>
        </is>
      </c>
      <c r="D108" s="26" t="inlineStr">
        <is>
          <t>TOZKONTROL-IYP1-SIYAH-120950</t>
        </is>
      </c>
      <c r="E108" s="27" t="inlineStr">
        <is>
          <t>120 x 950</t>
        </is>
      </c>
      <c r="F108" s="28" t="inlineStr">
        <is>
          <t>TOZKONTROL-IYP1</t>
        </is>
      </c>
      <c r="G108" s="29" t="inlineStr">
        <is>
          <t>Kapı Önü Paspası</t>
        </is>
      </c>
      <c r="H108" s="30" t="inlineStr">
        <is>
          <t>Paspas Yap</t>
        </is>
      </c>
      <c r="I108" s="31" t="n">
        <v>93.0</v>
      </c>
      <c r="J108" s="32" t="n">
        <v>21482.0</v>
      </c>
      <c r="K108" s="33" t="n">
        <v>19827.88</v>
      </c>
      <c r="L108" s="34" t="n">
        <v>22.0</v>
      </c>
      <c r="M108" s="35" t="n">
        <v>13855.78</v>
      </c>
      <c r="N108" s="36" t="inlineStr">
        <is>
          <t>25 Ağustos 08.00-1 Eylül 07.59</t>
        </is>
      </c>
      <c r="O108" s="37" t="n">
        <v>17.0</v>
      </c>
      <c r="P108" s="38" t="n">
        <v>19827.88</v>
      </c>
      <c r="Q108" s="39"/>
      <c r="R108" s="40" t="n">
        <f>=IF(AND(ISBLANK(Q108), ISBLANK(U108)), "", "7 Günlük Fiyat")</f>
        <v>0.0</v>
      </c>
      <c r="S108" s="41" t="n">
        <f>=IF(OR(Q108="", R108=""), "-", IF(ISNUMBER(SEARCH("7 Günlük", R108)), IF(Q108&lt;=M108, O108, "-"), "-"))</f>
        <v>0.0</v>
      </c>
      <c r="T108" s="42" t="str">
        <f>=IF(ISBLANK(Q108), "", "Hayır")</f>
      </c>
      <c r="U108" s="43"/>
      <c r="V108" s="44" t="inlineStr">
        <is>
          <t>50461ed1-c2c8-4393-967e-55d58a3e2664</t>
        </is>
      </c>
    </row>
    <row r="109">
      <c r="A109" s="23" t="inlineStr">
        <is>
          <t>Rampalı Giriş Paspası Toz Ve Nem Alıcı Su Emici Kaymaz Paspas Apartman Dükkan Iş Yeri Paspası</t>
        </is>
      </c>
      <c r="B109" s="24" t="inlineStr">
        <is>
          <t>769999711</t>
        </is>
      </c>
      <c r="C109" s="25" t="inlineStr">
        <is>
          <t>TOZKONTROL-IYP1-SIYAH-90x160</t>
        </is>
      </c>
      <c r="D109" s="26" t="inlineStr">
        <is>
          <t>TOZKONTROL-IYP1-SIYAH-90x160</t>
        </is>
      </c>
      <c r="E109" s="27" t="inlineStr">
        <is>
          <t>90 x 160</t>
        </is>
      </c>
      <c r="F109" s="28" t="inlineStr">
        <is>
          <t>TOZKONTROL-IYP1</t>
        </is>
      </c>
      <c r="G109" s="29" t="inlineStr">
        <is>
          <t>Kapı Önü Paspası</t>
        </is>
      </c>
      <c r="H109" s="30" t="inlineStr">
        <is>
          <t>Paspas Yap</t>
        </is>
      </c>
      <c r="I109" s="31" t="n">
        <v>93.0</v>
      </c>
      <c r="J109" s="32" t="n">
        <v>2889.0</v>
      </c>
      <c r="K109" s="33" t="n">
        <v>2551.43</v>
      </c>
      <c r="L109" s="34" t="n">
        <v>22.0</v>
      </c>
      <c r="M109" s="35" t="n">
        <v>1844.66</v>
      </c>
      <c r="N109" s="36" t="inlineStr">
        <is>
          <t>25 Ağustos 08.00-1 Eylül 07.59</t>
        </is>
      </c>
      <c r="O109" s="37" t="n">
        <v>17.1</v>
      </c>
      <c r="P109" s="38" t="n">
        <v>2551.43</v>
      </c>
      <c r="Q109" s="39"/>
      <c r="R109" s="40" t="n">
        <f>=IF(AND(ISBLANK(Q109), ISBLANK(U109)), "", "7 Günlük Fiyat")</f>
        <v>0.0</v>
      </c>
      <c r="S109" s="41" t="n">
        <f>=IF(OR(Q109="", R109=""), "-", IF(ISNUMBER(SEARCH("7 Günlük", R109)), IF(Q109&lt;=M109, O109, "-"), "-"))</f>
        <v>0.0</v>
      </c>
      <c r="T109" s="42" t="str">
        <f>=IF(ISBLANK(Q109), "", "Hayır")</f>
      </c>
      <c r="U109" s="43"/>
      <c r="V109" s="44" t="inlineStr">
        <is>
          <t>50461ed1-c2c8-4393-967e-55d58a3e2664</t>
        </is>
      </c>
    </row>
    <row r="110">
      <c r="A110" s="23" t="inlineStr">
        <is>
          <t>Rampalı Giriş Paspası Toz Ve Nem Alıcı Su Emici Kaymaz Paspas Apartman Dükkan Iş Yeri Paspası</t>
        </is>
      </c>
      <c r="B110" s="24" t="inlineStr">
        <is>
          <t>769999711</t>
        </is>
      </c>
      <c r="C110" s="25" t="inlineStr">
        <is>
          <t>TOZKONTROL-IYP1-SIYAH-80x1500</t>
        </is>
      </c>
      <c r="D110" s="26" t="inlineStr">
        <is>
          <t>TOZKONTROL-IYP1-SIYAH-80x1500</t>
        </is>
      </c>
      <c r="E110" s="27" t="inlineStr">
        <is>
          <t>80 x 1500</t>
        </is>
      </c>
      <c r="F110" s="28" t="inlineStr">
        <is>
          <t>TOZKONTROL-IYP1</t>
        </is>
      </c>
      <c r="G110" s="29" t="inlineStr">
        <is>
          <t>Kapı Önü Paspası</t>
        </is>
      </c>
      <c r="H110" s="30" t="inlineStr">
        <is>
          <t>Paspas Yap</t>
        </is>
      </c>
      <c r="I110" s="31" t="n">
        <v>93.0</v>
      </c>
      <c r="J110" s="32" t="n">
        <v>22715.0</v>
      </c>
      <c r="K110" s="33" t="n">
        <v>21273.88</v>
      </c>
      <c r="L110" s="34" t="n">
        <v>22.0</v>
      </c>
      <c r="M110" s="35" t="n">
        <v>14796.6</v>
      </c>
      <c r="N110" s="36" t="inlineStr">
        <is>
          <t>25 Ağustos 08.00-1 Eylül 07.59</t>
        </is>
      </c>
      <c r="O110" s="37" t="n">
        <v>16.8</v>
      </c>
      <c r="P110" s="38" t="n">
        <v>21273.88</v>
      </c>
      <c r="Q110" s="39"/>
      <c r="R110" s="40" t="n">
        <f>=IF(AND(ISBLANK(Q110), ISBLANK(U110)), "", "7 Günlük Fiyat")</f>
        <v>0.0</v>
      </c>
      <c r="S110" s="41" t="n">
        <f>=IF(OR(Q110="", R110=""), "-", IF(ISNUMBER(SEARCH("7 Günlük", R110)), IF(Q110&lt;=M110, O110, "-"), "-"))</f>
        <v>0.0</v>
      </c>
      <c r="T110" s="42" t="str">
        <f>=IF(ISBLANK(Q110), "", "Hayır")</f>
      </c>
      <c r="U110" s="43"/>
      <c r="V110" s="44" t="inlineStr">
        <is>
          <t>50461ed1-c2c8-4393-967e-55d58a3e2664</t>
        </is>
      </c>
    </row>
    <row r="111">
      <c r="A111" s="23" t="inlineStr">
        <is>
          <t>Rampalı Giriş Paspası Toz Ve Nem Alıcı Su Emici Kaymaz Paspas Apartman Dükkan Iş Yeri Paspası</t>
        </is>
      </c>
      <c r="B111" s="24" t="inlineStr">
        <is>
          <t>769999711</t>
        </is>
      </c>
      <c r="C111" s="25" t="inlineStr">
        <is>
          <t>TOZKONTROL-IYP1-SIYAH-1201400</t>
        </is>
      </c>
      <c r="D111" s="26" t="inlineStr">
        <is>
          <t>TOZKONTROL-IYP1-SIYAH-1201400</t>
        </is>
      </c>
      <c r="E111" s="27" t="inlineStr">
        <is>
          <t>120 x 1400</t>
        </is>
      </c>
      <c r="F111" s="28" t="inlineStr">
        <is>
          <t>TOZKONTROL-IYP1</t>
        </is>
      </c>
      <c r="G111" s="29" t="inlineStr">
        <is>
          <t>Kapı Önü Paspası</t>
        </is>
      </c>
      <c r="H111" s="30" t="inlineStr">
        <is>
          <t>Paspas Yap</t>
        </is>
      </c>
      <c r="I111" s="31" t="n">
        <v>93.0</v>
      </c>
      <c r="J111" s="32" t="n">
        <v>29420.0</v>
      </c>
      <c r="K111" s="33" t="n">
        <v>24235.59</v>
      </c>
      <c r="L111" s="34" t="n">
        <v>22.0</v>
      </c>
      <c r="M111" s="35" t="n">
        <v>15622.57</v>
      </c>
      <c r="N111" s="36" t="inlineStr">
        <is>
          <t>25 Ağustos 08.00-1 Eylül 07.59</t>
        </is>
      </c>
      <c r="O111" s="37" t="n">
        <v>15.4</v>
      </c>
      <c r="P111" s="38" t="n">
        <v>24235.59</v>
      </c>
      <c r="Q111" s="39"/>
      <c r="R111" s="40" t="n">
        <f>=IF(AND(ISBLANK(Q111), ISBLANK(U111)), "", "7 Günlük Fiyat")</f>
        <v>0.0</v>
      </c>
      <c r="S111" s="41" t="n">
        <f>=IF(OR(Q111="", R111=""), "-", IF(ISNUMBER(SEARCH("7 Günlük", R111)), IF(Q111&lt;=M111, O111, "-"), "-"))</f>
        <v>0.0</v>
      </c>
      <c r="T111" s="42" t="str">
        <f>=IF(ISBLANK(Q111), "", "Hayır")</f>
      </c>
      <c r="U111" s="43"/>
      <c r="V111" s="44" t="inlineStr">
        <is>
          <t>50461ed1-c2c8-4393-967e-55d58a3e2664</t>
        </is>
      </c>
    </row>
    <row r="112">
      <c r="A112" s="23" t="inlineStr">
        <is>
          <t>Rampalı Giriş Paspası Toz Ve Nem Alıcı Su Emici Kaymaz Paspas Apartman Dükkan Iş Yeri Paspası</t>
        </is>
      </c>
      <c r="B112" s="24" t="inlineStr">
        <is>
          <t>769999711</t>
        </is>
      </c>
      <c r="C112" s="25" t="inlineStr">
        <is>
          <t>TOZKONTROL-IYP1-SIYAH-100900</t>
        </is>
      </c>
      <c r="D112" s="26" t="inlineStr">
        <is>
          <t>TOZKONTROL-IYP1-SIYAH-100900</t>
        </is>
      </c>
      <c r="E112" s="27" t="inlineStr">
        <is>
          <t>100 x 900</t>
        </is>
      </c>
      <c r="F112" s="28" t="inlineStr">
        <is>
          <t>TOZKONTROL-IYP1</t>
        </is>
      </c>
      <c r="G112" s="29" t="inlineStr">
        <is>
          <t>Kapı Önü Paspası</t>
        </is>
      </c>
      <c r="H112" s="30" t="inlineStr">
        <is>
          <t>Paspas Yap</t>
        </is>
      </c>
      <c r="I112" s="31" t="n">
        <v>93.0</v>
      </c>
      <c r="J112" s="32" t="n">
        <v>15170.0</v>
      </c>
      <c r="K112" s="33" t="n">
        <v>14127.43</v>
      </c>
      <c r="L112" s="34" t="n">
        <v>22.0</v>
      </c>
      <c r="M112" s="35" t="n">
        <v>9938.87</v>
      </c>
      <c r="N112" s="36" t="inlineStr">
        <is>
          <t>25 Ağustos 08.00-1 Eylül 07.59</t>
        </is>
      </c>
      <c r="O112" s="37" t="n">
        <v>17.2</v>
      </c>
      <c r="P112" s="38" t="n">
        <v>14127.43</v>
      </c>
      <c r="Q112" s="39"/>
      <c r="R112" s="40" t="n">
        <f>=IF(AND(ISBLANK(Q112), ISBLANK(U112)), "", "7 Günlük Fiyat")</f>
        <v>0.0</v>
      </c>
      <c r="S112" s="41" t="n">
        <f>=IF(OR(Q112="", R112=""), "-", IF(ISNUMBER(SEARCH("7 Günlük", R112)), IF(Q112&lt;=M112, O112, "-"), "-"))</f>
        <v>0.0</v>
      </c>
      <c r="T112" s="42" t="str">
        <f>=IF(ISBLANK(Q112), "", "Hayır")</f>
      </c>
      <c r="U112" s="43"/>
      <c r="V112" s="44" t="inlineStr">
        <is>
          <t>50461ed1-c2c8-4393-967e-55d58a3e2664</t>
        </is>
      </c>
    </row>
    <row r="113">
      <c r="A113" s="23" t="inlineStr">
        <is>
          <t>Rampalı Giriş Paspası Toz Ve Nem Alıcı Su Emici Kaymaz Paspas Apartman Dükkan Iş Yeri Paspası</t>
        </is>
      </c>
      <c r="B113" s="24" t="inlineStr">
        <is>
          <t>769999711</t>
        </is>
      </c>
      <c r="C113" s="25" t="inlineStr">
        <is>
          <t>TOZKONTROL-IYP1-SIYAH-100750</t>
        </is>
      </c>
      <c r="D113" s="26" t="inlineStr">
        <is>
          <t>TOZKONTROL-IYP1-SIYAH-100750</t>
        </is>
      </c>
      <c r="E113" s="27" t="inlineStr">
        <is>
          <t>100 x 750</t>
        </is>
      </c>
      <c r="F113" s="28" t="inlineStr">
        <is>
          <t>TOZKONTROL-IYP1</t>
        </is>
      </c>
      <c r="G113" s="29" t="inlineStr">
        <is>
          <t>Kapı Önü Paspası</t>
        </is>
      </c>
      <c r="H113" s="30" t="inlineStr">
        <is>
          <t>Paspas Yap</t>
        </is>
      </c>
      <c r="I113" s="31" t="n">
        <v>93.0</v>
      </c>
      <c r="J113" s="32" t="n">
        <v>12726.0</v>
      </c>
      <c r="K113" s="33" t="n">
        <v>11831.84</v>
      </c>
      <c r="L113" s="34" t="n">
        <v>22.0</v>
      </c>
      <c r="M113" s="35" t="n">
        <v>8199.48</v>
      </c>
      <c r="N113" s="36" t="inlineStr">
        <is>
          <t>25 Ağustos 08.00-1 Eylül 07.59</t>
        </is>
      </c>
      <c r="O113" s="37" t="n">
        <v>17.0</v>
      </c>
      <c r="P113" s="38" t="n">
        <v>11831.84</v>
      </c>
      <c r="Q113" s="39"/>
      <c r="R113" s="40" t="n">
        <f>=IF(AND(ISBLANK(Q113), ISBLANK(U113)), "", "7 Günlük Fiyat")</f>
        <v>0.0</v>
      </c>
      <c r="S113" s="41" t="n">
        <f>=IF(OR(Q113="", R113=""), "-", IF(ISNUMBER(SEARCH("7 Günlük", R113)), IF(Q113&lt;=M113, O113, "-"), "-"))</f>
        <v>0.0</v>
      </c>
      <c r="T113" s="42" t="str">
        <f>=IF(ISBLANK(Q113), "", "Hayır")</f>
      </c>
      <c r="U113" s="43"/>
      <c r="V113" s="44" t="inlineStr">
        <is>
          <t>50461ed1-c2c8-4393-967e-55d58a3e2664</t>
        </is>
      </c>
    </row>
    <row r="114">
      <c r="A114" s="23" t="inlineStr">
        <is>
          <t>Rampalı Giriş Paspası Toz Ve Nem Alıcı Su Emici Kaymaz Paspas Apartman Dükkan Iş Yeri Paspası</t>
        </is>
      </c>
      <c r="B114" s="24" t="inlineStr">
        <is>
          <t>769999711</t>
        </is>
      </c>
      <c r="C114" s="25" t="inlineStr">
        <is>
          <t>TOZKONTROL-IYP1-SIYAH-120250</t>
        </is>
      </c>
      <c r="D114" s="26" t="inlineStr">
        <is>
          <t>TOZKONTROL-IYP1-SIYAH-120250</t>
        </is>
      </c>
      <c r="E114" s="27" t="inlineStr">
        <is>
          <t>120 x 250</t>
        </is>
      </c>
      <c r="F114" s="28" t="inlineStr">
        <is>
          <t>TOZKONTROL-IYP1</t>
        </is>
      </c>
      <c r="G114" s="29" t="inlineStr">
        <is>
          <t>Kapı Önü Paspası</t>
        </is>
      </c>
      <c r="H114" s="30" t="inlineStr">
        <is>
          <t>Paspas Yap</t>
        </is>
      </c>
      <c r="I114" s="31" t="n">
        <v>93.0</v>
      </c>
      <c r="J114" s="32" t="n">
        <v>5278.0</v>
      </c>
      <c r="K114" s="33" t="n">
        <v>4336.5</v>
      </c>
      <c r="L114" s="34" t="n">
        <v>22.0</v>
      </c>
      <c r="M114" s="35" t="n">
        <v>3000.27</v>
      </c>
      <c r="N114" s="36" t="inlineStr">
        <is>
          <t>25 Ağustos 08.00-1 Eylül 07.59</t>
        </is>
      </c>
      <c r="O114" s="37" t="n">
        <v>16.0</v>
      </c>
      <c r="P114" s="38" t="n">
        <v>4336.5</v>
      </c>
      <c r="Q114" s="39"/>
      <c r="R114" s="40" t="n">
        <f>=IF(AND(ISBLANK(Q114), ISBLANK(U114)), "", "7 Günlük Fiyat")</f>
        <v>0.0</v>
      </c>
      <c r="S114" s="41" t="n">
        <f>=IF(OR(Q114="", R114=""), "-", IF(ISNUMBER(SEARCH("7 Günlük", R114)), IF(Q114&lt;=M114, O114, "-"), "-"))</f>
        <v>0.0</v>
      </c>
      <c r="T114" s="42" t="str">
        <f>=IF(ISBLANK(Q114), "", "Hayır")</f>
      </c>
      <c r="U114" s="43"/>
      <c r="V114" s="44" t="inlineStr">
        <is>
          <t>50461ed1-c2c8-4393-967e-55d58a3e2664</t>
        </is>
      </c>
    </row>
    <row r="115">
      <c r="A115" s="23" t="inlineStr">
        <is>
          <t>Rampalı Giriş Paspası Toz Ve Nem Alıcı Su Emici Kaymaz Paspas Apartman Dükkan Iş Yeri Paspası</t>
        </is>
      </c>
      <c r="B115" s="24" t="inlineStr">
        <is>
          <t>769999711</t>
        </is>
      </c>
      <c r="C115" s="25" t="inlineStr">
        <is>
          <t>TOZKONTROL-IYP1-SIYAH-100400</t>
        </is>
      </c>
      <c r="D115" s="26" t="inlineStr">
        <is>
          <t>TOZKONTROL-IYP1-SIYAH-100400</t>
        </is>
      </c>
      <c r="E115" s="27" t="inlineStr">
        <is>
          <t>100 x 400</t>
        </is>
      </c>
      <c r="F115" s="28" t="inlineStr">
        <is>
          <t>TOZKONTROL-IYP1</t>
        </is>
      </c>
      <c r="G115" s="29" t="inlineStr">
        <is>
          <t>Kapı Önü Paspası</t>
        </is>
      </c>
      <c r="H115" s="30" t="inlineStr">
        <is>
          <t>Paspas Yap</t>
        </is>
      </c>
      <c r="I115" s="31" t="n">
        <v>93.0</v>
      </c>
      <c r="J115" s="32" t="n">
        <v>7139.0</v>
      </c>
      <c r="K115" s="33" t="n">
        <v>6258.6</v>
      </c>
      <c r="L115" s="34" t="n">
        <v>22.0</v>
      </c>
      <c r="M115" s="35" t="n">
        <v>3911.88</v>
      </c>
      <c r="N115" s="36" t="inlineStr">
        <is>
          <t>25 Ağustos 08.00-1 Eylül 07.59</t>
        </is>
      </c>
      <c r="O115" s="37" t="n">
        <v>15.1</v>
      </c>
      <c r="P115" s="38" t="n">
        <v>6258.6</v>
      </c>
      <c r="Q115" s="39"/>
      <c r="R115" s="40" t="n">
        <f>=IF(AND(ISBLANK(Q115), ISBLANK(U115)), "", "7 Günlük Fiyat")</f>
        <v>0.0</v>
      </c>
      <c r="S115" s="41" t="n">
        <f>=IF(OR(Q115="", R115=""), "-", IF(ISNUMBER(SEARCH("7 Günlük", R115)), IF(Q115&lt;=M115, O115, "-"), "-"))</f>
        <v>0.0</v>
      </c>
      <c r="T115" s="42" t="str">
        <f>=IF(ISBLANK(Q115), "", "Hayır")</f>
      </c>
      <c r="U115" s="43"/>
      <c r="V115" s="44" t="inlineStr">
        <is>
          <t>50461ed1-c2c8-4393-967e-55d58a3e2664</t>
        </is>
      </c>
    </row>
    <row r="116">
      <c r="A116" s="23" t="inlineStr">
        <is>
          <t>Rampalı Giriş Paspası Toz Ve Nem Alıcı Su Emici Kaymaz Paspas Apartman Dükkan Iş Yeri Paspası</t>
        </is>
      </c>
      <c r="B116" s="24" t="inlineStr">
        <is>
          <t>769999711</t>
        </is>
      </c>
      <c r="C116" s="25" t="inlineStr">
        <is>
          <t>TOZKONTROL-IYP1-SIYAH-100650</t>
        </is>
      </c>
      <c r="D116" s="26" t="inlineStr">
        <is>
          <t>TOZKONTROL-IYP1-SIYAH-100650</t>
        </is>
      </c>
      <c r="E116" s="27" t="inlineStr">
        <is>
          <t>100 x 650</t>
        </is>
      </c>
      <c r="F116" s="28" t="inlineStr">
        <is>
          <t>TOZKONTROL-IYP1</t>
        </is>
      </c>
      <c r="G116" s="29" t="inlineStr">
        <is>
          <t>Kapı Önü Paspası</t>
        </is>
      </c>
      <c r="H116" s="30" t="inlineStr">
        <is>
          <t>Paspas Yap</t>
        </is>
      </c>
      <c r="I116" s="31" t="n">
        <v>93.0</v>
      </c>
      <c r="J116" s="32" t="n">
        <v>11146.0</v>
      </c>
      <c r="K116" s="33" t="n">
        <v>10315.49</v>
      </c>
      <c r="L116" s="34" t="n">
        <v>22.0</v>
      </c>
      <c r="M116" s="35" t="n">
        <v>6956.44</v>
      </c>
      <c r="N116" s="36" t="inlineStr">
        <is>
          <t>25 Ağustos 08.00-1 Eylül 07.59</t>
        </is>
      </c>
      <c r="O116" s="37" t="n">
        <v>16.6</v>
      </c>
      <c r="P116" s="38" t="n">
        <v>10315.49</v>
      </c>
      <c r="Q116" s="39"/>
      <c r="R116" s="40" t="n">
        <f>=IF(AND(ISBLANK(Q116), ISBLANK(U116)), "", "7 Günlük Fiyat")</f>
        <v>0.0</v>
      </c>
      <c r="S116" s="41" t="n">
        <f>=IF(OR(Q116="", R116=""), "-", IF(ISNUMBER(SEARCH("7 Günlük", R116)), IF(Q116&lt;=M116, O116, "-"), "-"))</f>
        <v>0.0</v>
      </c>
      <c r="T116" s="42" t="str">
        <f>=IF(ISBLANK(Q116), "", "Hayır")</f>
      </c>
      <c r="U116" s="43"/>
      <c r="V116" s="44" t="inlineStr">
        <is>
          <t>50461ed1-c2c8-4393-967e-55d58a3e2664</t>
        </is>
      </c>
    </row>
    <row r="117">
      <c r="A117" s="23" t="inlineStr">
        <is>
          <t>Rampalı Giriş Paspası Toz Ve Nem Alıcı Su Emici Kaymaz Paspas Apartman Dükkan Iş Yeri Paspası</t>
        </is>
      </c>
      <c r="B117" s="24" t="inlineStr">
        <is>
          <t>769999711</t>
        </is>
      </c>
      <c r="C117" s="25" t="inlineStr">
        <is>
          <t>TOZKONTROL-IYP1-SIYAH-1001450</t>
        </is>
      </c>
      <c r="D117" s="26" t="inlineStr">
        <is>
          <t>TOZKONTROL-IYP1-SIYAH-1001450</t>
        </is>
      </c>
      <c r="E117" s="27" t="inlineStr">
        <is>
          <t>100 x 1450</t>
        </is>
      </c>
      <c r="F117" s="28" t="inlineStr">
        <is>
          <t>TOZKONTROL-IYP1</t>
        </is>
      </c>
      <c r="G117" s="29" t="inlineStr">
        <is>
          <t>Kapı Önü Paspası</t>
        </is>
      </c>
      <c r="H117" s="30" t="inlineStr">
        <is>
          <t>Paspas Yap</t>
        </is>
      </c>
      <c r="I117" s="31" t="n">
        <v>93.0</v>
      </c>
      <c r="J117" s="32" t="n">
        <v>26229.0</v>
      </c>
      <c r="K117" s="33" t="n">
        <v>24186.76</v>
      </c>
      <c r="L117" s="34" t="n">
        <v>22.0</v>
      </c>
      <c r="M117" s="35" t="n">
        <v>16722.91</v>
      </c>
      <c r="N117" s="36" t="inlineStr">
        <is>
          <t>25 Ağustos 08.00-1 Eylül 07.59</t>
        </is>
      </c>
      <c r="O117" s="37" t="n">
        <v>16.8</v>
      </c>
      <c r="P117" s="38" t="n">
        <v>24186.76</v>
      </c>
      <c r="Q117" s="39"/>
      <c r="R117" s="40" t="n">
        <f>=IF(AND(ISBLANK(Q117), ISBLANK(U117)), "", "7 Günlük Fiyat")</f>
        <v>0.0</v>
      </c>
      <c r="S117" s="41" t="n">
        <f>=IF(OR(Q117="", R117=""), "-", IF(ISNUMBER(SEARCH("7 Günlük", R117)), IF(Q117&lt;=M117, O117, "-"), "-"))</f>
        <v>0.0</v>
      </c>
      <c r="T117" s="42" t="str">
        <f>=IF(ISBLANK(Q117), "", "Hayır")</f>
      </c>
      <c r="U117" s="43"/>
      <c r="V117" s="44" t="inlineStr">
        <is>
          <t>50461ed1-c2c8-4393-967e-55d58a3e2664</t>
        </is>
      </c>
    </row>
    <row r="118">
      <c r="A118" s="23" t="inlineStr">
        <is>
          <t>Rampalı Giriş Paspası Toz Ve Nem Alıcı Su Emici Kaymaz Paspas Apartman Dükkan Iş Yeri Paspası</t>
        </is>
      </c>
      <c r="B118" s="24" t="inlineStr">
        <is>
          <t>769999711</t>
        </is>
      </c>
      <c r="C118" s="25" t="inlineStr">
        <is>
          <t>TOZKONTROL-IYP1-SIYAH-80350</t>
        </is>
      </c>
      <c r="D118" s="26" t="inlineStr">
        <is>
          <t>TOZKONTROL-IYP1-SIYAH-80350</t>
        </is>
      </c>
      <c r="E118" s="27" t="inlineStr">
        <is>
          <t>80 x 350</t>
        </is>
      </c>
      <c r="F118" s="28" t="inlineStr">
        <is>
          <t>TOZKONTROL-IYP1</t>
        </is>
      </c>
      <c r="G118" s="29" t="inlineStr">
        <is>
          <t>Kapı Önü Paspası</t>
        </is>
      </c>
      <c r="H118" s="30" t="inlineStr">
        <is>
          <t>Paspas Yap</t>
        </is>
      </c>
      <c r="I118" s="31" t="n">
        <v>93.0</v>
      </c>
      <c r="J118" s="32" t="n">
        <v>5078.0</v>
      </c>
      <c r="K118" s="33" t="n">
        <v>4662.2</v>
      </c>
      <c r="L118" s="34" t="n">
        <v>22.0</v>
      </c>
      <c r="M118" s="35" t="n">
        <v>3269.17</v>
      </c>
      <c r="N118" s="36" t="inlineStr">
        <is>
          <t>25 Ağustos 08.00-1 Eylül 07.59</t>
        </is>
      </c>
      <c r="O118" s="37" t="n">
        <v>17.0</v>
      </c>
      <c r="P118" s="38" t="n">
        <v>4662.2</v>
      </c>
      <c r="Q118" s="39"/>
      <c r="R118" s="40" t="n">
        <f>=IF(AND(ISBLANK(Q118), ISBLANK(U118)), "", "7 Günlük Fiyat")</f>
        <v>0.0</v>
      </c>
      <c r="S118" s="41" t="n">
        <f>=IF(OR(Q118="", R118=""), "-", IF(ISNUMBER(SEARCH("7 Günlük", R118)), IF(Q118&lt;=M118, O118, "-"), "-"))</f>
        <v>0.0</v>
      </c>
      <c r="T118" s="42" t="str">
        <f>=IF(ISBLANK(Q118), "", "Hayır")</f>
      </c>
      <c r="U118" s="43"/>
      <c r="V118" s="44" t="inlineStr">
        <is>
          <t>50461ed1-c2c8-4393-967e-55d58a3e2664</t>
        </is>
      </c>
    </row>
    <row r="119">
      <c r="A119" s="23" t="inlineStr">
        <is>
          <t>Rampalı Giriş Paspası Toz Ve Nem Alıcı Su Emici Kaymaz Paspas Apartman Dükkan Iş Yeri Paspası</t>
        </is>
      </c>
      <c r="B119" s="24" t="inlineStr">
        <is>
          <t>769999711</t>
        </is>
      </c>
      <c r="C119" s="25" t="inlineStr">
        <is>
          <t>TOZKONTROL-IYP1-SIYAH-60100</t>
        </is>
      </c>
      <c r="D119" s="26" t="inlineStr">
        <is>
          <t>TOZKONTROL-IYP1-SIYAH-60100</t>
        </is>
      </c>
      <c r="E119" s="27" t="inlineStr">
        <is>
          <t>60 x 100</t>
        </is>
      </c>
      <c r="F119" s="28" t="inlineStr">
        <is>
          <t>TOZKONTROL-IYP1</t>
        </is>
      </c>
      <c r="G119" s="29" t="inlineStr">
        <is>
          <t>Kapı Önü Paspası</t>
        </is>
      </c>
      <c r="H119" s="30" t="inlineStr">
        <is>
          <t>Paspas Yap</t>
        </is>
      </c>
      <c r="I119" s="31" t="n">
        <v>87.0</v>
      </c>
      <c r="J119" s="32" t="n">
        <v>1599.0</v>
      </c>
      <c r="K119" s="33" t="n">
        <v>1252.06</v>
      </c>
      <c r="L119" s="34" t="n">
        <v>22.0</v>
      </c>
      <c r="M119" s="35" t="n">
        <v>1012.53</v>
      </c>
      <c r="N119" s="36" t="inlineStr">
        <is>
          <t>25 Ağustos 08.00-1 Eylül 07.59</t>
        </is>
      </c>
      <c r="O119" s="37" t="n">
        <v>19.0</v>
      </c>
      <c r="P119" s="38" t="n">
        <v>1252.06</v>
      </c>
      <c r="Q119" s="39"/>
      <c r="R119" s="40" t="n">
        <f>=IF(AND(ISBLANK(Q119), ISBLANK(U119)), "", "7 Günlük Fiyat")</f>
        <v>0.0</v>
      </c>
      <c r="S119" s="41" t="n">
        <f>=IF(OR(Q119="", R119=""), "-", IF(ISNUMBER(SEARCH("7 Günlük", R119)), IF(Q119&lt;=M119, O119, "-"), "-"))</f>
        <v>0.0</v>
      </c>
      <c r="T119" s="42" t="str">
        <f>=IF(ISBLANK(Q119), "", "Hayır")</f>
      </c>
      <c r="U119" s="43"/>
      <c r="V119" s="44" t="inlineStr">
        <is>
          <t>50461ed1-c2c8-4393-967e-55d58a3e2664</t>
        </is>
      </c>
    </row>
    <row r="120">
      <c r="A120" s="23" t="inlineStr">
        <is>
          <t>Rampalı Giriş Paspası Toz Ve Nem Alıcı Su Emici Kaymaz Paspas Apartman Dükkan Iş Yeri Paspası</t>
        </is>
      </c>
      <c r="B120" s="24" t="inlineStr">
        <is>
          <t>769999711</t>
        </is>
      </c>
      <c r="C120" s="25" t="inlineStr">
        <is>
          <t>TOZKONTROL-IYP1-SIYAH-120x1250</t>
        </is>
      </c>
      <c r="D120" s="26" t="inlineStr">
        <is>
          <t>TOZKONTROL-IYP1-SIYAH-120x1250</t>
        </is>
      </c>
      <c r="E120" s="27" t="inlineStr">
        <is>
          <t>120 x 1250</t>
        </is>
      </c>
      <c r="F120" s="28" t="inlineStr">
        <is>
          <t>TOZKONTROL-IYP1</t>
        </is>
      </c>
      <c r="G120" s="29" t="inlineStr">
        <is>
          <t>Kapı Önü Paspası</t>
        </is>
      </c>
      <c r="H120" s="30" t="inlineStr">
        <is>
          <t>Paspas Yap</t>
        </is>
      </c>
      <c r="I120" s="31" t="n">
        <v>93.0</v>
      </c>
      <c r="J120" s="32" t="n">
        <v>26967.0</v>
      </c>
      <c r="K120" s="33" t="n">
        <v>21987.73</v>
      </c>
      <c r="L120" s="34" t="n">
        <v>22.0</v>
      </c>
      <c r="M120" s="35" t="n">
        <v>13828.94</v>
      </c>
      <c r="N120" s="36" t="inlineStr">
        <is>
          <t>25 Ağustos 08.00-1 Eylül 07.59</t>
        </is>
      </c>
      <c r="O120" s="37" t="n">
        <v>15.5</v>
      </c>
      <c r="P120" s="38" t="n">
        <v>21987.73</v>
      </c>
      <c r="Q120" s="39"/>
      <c r="R120" s="40" t="n">
        <f>=IF(AND(ISBLANK(Q120), ISBLANK(U120)), "", "7 Günlük Fiyat")</f>
        <v>0.0</v>
      </c>
      <c r="S120" s="41" t="n">
        <f>=IF(OR(Q120="", R120=""), "-", IF(ISNUMBER(SEARCH("7 Günlük", R120)), IF(Q120&lt;=M120, O120, "-"), "-"))</f>
        <v>0.0</v>
      </c>
      <c r="T120" s="42" t="str">
        <f>=IF(ISBLANK(Q120), "", "Hayır")</f>
      </c>
      <c r="U120" s="43"/>
      <c r="V120" s="44" t="inlineStr">
        <is>
          <t>50461ed1-c2c8-4393-967e-55d58a3e2664</t>
        </is>
      </c>
    </row>
    <row r="121">
      <c r="A121" s="23" t="inlineStr">
        <is>
          <t>Rampalı Giriş Paspası Toz Ve Nem Alıcı Su Emici Kaymaz Paspas Apartman Dükkan Iş Yeri Paspası</t>
        </is>
      </c>
      <c r="B121" s="24" t="inlineStr">
        <is>
          <t>769999711</t>
        </is>
      </c>
      <c r="C121" s="25" t="inlineStr">
        <is>
          <t>TOZKONTROL-IYP1-SIYAH-1001350</t>
        </is>
      </c>
      <c r="D121" s="26" t="inlineStr">
        <is>
          <t>TOZKONTROL-IYP1-SIYAH-1001350</t>
        </is>
      </c>
      <c r="E121" s="27" t="inlineStr">
        <is>
          <t>100 x 1350</t>
        </is>
      </c>
      <c r="F121" s="28" t="inlineStr">
        <is>
          <t>TOZKONTROL-IYP1</t>
        </is>
      </c>
      <c r="G121" s="29" t="inlineStr">
        <is>
          <t>Kapı Önü Paspası</t>
        </is>
      </c>
      <c r="H121" s="30" t="inlineStr">
        <is>
          <t>Paspas Yap</t>
        </is>
      </c>
      <c r="I121" s="31" t="n">
        <v>93.0</v>
      </c>
      <c r="J121" s="32" t="n">
        <v>24752.0</v>
      </c>
      <c r="K121" s="33" t="n">
        <v>20610.55</v>
      </c>
      <c r="L121" s="34" t="n">
        <v>22.0</v>
      </c>
      <c r="M121" s="35" t="n">
        <v>14011.25</v>
      </c>
      <c r="N121" s="36" t="inlineStr">
        <is>
          <t>25 Ağustos 08.00-1 Eylül 07.59</t>
        </is>
      </c>
      <c r="O121" s="37" t="n">
        <v>16.4</v>
      </c>
      <c r="P121" s="38" t="n">
        <v>20610.55</v>
      </c>
      <c r="Q121" s="39"/>
      <c r="R121" s="40" t="n">
        <f>=IF(AND(ISBLANK(Q121), ISBLANK(U121)), "", "7 Günlük Fiyat")</f>
        <v>0.0</v>
      </c>
      <c r="S121" s="41" t="n">
        <f>=IF(OR(Q121="", R121=""), "-", IF(ISNUMBER(SEARCH("7 Günlük", R121)), IF(Q121&lt;=M121, O121, "-"), "-"))</f>
        <v>0.0</v>
      </c>
      <c r="T121" s="42" t="str">
        <f>=IF(ISBLANK(Q121), "", "Hayır")</f>
      </c>
      <c r="U121" s="43"/>
      <c r="V121" s="44" t="inlineStr">
        <is>
          <t>50461ed1-c2c8-4393-967e-55d58a3e2664</t>
        </is>
      </c>
    </row>
    <row r="122">
      <c r="A122" s="23" t="inlineStr">
        <is>
          <t>Rampalı Giriş Paspası Toz Ve Nem Alıcı Su Emici Kaymaz Paspas Apartman Dükkan Iş Yeri Paspası</t>
        </is>
      </c>
      <c r="B122" s="24" t="inlineStr">
        <is>
          <t>769999711</t>
        </is>
      </c>
      <c r="C122" s="25" t="inlineStr">
        <is>
          <t>TOZKONTROL-IYP1-SIYAH-120180</t>
        </is>
      </c>
      <c r="D122" s="26" t="inlineStr">
        <is>
          <t>TOZKONTROL-IYP1-SIYAH-120180</t>
        </is>
      </c>
      <c r="E122" s="27" t="inlineStr">
        <is>
          <t>120 x 180</t>
        </is>
      </c>
      <c r="F122" s="28" t="inlineStr">
        <is>
          <t>TOZKONTROL-IYP1</t>
        </is>
      </c>
      <c r="G122" s="29" t="inlineStr">
        <is>
          <t>Kapı Önü Paspası</t>
        </is>
      </c>
      <c r="H122" s="30" t="inlineStr">
        <is>
          <t>Paspas Yap</t>
        </is>
      </c>
      <c r="I122" s="31" t="n">
        <v>92.0</v>
      </c>
      <c r="J122" s="32" t="n">
        <v>4359.0</v>
      </c>
      <c r="K122" s="33" t="n">
        <v>3623.78</v>
      </c>
      <c r="L122" s="34" t="n">
        <v>22.0</v>
      </c>
      <c r="M122" s="35" t="n">
        <v>2520.14</v>
      </c>
      <c r="N122" s="36" t="inlineStr">
        <is>
          <t>25 Ağustos 08.00-1 Eylül 07.59</t>
        </is>
      </c>
      <c r="O122" s="37" t="n">
        <v>15.9</v>
      </c>
      <c r="P122" s="38" t="n">
        <v>3623.78</v>
      </c>
      <c r="Q122" s="39"/>
      <c r="R122" s="40" t="n">
        <f>=IF(AND(ISBLANK(Q122), ISBLANK(U122)), "", "7 Günlük Fiyat")</f>
        <v>0.0</v>
      </c>
      <c r="S122" s="41" t="n">
        <f>=IF(OR(Q122="", R122=""), "-", IF(ISNUMBER(SEARCH("7 Günlük", R122)), IF(Q122&lt;=M122, O122, "-"), "-"))</f>
        <v>0.0</v>
      </c>
      <c r="T122" s="42" t="str">
        <f>=IF(ISBLANK(Q122), "", "Hayır")</f>
      </c>
      <c r="U122" s="43"/>
      <c r="V122" s="44" t="inlineStr">
        <is>
          <t>50461ed1-c2c8-4393-967e-55d58a3e2664</t>
        </is>
      </c>
    </row>
    <row r="123">
      <c r="A123" s="23" t="inlineStr">
        <is>
          <t>Rampalı Giriş Paspası Toz Ve Nem Alıcı Su Emici Kaymaz Paspas Apartman Dükkan Iş Yeri Paspası</t>
        </is>
      </c>
      <c r="B123" s="24" t="inlineStr">
        <is>
          <t>769999711</t>
        </is>
      </c>
      <c r="C123" s="25" t="inlineStr">
        <is>
          <t>TOZKONTROL-IYP1-SIYAH-120x1150</t>
        </is>
      </c>
      <c r="D123" s="26" t="inlineStr">
        <is>
          <t>TOZKONTROL-IYP1-SIYAH-120x1150</t>
        </is>
      </c>
      <c r="E123" s="27" t="inlineStr">
        <is>
          <t>120 x 1150</t>
        </is>
      </c>
      <c r="F123" s="28" t="inlineStr">
        <is>
          <t>TOZKONTROL-IYP1</t>
        </is>
      </c>
      <c r="G123" s="29" t="inlineStr">
        <is>
          <t>Kapı Önü Paspası</t>
        </is>
      </c>
      <c r="H123" s="30" t="inlineStr">
        <is>
          <t>Paspas Yap</t>
        </is>
      </c>
      <c r="I123" s="31" t="n">
        <v>93.0</v>
      </c>
      <c r="J123" s="32" t="n">
        <v>24976.0</v>
      </c>
      <c r="K123" s="33" t="n">
        <v>20762.5</v>
      </c>
      <c r="L123" s="34" t="n">
        <v>22.0</v>
      </c>
      <c r="M123" s="35" t="n">
        <v>13386.57</v>
      </c>
      <c r="N123" s="36" t="inlineStr">
        <is>
          <t>25 Ağustos 08.00-1 Eylül 07.59</t>
        </is>
      </c>
      <c r="O123" s="37" t="n">
        <v>15.5</v>
      </c>
      <c r="P123" s="38" t="n">
        <v>20762.5</v>
      </c>
      <c r="Q123" s="39"/>
      <c r="R123" s="40" t="n">
        <f>=IF(AND(ISBLANK(Q123), ISBLANK(U123)), "", "7 Günlük Fiyat")</f>
        <v>0.0</v>
      </c>
      <c r="S123" s="41" t="n">
        <f>=IF(OR(Q123="", R123=""), "-", IF(ISNUMBER(SEARCH("7 Günlük", R123)), IF(Q123&lt;=M123, O123, "-"), "-"))</f>
        <v>0.0</v>
      </c>
      <c r="T123" s="42" t="str">
        <f>=IF(ISBLANK(Q123), "", "Hayır")</f>
      </c>
      <c r="U123" s="43"/>
      <c r="V123" s="44" t="inlineStr">
        <is>
          <t>50461ed1-c2c8-4393-967e-55d58a3e2664</t>
        </is>
      </c>
    </row>
    <row r="124">
      <c r="A124" s="23" t="inlineStr">
        <is>
          <t>Rampalı Giriş Paspası Toz Ve Nem Alıcı Su Emici Kaymaz Paspas Apartman Dükkan Iş Yeri Paspası</t>
        </is>
      </c>
      <c r="B124" s="24" t="inlineStr">
        <is>
          <t>769999711</t>
        </is>
      </c>
      <c r="C124" s="25" t="inlineStr">
        <is>
          <t>TOZKONTROL-IYP1-SIYAH-80200</t>
        </is>
      </c>
      <c r="D124" s="26" t="inlineStr">
        <is>
          <t>TOZKONTROL-IYP1-SIYAH-80200</t>
        </is>
      </c>
      <c r="E124" s="27" t="inlineStr">
        <is>
          <t>80 x 200</t>
        </is>
      </c>
      <c r="F124" s="28" t="inlineStr">
        <is>
          <t>TOZKONTROL-IYP1</t>
        </is>
      </c>
      <c r="G124" s="29" t="inlineStr">
        <is>
          <t>Kapı Önü Paspası</t>
        </is>
      </c>
      <c r="H124" s="30" t="inlineStr">
        <is>
          <t>Paspas Yap</t>
        </is>
      </c>
      <c r="I124" s="31" t="n">
        <v>93.0</v>
      </c>
      <c r="J124" s="32" t="n">
        <v>3141.0</v>
      </c>
      <c r="K124" s="33" t="n">
        <v>2789.78</v>
      </c>
      <c r="L124" s="34" t="n">
        <v>22.0</v>
      </c>
      <c r="M124" s="35" t="n">
        <v>2003.04</v>
      </c>
      <c r="N124" s="36" t="inlineStr">
        <is>
          <t>25 Ağustos 08.00-1 Eylül 07.59</t>
        </is>
      </c>
      <c r="O124" s="37" t="n">
        <v>16.8</v>
      </c>
      <c r="P124" s="38" t="n">
        <v>2789.78</v>
      </c>
      <c r="Q124" s="39"/>
      <c r="R124" s="40" t="n">
        <f>=IF(AND(ISBLANK(Q124), ISBLANK(U124)), "", "7 Günlük Fiyat")</f>
        <v>0.0</v>
      </c>
      <c r="S124" s="41" t="n">
        <f>=IF(OR(Q124="", R124=""), "-", IF(ISNUMBER(SEARCH("7 Günlük", R124)), IF(Q124&lt;=M124, O124, "-"), "-"))</f>
        <v>0.0</v>
      </c>
      <c r="T124" s="42" t="str">
        <f>=IF(ISBLANK(Q124), "", "Hayır")</f>
      </c>
      <c r="U124" s="43"/>
      <c r="V124" s="44" t="inlineStr">
        <is>
          <t>50461ed1-c2c8-4393-967e-55d58a3e2664</t>
        </is>
      </c>
    </row>
    <row r="125">
      <c r="A125" s="23" t="inlineStr">
        <is>
          <t>Rampalı Giriş Paspası Toz Ve Nem Alıcı Su Emici Kaymaz Paspas Apartman Dükkan Iş Yeri Paspası</t>
        </is>
      </c>
      <c r="B125" s="24" t="inlineStr">
        <is>
          <t>769999711</t>
        </is>
      </c>
      <c r="C125" s="25" t="inlineStr">
        <is>
          <t>TOZKONTROL-IYP1-SIYAH-1001400</t>
        </is>
      </c>
      <c r="D125" s="26" t="inlineStr">
        <is>
          <t>TOZKONTROL-IYP1-SIYAH-1001400</t>
        </is>
      </c>
      <c r="E125" s="27" t="inlineStr">
        <is>
          <t>100 x 1400</t>
        </is>
      </c>
      <c r="F125" s="28" t="inlineStr">
        <is>
          <t>TOZKONTROL-IYP1</t>
        </is>
      </c>
      <c r="G125" s="29" t="inlineStr">
        <is>
          <t>Kapı Önü Paspası</t>
        </is>
      </c>
      <c r="H125" s="30" t="inlineStr">
        <is>
          <t>Paspas Yap</t>
        </is>
      </c>
      <c r="I125" s="31" t="n">
        <v>93.0</v>
      </c>
      <c r="J125" s="32" t="n">
        <v>25490.0</v>
      </c>
      <c r="K125" s="33" t="n">
        <v>21077.08</v>
      </c>
      <c r="L125" s="34" t="n">
        <v>22.0</v>
      </c>
      <c r="M125" s="35" t="n">
        <v>13708.73</v>
      </c>
      <c r="N125" s="36" t="inlineStr">
        <is>
          <t>25 Ağustos 08.00-1 Eylül 07.59</t>
        </is>
      </c>
      <c r="O125" s="37" t="n">
        <v>15.6</v>
      </c>
      <c r="P125" s="38" t="n">
        <v>21077.08</v>
      </c>
      <c r="Q125" s="39"/>
      <c r="R125" s="40" t="n">
        <f>=IF(AND(ISBLANK(Q125), ISBLANK(U125)), "", "7 Günlük Fiyat")</f>
        <v>0.0</v>
      </c>
      <c r="S125" s="41" t="n">
        <f>=IF(OR(Q125="", R125=""), "-", IF(ISNUMBER(SEARCH("7 Günlük", R125)), IF(Q125&lt;=M125, O125, "-"), "-"))</f>
        <v>0.0</v>
      </c>
      <c r="T125" s="42" t="str">
        <f>=IF(ISBLANK(Q125), "", "Hayır")</f>
      </c>
      <c r="U125" s="43"/>
      <c r="V125" s="44" t="inlineStr">
        <is>
          <t>50461ed1-c2c8-4393-967e-55d58a3e2664</t>
        </is>
      </c>
    </row>
    <row r="126">
      <c r="A126" s="23" t="inlineStr">
        <is>
          <t>Rampalı Giriş Paspası Toz Ve Nem Alıcı Su Emici Kaymaz Paspas Apartman Dükkan Iş Yeri Paspası</t>
        </is>
      </c>
      <c r="B126" s="24" t="inlineStr">
        <is>
          <t>769999711</t>
        </is>
      </c>
      <c r="C126" s="25" t="inlineStr">
        <is>
          <t>TOZKONTROL-IYP1-SIYAH-120x1450</t>
        </is>
      </c>
      <c r="D126" s="26" t="inlineStr">
        <is>
          <t>TOZKONTROL-IYP1-SIYAH-120x1450</t>
        </is>
      </c>
      <c r="E126" s="27" t="inlineStr">
        <is>
          <t>120 x 1450</t>
        </is>
      </c>
      <c r="F126" s="28" t="inlineStr">
        <is>
          <t>TOZKONTROL-IYP1</t>
        </is>
      </c>
      <c r="G126" s="29" t="inlineStr">
        <is>
          <t>Kapı Önü Paspası</t>
        </is>
      </c>
      <c r="H126" s="30" t="inlineStr">
        <is>
          <t>Paspas Yap</t>
        </is>
      </c>
      <c r="I126" s="31" t="n">
        <v>93.0</v>
      </c>
      <c r="J126" s="32" t="n">
        <v>30370.0</v>
      </c>
      <c r="K126" s="33" t="n">
        <v>21098.88</v>
      </c>
      <c r="L126" s="34" t="n">
        <v>22.0</v>
      </c>
      <c r="M126" s="35" t="n">
        <v>13635.34</v>
      </c>
      <c r="N126" s="36" t="inlineStr">
        <is>
          <t>25 Ağustos 08.00-1 Eylül 07.59</t>
        </is>
      </c>
      <c r="O126" s="37" t="n">
        <v>13.7</v>
      </c>
      <c r="P126" s="38" t="n">
        <v>21098.88</v>
      </c>
      <c r="Q126" s="39"/>
      <c r="R126" s="40" t="n">
        <f>=IF(AND(ISBLANK(Q126), ISBLANK(U126)), "", "7 Günlük Fiyat")</f>
        <v>0.0</v>
      </c>
      <c r="S126" s="41" t="n">
        <f>=IF(OR(Q126="", R126=""), "-", IF(ISNUMBER(SEARCH("7 Günlük", R126)), IF(Q126&lt;=M126, O126, "-"), "-"))</f>
        <v>0.0</v>
      </c>
      <c r="T126" s="42" t="str">
        <f>=IF(ISBLANK(Q126), "", "Hayır")</f>
      </c>
      <c r="U126" s="43"/>
      <c r="V126" s="44" t="inlineStr">
        <is>
          <t>50461ed1-c2c8-4393-967e-55d58a3e2664</t>
        </is>
      </c>
    </row>
    <row r="127">
      <c r="A127" s="23" t="inlineStr">
        <is>
          <t>Rampalı Giriş Paspası Toz Ve Nem Alıcı Su Emici Kaymaz Paspas Apartman Dükkan Iş Yeri Paspası</t>
        </is>
      </c>
      <c r="B127" s="24" t="inlineStr">
        <is>
          <t>769999711</t>
        </is>
      </c>
      <c r="C127" s="25" t="inlineStr">
        <is>
          <t>TOZKONTROL-IYP1-SIYAH-80700</t>
        </is>
      </c>
      <c r="D127" s="26" t="inlineStr">
        <is>
          <t>TOZKONTROL-IYP1-SIYAH-80700</t>
        </is>
      </c>
      <c r="E127" s="27" t="inlineStr">
        <is>
          <t>80 x 700</t>
        </is>
      </c>
      <c r="F127" s="28" t="inlineStr">
        <is>
          <t>TOZKONTROL-IYP1</t>
        </is>
      </c>
      <c r="G127" s="29" t="inlineStr">
        <is>
          <t>Kapı Önü Paspası</t>
        </is>
      </c>
      <c r="H127" s="30" t="inlineStr">
        <is>
          <t>Paspas Yap</t>
        </is>
      </c>
      <c r="I127" s="31" t="n">
        <v>93.0</v>
      </c>
      <c r="J127" s="32" t="n">
        <v>9991.0</v>
      </c>
      <c r="K127" s="33" t="n">
        <v>9270.14</v>
      </c>
      <c r="L127" s="34" t="n">
        <v>22.0</v>
      </c>
      <c r="M127" s="35" t="n">
        <v>6412.29</v>
      </c>
      <c r="N127" s="36" t="inlineStr">
        <is>
          <t>25 Ağustos 08.00-1 Eylül 07.59</t>
        </is>
      </c>
      <c r="O127" s="37" t="n">
        <v>17.0</v>
      </c>
      <c r="P127" s="38" t="n">
        <v>9270.14</v>
      </c>
      <c r="Q127" s="39"/>
      <c r="R127" s="40" t="n">
        <f>=IF(AND(ISBLANK(Q127), ISBLANK(U127)), "", "7 Günlük Fiyat")</f>
        <v>0.0</v>
      </c>
      <c r="S127" s="41" t="n">
        <f>=IF(OR(Q127="", R127=""), "-", IF(ISNUMBER(SEARCH("7 Günlük", R127)), IF(Q127&lt;=M127, O127, "-"), "-"))</f>
        <v>0.0</v>
      </c>
      <c r="T127" s="42" t="str">
        <f>=IF(ISBLANK(Q127), "", "Hayır")</f>
      </c>
      <c r="U127" s="43"/>
      <c r="V127" s="44" t="inlineStr">
        <is>
          <t>50461ed1-c2c8-4393-967e-55d58a3e2664</t>
        </is>
      </c>
    </row>
    <row r="128">
      <c r="A128" s="23" t="inlineStr">
        <is>
          <t>Rampalı Giriş Paspası Toz Ve Nem Alıcı Su Emici Kaymaz Paspas Apartman Dükkan Iş Yeri Paspası</t>
        </is>
      </c>
      <c r="B128" s="24" t="inlineStr">
        <is>
          <t>769999711</t>
        </is>
      </c>
      <c r="C128" s="25" t="inlineStr">
        <is>
          <t>TOZKONTROL-IYP1-SIYAH-100300</t>
        </is>
      </c>
      <c r="D128" s="26" t="inlineStr">
        <is>
          <t>TOZKONTROL-IYP1-SIYAH-100300</t>
        </is>
      </c>
      <c r="E128" s="27" t="inlineStr">
        <is>
          <t>100 x 300</t>
        </is>
      </c>
      <c r="F128" s="28" t="inlineStr">
        <is>
          <t>TOZKONTROL-IYP1</t>
        </is>
      </c>
      <c r="G128" s="29" t="inlineStr">
        <is>
          <t>Kapı Önü Paspası</t>
        </is>
      </c>
      <c r="H128" s="30" t="inlineStr">
        <is>
          <t>Paspas Yap</t>
        </is>
      </c>
      <c r="I128" s="31" t="n">
        <v>93.0</v>
      </c>
      <c r="J128" s="32" t="n">
        <v>5278.0</v>
      </c>
      <c r="K128" s="33" t="n">
        <v>4866.95</v>
      </c>
      <c r="L128" s="34" t="n">
        <v>22.0</v>
      </c>
      <c r="M128" s="35" t="n">
        <v>3311.09</v>
      </c>
      <c r="N128" s="36" t="inlineStr">
        <is>
          <t>25 Ağustos 08.00-1 Eylül 07.59</t>
        </is>
      </c>
      <c r="O128" s="37" t="n">
        <v>16.6</v>
      </c>
      <c r="P128" s="38" t="n">
        <v>4866.95</v>
      </c>
      <c r="Q128" s="39"/>
      <c r="R128" s="40" t="n">
        <f>=IF(AND(ISBLANK(Q128), ISBLANK(U128)), "", "7 Günlük Fiyat")</f>
        <v>0.0</v>
      </c>
      <c r="S128" s="41" t="n">
        <f>=IF(OR(Q128="", R128=""), "-", IF(ISNUMBER(SEARCH("7 Günlük", R128)), IF(Q128&lt;=M128, O128, "-"), "-"))</f>
        <v>0.0</v>
      </c>
      <c r="T128" s="42" t="str">
        <f>=IF(ISBLANK(Q128), "", "Hayır")</f>
      </c>
      <c r="U128" s="43"/>
      <c r="V128" s="44" t="inlineStr">
        <is>
          <t>50461ed1-c2c8-4393-967e-55d58a3e2664</t>
        </is>
      </c>
    </row>
    <row r="129">
      <c r="A129" s="23" t="inlineStr">
        <is>
          <t>Rampalı Giriş Paspası Toz Ve Nem Alıcı Su Emici Kaymaz Paspas Apartman Dükkan Iş Yeri Paspası</t>
        </is>
      </c>
      <c r="B129" s="24" t="inlineStr">
        <is>
          <t>769999711</t>
        </is>
      </c>
      <c r="C129" s="25" t="inlineStr">
        <is>
          <t>TOZKONTROL-IYP1-SIYAH-120x1050</t>
        </is>
      </c>
      <c r="D129" s="26" t="inlineStr">
        <is>
          <t>TOZKONTROL-IYP1-SIYAH-120x1050</t>
        </is>
      </c>
      <c r="E129" s="27" t="inlineStr">
        <is>
          <t>120 x 1050</t>
        </is>
      </c>
      <c r="F129" s="28" t="inlineStr">
        <is>
          <t>TOZKONTROL-IYP1</t>
        </is>
      </c>
      <c r="G129" s="29" t="inlineStr">
        <is>
          <t>Kapı Önü Paspası</t>
        </is>
      </c>
      <c r="H129" s="30" t="inlineStr">
        <is>
          <t>Paspas Yap</t>
        </is>
      </c>
      <c r="I129" s="31" t="n">
        <v>93.0</v>
      </c>
      <c r="J129" s="32" t="n">
        <v>23280.0</v>
      </c>
      <c r="K129" s="33" t="n">
        <v>21506.81</v>
      </c>
      <c r="L129" s="34" t="n">
        <v>22.0</v>
      </c>
      <c r="M129" s="35" t="n">
        <v>15020.0</v>
      </c>
      <c r="N129" s="36" t="inlineStr">
        <is>
          <t>25 Ağustos 08.00-1 Eylül 07.59</t>
        </is>
      </c>
      <c r="O129" s="37" t="n">
        <v>17.0</v>
      </c>
      <c r="P129" s="38" t="n">
        <v>21506.81</v>
      </c>
      <c r="Q129" s="39"/>
      <c r="R129" s="40" t="n">
        <f>=IF(AND(ISBLANK(Q129), ISBLANK(U129)), "", "7 Günlük Fiyat")</f>
        <v>0.0</v>
      </c>
      <c r="S129" s="41" t="n">
        <f>=IF(OR(Q129="", R129=""), "-", IF(ISNUMBER(SEARCH("7 Günlük", R129)), IF(Q129&lt;=M129, O129, "-"), "-"))</f>
        <v>0.0</v>
      </c>
      <c r="T129" s="42" t="str">
        <f>=IF(ISBLANK(Q129), "", "Hayır")</f>
      </c>
      <c r="U129" s="43"/>
      <c r="V129" s="44" t="inlineStr">
        <is>
          <t>50461ed1-c2c8-4393-967e-55d58a3e2664</t>
        </is>
      </c>
    </row>
    <row r="130">
      <c r="A130" s="23" t="inlineStr">
        <is>
          <t>Rampalı Giriş Paspası Toz Ve Nem Alıcı Su Emici Kaymaz Paspas Apartman Dükkan Iş Yeri Paspası</t>
        </is>
      </c>
      <c r="B130" s="24" t="inlineStr">
        <is>
          <t>769999711</t>
        </is>
      </c>
      <c r="C130" s="25" t="inlineStr">
        <is>
          <t>TOZKONTROL-IYP1-SIYAH-1001250</t>
        </is>
      </c>
      <c r="D130" s="26" t="inlineStr">
        <is>
          <t>TOZKONTROL-IYP1-SIYAH-1001250</t>
        </is>
      </c>
      <c r="E130" s="27" t="inlineStr">
        <is>
          <t>100 x 1250</t>
        </is>
      </c>
      <c r="F130" s="28" t="inlineStr">
        <is>
          <t>TOZKONTROL-IYP1</t>
        </is>
      </c>
      <c r="G130" s="29" t="inlineStr">
        <is>
          <t>Kapı Önü Paspası</t>
        </is>
      </c>
      <c r="H130" s="30" t="inlineStr">
        <is>
          <t>Paspas Yap</t>
        </is>
      </c>
      <c r="I130" s="31" t="n">
        <v>93.0</v>
      </c>
      <c r="J130" s="32" t="n">
        <v>23175.0</v>
      </c>
      <c r="K130" s="33" t="n">
        <v>21329.32</v>
      </c>
      <c r="L130" s="34" t="n">
        <v>22.0</v>
      </c>
      <c r="M130" s="35" t="n">
        <v>14456.44</v>
      </c>
      <c r="N130" s="36" t="inlineStr">
        <is>
          <t>25 Ağustos 08.00-1 Eylül 07.59</t>
        </is>
      </c>
      <c r="O130" s="37" t="n">
        <v>16.5</v>
      </c>
      <c r="P130" s="38" t="n">
        <v>21329.32</v>
      </c>
      <c r="Q130" s="39"/>
      <c r="R130" s="40" t="n">
        <f>=IF(AND(ISBLANK(Q130), ISBLANK(U130)), "", "7 Günlük Fiyat")</f>
        <v>0.0</v>
      </c>
      <c r="S130" s="41" t="n">
        <f>=IF(OR(Q130="", R130=""), "-", IF(ISNUMBER(SEARCH("7 Günlük", R130)), IF(Q130&lt;=M130, O130, "-"), "-"))</f>
        <v>0.0</v>
      </c>
      <c r="T130" s="42" t="str">
        <f>=IF(ISBLANK(Q130), "", "Hayır")</f>
      </c>
      <c r="U130" s="43"/>
      <c r="V130" s="44" t="inlineStr">
        <is>
          <t>50461ed1-c2c8-4393-967e-55d58a3e2664</t>
        </is>
      </c>
    </row>
    <row r="131">
      <c r="A131" s="23" t="inlineStr">
        <is>
          <t>Rampalı Giriş Paspası Toz Ve Nem Alıcı Su Emici Kaymaz Paspas Apartman Dükkan Iş Yeri Paspası</t>
        </is>
      </c>
      <c r="B131" s="24" t="inlineStr">
        <is>
          <t>769999711</t>
        </is>
      </c>
      <c r="C131" s="25" t="inlineStr">
        <is>
          <t>TOZKONTROL-IYP1-SIYAH-1001300</t>
        </is>
      </c>
      <c r="D131" s="26" t="inlineStr">
        <is>
          <t>TOZKONTROL-IYP1-SIYAH-1001300</t>
        </is>
      </c>
      <c r="E131" s="27" t="inlineStr">
        <is>
          <t>100 x 1300</t>
        </is>
      </c>
      <c r="F131" s="28" t="inlineStr">
        <is>
          <t>TOZKONTROL-IYP1</t>
        </is>
      </c>
      <c r="G131" s="29" t="inlineStr">
        <is>
          <t>Kapı Önü Paspası</t>
        </is>
      </c>
      <c r="H131" s="30" t="inlineStr">
        <is>
          <t>Paspas Yap</t>
        </is>
      </c>
      <c r="I131" s="31" t="n">
        <v>93.0</v>
      </c>
      <c r="J131" s="32" t="n">
        <v>23914.0</v>
      </c>
      <c r="K131" s="33" t="n">
        <v>22031.01</v>
      </c>
      <c r="L131" s="34" t="n">
        <v>22.0</v>
      </c>
      <c r="M131" s="35" t="n">
        <v>14990.93</v>
      </c>
      <c r="N131" s="36" t="inlineStr">
        <is>
          <t>25 Ağustos 08.00-1 Eylül 07.59</t>
        </is>
      </c>
      <c r="O131" s="37" t="n">
        <v>16.6</v>
      </c>
      <c r="P131" s="38" t="n">
        <v>22031.01</v>
      </c>
      <c r="Q131" s="39"/>
      <c r="R131" s="40" t="n">
        <f>=IF(AND(ISBLANK(Q131), ISBLANK(U131)), "", "7 Günlük Fiyat")</f>
        <v>0.0</v>
      </c>
      <c r="S131" s="41" t="n">
        <f>=IF(OR(Q131="", R131=""), "-", IF(ISNUMBER(SEARCH("7 Günlük", R131)), IF(Q131&lt;=M131, O131, "-"), "-"))</f>
        <v>0.0</v>
      </c>
      <c r="T131" s="42" t="str">
        <f>=IF(ISBLANK(Q131), "", "Hayır")</f>
      </c>
      <c r="U131" s="43"/>
      <c r="V131" s="44" t="inlineStr">
        <is>
          <t>50461ed1-c2c8-4393-967e-55d58a3e2664</t>
        </is>
      </c>
    </row>
    <row r="132">
      <c r="A132" s="23" t="inlineStr">
        <is>
          <t>Rampalı Giriş Paspası Toz Ve Nem Alıcı Su Emici Kaymaz Paspas Apartman Dükkan Iş Yeri Paspası</t>
        </is>
      </c>
      <c r="B132" s="24" t="inlineStr">
        <is>
          <t>769999711</t>
        </is>
      </c>
      <c r="C132" s="25" t="inlineStr">
        <is>
          <t>TOZKONTROL-IYP1-SIYAH-80750</t>
        </is>
      </c>
      <c r="D132" s="26" t="inlineStr">
        <is>
          <t>TOZKONTROL-IYP1-SIYAH-80750</t>
        </is>
      </c>
      <c r="E132" s="27" t="inlineStr">
        <is>
          <t>80 x 750</t>
        </is>
      </c>
      <c r="F132" s="28" t="inlineStr">
        <is>
          <t>TOZKONTROL-IYP1</t>
        </is>
      </c>
      <c r="G132" s="29" t="inlineStr">
        <is>
          <t>Kapı Önü Paspası</t>
        </is>
      </c>
      <c r="H132" s="30" t="inlineStr">
        <is>
          <t>Paspas Yap</t>
        </is>
      </c>
      <c r="I132" s="31" t="n">
        <v>93.0</v>
      </c>
      <c r="J132" s="32" t="n">
        <v>10655.0</v>
      </c>
      <c r="K132" s="33" t="n">
        <v>9867.43</v>
      </c>
      <c r="L132" s="34" t="n">
        <v>22.0</v>
      </c>
      <c r="M132" s="35" t="n">
        <v>6703.22</v>
      </c>
      <c r="N132" s="36" t="inlineStr">
        <is>
          <t>25 Ağustos 08.00-1 Eylül 07.59</t>
        </is>
      </c>
      <c r="O132" s="37" t="n">
        <v>16.7</v>
      </c>
      <c r="P132" s="38" t="n">
        <v>9867.43</v>
      </c>
      <c r="Q132" s="39"/>
      <c r="R132" s="40" t="n">
        <f>=IF(AND(ISBLANK(Q132), ISBLANK(U132)), "", "7 Günlük Fiyat")</f>
        <v>0.0</v>
      </c>
      <c r="S132" s="41" t="n">
        <f>=IF(OR(Q132="", R132=""), "-", IF(ISNUMBER(SEARCH("7 Günlük", R132)), IF(Q132&lt;=M132, O132, "-"), "-"))</f>
        <v>0.0</v>
      </c>
      <c r="T132" s="42" t="str">
        <f>=IF(ISBLANK(Q132), "", "Hayır")</f>
      </c>
      <c r="U132" s="43"/>
      <c r="V132" s="44" t="inlineStr">
        <is>
          <t>50461ed1-c2c8-4393-967e-55d58a3e2664</t>
        </is>
      </c>
    </row>
    <row r="133">
      <c r="A133" s="23" t="inlineStr">
        <is>
          <t>Rampalı Giriş Paspası Toz Ve Nem Alıcı Su Emici Kaymaz Paspas Apartman Dükkan Iş Yeri Paspası</t>
        </is>
      </c>
      <c r="B133" s="24" t="inlineStr">
        <is>
          <t>769999711</t>
        </is>
      </c>
      <c r="C133" s="25" t="inlineStr">
        <is>
          <t>TOZKONTROL-IYP1-SIYAH-120300</t>
        </is>
      </c>
      <c r="D133" s="26" t="inlineStr">
        <is>
          <t>TOZKONTROL-IYP1-SIYAH-120300</t>
        </is>
      </c>
      <c r="E133" s="27" t="inlineStr">
        <is>
          <t>120 x 300</t>
        </is>
      </c>
      <c r="F133" s="28" t="inlineStr">
        <is>
          <t>TOZKONTROL-IYP1</t>
        </is>
      </c>
      <c r="G133" s="29" t="inlineStr">
        <is>
          <t>Kapı Önü Paspası</t>
        </is>
      </c>
      <c r="H133" s="30" t="inlineStr">
        <is>
          <t>Paspas Yap</t>
        </is>
      </c>
      <c r="I133" s="31" t="n">
        <v>93.0</v>
      </c>
      <c r="J133" s="32" t="n">
        <v>6557.0</v>
      </c>
      <c r="K133" s="33" t="n">
        <v>6014.2</v>
      </c>
      <c r="L133" s="34" t="n">
        <v>22.0</v>
      </c>
      <c r="M133" s="35" t="n">
        <v>4043.36</v>
      </c>
      <c r="N133" s="36" t="inlineStr">
        <is>
          <t>25 Ağustos 08.00-1 Eylül 07.59</t>
        </is>
      </c>
      <c r="O133" s="37" t="n">
        <v>16.5</v>
      </c>
      <c r="P133" s="38" t="n">
        <v>6014.2</v>
      </c>
      <c r="Q133" s="39"/>
      <c r="R133" s="40" t="n">
        <f>=IF(AND(ISBLANK(Q133), ISBLANK(U133)), "", "7 Günlük Fiyat")</f>
        <v>0.0</v>
      </c>
      <c r="S133" s="41" t="n">
        <f>=IF(OR(Q133="", R133=""), "-", IF(ISNUMBER(SEARCH("7 Günlük", R133)), IF(Q133&lt;=M133, O133, "-"), "-"))</f>
        <v>0.0</v>
      </c>
      <c r="T133" s="42" t="str">
        <f>=IF(ISBLANK(Q133), "", "Hayır")</f>
      </c>
      <c r="U133" s="43"/>
      <c r="V133" s="44" t="inlineStr">
        <is>
          <t>50461ed1-c2c8-4393-967e-55d58a3e2664</t>
        </is>
      </c>
    </row>
    <row r="134">
      <c r="A134" s="23" t="inlineStr">
        <is>
          <t>Rampalı Giriş Paspası Toz Ve Nem Alıcı Su Emici Kaymaz Paspas Apartman Dükkan Iş Yeri Paspası</t>
        </is>
      </c>
      <c r="B134" s="24" t="inlineStr">
        <is>
          <t>769999711</t>
        </is>
      </c>
      <c r="C134" s="25" t="inlineStr">
        <is>
          <t>TOZKONTROL-IYP1-SIYAH-50100</t>
        </is>
      </c>
      <c r="D134" s="26" t="inlineStr">
        <is>
          <t>TOZKONTROL-IYP1-SIYAH-50100</t>
        </is>
      </c>
      <c r="E134" s="27" t="inlineStr">
        <is>
          <t>50 x 100</t>
        </is>
      </c>
      <c r="F134" s="28" t="inlineStr">
        <is>
          <t>TOZKONTROL-IYP1</t>
        </is>
      </c>
      <c r="G134" s="29" t="inlineStr">
        <is>
          <t>Kapı Önü Paspası</t>
        </is>
      </c>
      <c r="H134" s="30" t="inlineStr">
        <is>
          <t>Paspas Yap</t>
        </is>
      </c>
      <c r="I134" s="31" t="n">
        <v>90.0</v>
      </c>
      <c r="J134" s="32" t="n">
        <v>1264.0</v>
      </c>
      <c r="K134" s="33" t="n">
        <v>1071.35</v>
      </c>
      <c r="L134" s="34" t="n">
        <v>22.0</v>
      </c>
      <c r="M134" s="35" t="n">
        <v>786.59</v>
      </c>
      <c r="N134" s="36" t="inlineStr">
        <is>
          <t>25 Ağustos 08.00-1 Eylül 07.59</t>
        </is>
      </c>
      <c r="O134" s="37" t="n">
        <v>17.1</v>
      </c>
      <c r="P134" s="38" t="n">
        <v>1071.35</v>
      </c>
      <c r="Q134" s="39"/>
      <c r="R134" s="40" t="n">
        <f>=IF(AND(ISBLANK(Q134), ISBLANK(U134)), "", "7 Günlük Fiyat")</f>
        <v>0.0</v>
      </c>
      <c r="S134" s="41" t="n">
        <f>=IF(OR(Q134="", R134=""), "-", IF(ISNUMBER(SEARCH("7 Günlük", R134)), IF(Q134&lt;=M134, O134, "-"), "-"))</f>
        <v>0.0</v>
      </c>
      <c r="T134" s="42" t="str">
        <f>=IF(ISBLANK(Q134), "", "Hayır")</f>
      </c>
      <c r="U134" s="43"/>
      <c r="V134" s="44" t="inlineStr">
        <is>
          <t>50461ed1-c2c8-4393-967e-55d58a3e2664</t>
        </is>
      </c>
    </row>
    <row r="135">
      <c r="A135" s="23" t="inlineStr">
        <is>
          <t>Rampalı Giriş Paspası Toz Ve Nem Alıcı Su Emici Kaymaz Paspas Apartman Dükkan Iş Yeri Paspası</t>
        </is>
      </c>
      <c r="B135" s="24" t="inlineStr">
        <is>
          <t>769999711</t>
        </is>
      </c>
      <c r="C135" s="25" t="inlineStr">
        <is>
          <t>TOZKONTROL-IYP1-SIYAH-50120</t>
        </is>
      </c>
      <c r="D135" s="26" t="inlineStr">
        <is>
          <t>TOZKONTROL-IYP1-SIYAH-50120</t>
        </is>
      </c>
      <c r="E135" s="27" t="inlineStr">
        <is>
          <t>50 x 120</t>
        </is>
      </c>
      <c r="F135" s="28" t="inlineStr">
        <is>
          <t>TOZKONTROL-IYP1</t>
        </is>
      </c>
      <c r="G135" s="29" t="inlineStr">
        <is>
          <t>Kapı Önü Paspası</t>
        </is>
      </c>
      <c r="H135" s="30" t="inlineStr">
        <is>
          <t>Paspas Yap</t>
        </is>
      </c>
      <c r="I135" s="31" t="n">
        <v>93.0</v>
      </c>
      <c r="J135" s="32" t="n">
        <v>1599.0</v>
      </c>
      <c r="K135" s="33" t="n">
        <v>1380.23</v>
      </c>
      <c r="L135" s="34" t="n">
        <v>22.0</v>
      </c>
      <c r="M135" s="35" t="n">
        <v>1066.98</v>
      </c>
      <c r="N135" s="36" t="inlineStr">
        <is>
          <t>25 Ağustos 08.00-1 Eylül 07.59</t>
        </is>
      </c>
      <c r="O135" s="37" t="n">
        <v>17.5</v>
      </c>
      <c r="P135" s="38" t="n">
        <v>1380.23</v>
      </c>
      <c r="Q135" s="39"/>
      <c r="R135" s="40" t="n">
        <f>=IF(AND(ISBLANK(Q135), ISBLANK(U135)), "", "7 Günlük Fiyat")</f>
        <v>0.0</v>
      </c>
      <c r="S135" s="41" t="n">
        <f>=IF(OR(Q135="", R135=""), "-", IF(ISNUMBER(SEARCH("7 Günlük", R135)), IF(Q135&lt;=M135, O135, "-"), "-"))</f>
        <v>0.0</v>
      </c>
      <c r="T135" s="42" t="str">
        <f>=IF(ISBLANK(Q135), "", "Hayır")</f>
      </c>
      <c r="U135" s="43"/>
      <c r="V135" s="44" t="inlineStr">
        <is>
          <t>50461ed1-c2c8-4393-967e-55d58a3e2664</t>
        </is>
      </c>
    </row>
    <row r="136">
      <c r="A136" s="23" t="inlineStr">
        <is>
          <t>Rampalı Giriş Paspası Toz Ve Nem Alıcı Su Emici Kaymaz Paspas Apartman Dükkan Iş Yeri Paspası</t>
        </is>
      </c>
      <c r="B136" s="24" t="inlineStr">
        <is>
          <t>769999711</t>
        </is>
      </c>
      <c r="C136" s="25" t="inlineStr">
        <is>
          <t>TOZKONTROL-IYP1-SIYAH-1201000</t>
        </is>
      </c>
      <c r="D136" s="26" t="inlineStr">
        <is>
          <t>TOZKONTROL-IYP1-SIYAH-1201000</t>
        </is>
      </c>
      <c r="E136" s="27" t="inlineStr">
        <is>
          <t>120 x 1000</t>
        </is>
      </c>
      <c r="F136" s="28" t="inlineStr">
        <is>
          <t>TOZKONTROL-IYP1</t>
        </is>
      </c>
      <c r="G136" s="29" t="inlineStr">
        <is>
          <t>Kapı Önü Paspası</t>
        </is>
      </c>
      <c r="H136" s="30" t="inlineStr">
        <is>
          <t>Paspas Yap</t>
        </is>
      </c>
      <c r="I136" s="31" t="n">
        <v>93.0</v>
      </c>
      <c r="J136" s="32" t="n">
        <v>22715.0</v>
      </c>
      <c r="K136" s="33" t="n">
        <v>18830.04</v>
      </c>
      <c r="L136" s="34" t="n">
        <v>22.0</v>
      </c>
      <c r="M136" s="35" t="n">
        <v>12692.13</v>
      </c>
      <c r="N136" s="36" t="inlineStr">
        <is>
          <t>25 Ağustos 08.00-1 Eylül 07.59</t>
        </is>
      </c>
      <c r="O136" s="37" t="n">
        <v>16.3</v>
      </c>
      <c r="P136" s="38" t="n">
        <v>18830.04</v>
      </c>
      <c r="Q136" s="39"/>
      <c r="R136" s="40" t="n">
        <f>=IF(AND(ISBLANK(Q136), ISBLANK(U136)), "", "7 Günlük Fiyat")</f>
        <v>0.0</v>
      </c>
      <c r="S136" s="41" t="n">
        <f>=IF(OR(Q136="", R136=""), "-", IF(ISNUMBER(SEARCH("7 Günlük", R136)), IF(Q136&lt;=M136, O136, "-"), "-"))</f>
        <v>0.0</v>
      </c>
      <c r="T136" s="42" t="str">
        <f>=IF(ISBLANK(Q136), "", "Hayır")</f>
      </c>
      <c r="U136" s="43"/>
      <c r="V136" s="44" t="inlineStr">
        <is>
          <t>50461ed1-c2c8-4393-967e-55d58a3e2664</t>
        </is>
      </c>
    </row>
    <row r="137">
      <c r="A137" s="23" t="inlineStr">
        <is>
          <t>Rampalı Giriş Paspası Toz Ve Nem Alıcı Su Emici Kaymaz Paspas Apartman Dükkan Iş Yeri Paspası</t>
        </is>
      </c>
      <c r="B137" s="24" t="inlineStr">
        <is>
          <t>769999711</t>
        </is>
      </c>
      <c r="C137" s="25" t="inlineStr">
        <is>
          <t>TOZKONTROL-IYP1-SIYAH-120650</t>
        </is>
      </c>
      <c r="D137" s="26" t="inlineStr">
        <is>
          <t>TOZKONTROL-IYP1-SIYAH-120650</t>
        </is>
      </c>
      <c r="E137" s="27" t="inlineStr">
        <is>
          <t>120 x 650</t>
        </is>
      </c>
      <c r="F137" s="28" t="inlineStr">
        <is>
          <t>TOZKONTROL-IYP1</t>
        </is>
      </c>
      <c r="G137" s="29" t="inlineStr">
        <is>
          <t>Kapı Önü Paspası</t>
        </is>
      </c>
      <c r="H137" s="30" t="inlineStr">
        <is>
          <t>Paspas Yap</t>
        </is>
      </c>
      <c r="I137" s="31" t="n">
        <v>93.0</v>
      </c>
      <c r="J137" s="32" t="n">
        <v>12997.0</v>
      </c>
      <c r="K137" s="33" t="n">
        <v>12074.34</v>
      </c>
      <c r="L137" s="34" t="n">
        <v>22.0</v>
      </c>
      <c r="M137" s="35" t="n">
        <v>8308.13</v>
      </c>
      <c r="N137" s="36" t="inlineStr">
        <is>
          <t>25 Ağustos 08.00-1 Eylül 07.59</t>
        </is>
      </c>
      <c r="O137" s="37" t="n">
        <v>16.9</v>
      </c>
      <c r="P137" s="38" t="n">
        <v>12074.34</v>
      </c>
      <c r="Q137" s="39"/>
      <c r="R137" s="40" t="n">
        <f>=IF(AND(ISBLANK(Q137), ISBLANK(U137)), "", "7 Günlük Fiyat")</f>
        <v>0.0</v>
      </c>
      <c r="S137" s="41" t="n">
        <f>=IF(OR(Q137="", R137=""), "-", IF(ISNUMBER(SEARCH("7 Günlük", R137)), IF(Q137&lt;=M137, O137, "-"), "-"))</f>
        <v>0.0</v>
      </c>
      <c r="T137" s="42" t="str">
        <f>=IF(ISBLANK(Q137), "", "Hayır")</f>
      </c>
      <c r="U137" s="43"/>
      <c r="V137" s="44" t="inlineStr">
        <is>
          <t>50461ed1-c2c8-4393-967e-55d58a3e2664</t>
        </is>
      </c>
    </row>
    <row r="138">
      <c r="A138" s="23" t="inlineStr">
        <is>
          <t>Rampalı Giriş Paspası Toz Ve Nem Alıcı Su Emici Kaymaz Paspas Apartman Dükkan Iş Yeri Paspası</t>
        </is>
      </c>
      <c r="B138" s="24" t="inlineStr">
        <is>
          <t>769999711</t>
        </is>
      </c>
      <c r="C138" s="25" t="inlineStr">
        <is>
          <t>TOZKONTROL-IYP1-SIYAH-1001200</t>
        </is>
      </c>
      <c r="D138" s="26" t="inlineStr">
        <is>
          <t>TOZKONTROL-IYP1-SIYAH-1001200</t>
        </is>
      </c>
      <c r="E138" s="27" t="inlineStr">
        <is>
          <t>100 x 1200</t>
        </is>
      </c>
      <c r="F138" s="28" t="inlineStr">
        <is>
          <t>TOZKONTROL-IYP1</t>
        </is>
      </c>
      <c r="G138" s="29" t="inlineStr">
        <is>
          <t>Kapı Önü Paspası</t>
        </is>
      </c>
      <c r="H138" s="30" t="inlineStr">
        <is>
          <t>Paspas Yap</t>
        </is>
      </c>
      <c r="I138" s="31" t="n">
        <v>93.0</v>
      </c>
      <c r="J138" s="32" t="n">
        <v>22715.0</v>
      </c>
      <c r="K138" s="33" t="n">
        <v>20894.16</v>
      </c>
      <c r="L138" s="34" t="n">
        <v>22.0</v>
      </c>
      <c r="M138" s="35" t="n">
        <v>14341.27</v>
      </c>
      <c r="N138" s="36" t="inlineStr">
        <is>
          <t>25 Ağustos 08.00-1 Eylül 07.59</t>
        </is>
      </c>
      <c r="O138" s="37" t="n">
        <v>16.7</v>
      </c>
      <c r="P138" s="38" t="n">
        <v>20894.16</v>
      </c>
      <c r="Q138" s="39"/>
      <c r="R138" s="40" t="n">
        <f>=IF(AND(ISBLANK(Q138), ISBLANK(U138)), "", "7 Günlük Fiyat")</f>
        <v>0.0</v>
      </c>
      <c r="S138" s="41" t="n">
        <f>=IF(OR(Q138="", R138=""), "-", IF(ISNUMBER(SEARCH("7 Günlük", R138)), IF(Q138&lt;=M138, O138, "-"), "-"))</f>
        <v>0.0</v>
      </c>
      <c r="T138" s="42" t="str">
        <f>=IF(ISBLANK(Q138), "", "Hayır")</f>
      </c>
      <c r="U138" s="43"/>
      <c r="V138" s="44" t="inlineStr">
        <is>
          <t>50461ed1-c2c8-4393-967e-55d58a3e2664</t>
        </is>
      </c>
    </row>
    <row r="139">
      <c r="A139" s="23" t="inlineStr">
        <is>
          <t>Rampalı Giriş Paspası Toz Ve Nem Alıcı Su Emici Kaymaz Paspas Apartman Dükkan Iş Yeri Paspası</t>
        </is>
      </c>
      <c r="B139" s="24" t="inlineStr">
        <is>
          <t>769999711</t>
        </is>
      </c>
      <c r="C139" s="25" t="inlineStr">
        <is>
          <t>TOZKONTROL-IYP1-SIYAH-80x1150</t>
        </is>
      </c>
      <c r="D139" s="26" t="inlineStr">
        <is>
          <t>TOZKONTROL-IYP1-SIYAH-80x1150</t>
        </is>
      </c>
      <c r="E139" s="27" t="inlineStr">
        <is>
          <t>80 x 1150</t>
        </is>
      </c>
      <c r="F139" s="28" t="inlineStr">
        <is>
          <t>TOZKONTROL-IYP1</t>
        </is>
      </c>
      <c r="G139" s="29" t="inlineStr">
        <is>
          <t>Kapı Önü Paspası</t>
        </is>
      </c>
      <c r="H139" s="30" t="inlineStr">
        <is>
          <t>Paspas Yap</t>
        </is>
      </c>
      <c r="I139" s="31" t="n">
        <v>93.0</v>
      </c>
      <c r="J139" s="32" t="n">
        <v>15482.0</v>
      </c>
      <c r="K139" s="33" t="n">
        <v>14395.71</v>
      </c>
      <c r="L139" s="34" t="n">
        <v>22.0</v>
      </c>
      <c r="M139" s="35" t="n">
        <v>9693.8</v>
      </c>
      <c r="N139" s="36" t="inlineStr">
        <is>
          <t>25 Ağustos 08.00-1 Eylül 07.59</t>
        </is>
      </c>
      <c r="O139" s="37" t="n">
        <v>16.6</v>
      </c>
      <c r="P139" s="38" t="n">
        <v>14395.71</v>
      </c>
      <c r="Q139" s="39"/>
      <c r="R139" s="40" t="n">
        <f>=IF(AND(ISBLANK(Q139), ISBLANK(U139)), "", "7 Günlük Fiyat")</f>
        <v>0.0</v>
      </c>
      <c r="S139" s="41" t="n">
        <f>=IF(OR(Q139="", R139=""), "-", IF(ISNUMBER(SEARCH("7 Günlük", R139)), IF(Q139&lt;=M139, O139, "-"), "-"))</f>
        <v>0.0</v>
      </c>
      <c r="T139" s="42" t="str">
        <f>=IF(ISBLANK(Q139), "", "Hayır")</f>
      </c>
      <c r="U139" s="43"/>
      <c r="V139" s="44" t="inlineStr">
        <is>
          <t>50461ed1-c2c8-4393-967e-55d58a3e2664</t>
        </is>
      </c>
    </row>
    <row r="140">
      <c r="A140" s="23" t="inlineStr">
        <is>
          <t>Rampalı Giriş Paspası Toz Ve Nem Alıcı Su Emici Kaymaz Paspas Apartman Dükkan Iş Yeri Paspası</t>
        </is>
      </c>
      <c r="B140" s="24" t="inlineStr">
        <is>
          <t>769999711</t>
        </is>
      </c>
      <c r="C140" s="25" t="inlineStr">
        <is>
          <t>TOZKONTROL-IYP1-SIYAH-1001000</t>
        </is>
      </c>
      <c r="D140" s="26" t="inlineStr">
        <is>
          <t>TOZKONTROL-IYP1-SIYAH-1001000</t>
        </is>
      </c>
      <c r="E140" s="27" t="inlineStr">
        <is>
          <t>100 x 1000</t>
        </is>
      </c>
      <c r="F140" s="28" t="inlineStr">
        <is>
          <t>TOZKONTROL-IYP1</t>
        </is>
      </c>
      <c r="G140" s="29" t="inlineStr">
        <is>
          <t>Kapı Önü Paspası</t>
        </is>
      </c>
      <c r="H140" s="30" t="inlineStr">
        <is>
          <t>Paspas Yap</t>
        </is>
      </c>
      <c r="I140" s="31" t="n">
        <v>93.0</v>
      </c>
      <c r="J140" s="32" t="n">
        <v>16738.0</v>
      </c>
      <c r="K140" s="33" t="n">
        <v>15501.81</v>
      </c>
      <c r="L140" s="34" t="n">
        <v>22.0</v>
      </c>
      <c r="M140" s="35" t="n">
        <v>10475.24</v>
      </c>
      <c r="N140" s="36" t="inlineStr">
        <is>
          <t>25 Ağustos 08.00-1 Eylül 07.59</t>
        </is>
      </c>
      <c r="O140" s="37" t="n">
        <v>16.7</v>
      </c>
      <c r="P140" s="38" t="n">
        <v>15501.81</v>
      </c>
      <c r="Q140" s="39"/>
      <c r="R140" s="40" t="n">
        <f>=IF(AND(ISBLANK(Q140), ISBLANK(U140)), "", "7 Günlük Fiyat")</f>
        <v>0.0</v>
      </c>
      <c r="S140" s="41" t="n">
        <f>=IF(OR(Q140="", R140=""), "-", IF(ISNUMBER(SEARCH("7 Günlük", R140)), IF(Q140&lt;=M140, O140, "-"), "-"))</f>
        <v>0.0</v>
      </c>
      <c r="T140" s="42" t="str">
        <f>=IF(ISBLANK(Q140), "", "Hayır")</f>
      </c>
      <c r="U140" s="43"/>
      <c r="V140" s="44" t="inlineStr">
        <is>
          <t>50461ed1-c2c8-4393-967e-55d58a3e2664</t>
        </is>
      </c>
    </row>
    <row r="141">
      <c r="A141" s="23" t="inlineStr">
        <is>
          <t>Rampalı Giriş Paspası Toz Ve Nem Alıcı Su Emici Kaymaz Paspas Apartman Dükkan Iş Yeri Paspası</t>
        </is>
      </c>
      <c r="B141" s="24" t="inlineStr">
        <is>
          <t>769999711</t>
        </is>
      </c>
      <c r="C141" s="25" t="inlineStr">
        <is>
          <t>TOZKONTROL-IYP1-SIYAH-100120</t>
        </is>
      </c>
      <c r="D141" s="26" t="inlineStr">
        <is>
          <t>TOZKONTROL-IYP1-SIYAH-100120</t>
        </is>
      </c>
      <c r="E141" s="27" t="inlineStr">
        <is>
          <t>100 x 120</t>
        </is>
      </c>
      <c r="F141" s="28" t="inlineStr">
        <is>
          <t>TOZKONTROL-IYP1</t>
        </is>
      </c>
      <c r="G141" s="29" t="inlineStr">
        <is>
          <t>Kapı Önü Paspası</t>
        </is>
      </c>
      <c r="H141" s="30" t="inlineStr">
        <is>
          <t>Paspas Yap</t>
        </is>
      </c>
      <c r="I141" s="31" t="n">
        <v>93.0</v>
      </c>
      <c r="J141" s="32" t="n">
        <v>2759.0</v>
      </c>
      <c r="K141" s="33" t="n">
        <v>2167.04</v>
      </c>
      <c r="L141" s="34" t="n">
        <v>22.0</v>
      </c>
      <c r="M141" s="35" t="n">
        <v>1505.8</v>
      </c>
      <c r="N141" s="36" t="inlineStr">
        <is>
          <t>25 Ağustos 08.00-1 Eylül 07.59</t>
        </is>
      </c>
      <c r="O141" s="37" t="n">
        <v>15.4</v>
      </c>
      <c r="P141" s="38" t="n">
        <v>2167.04</v>
      </c>
      <c r="Q141" s="39"/>
      <c r="R141" s="40" t="n">
        <f>=IF(AND(ISBLANK(Q141), ISBLANK(U141)), "", "7 Günlük Fiyat")</f>
        <v>0.0</v>
      </c>
      <c r="S141" s="41" t="n">
        <f>=IF(OR(Q141="", R141=""), "-", IF(ISNUMBER(SEARCH("7 Günlük", R141)), IF(Q141&lt;=M141, O141, "-"), "-"))</f>
        <v>0.0</v>
      </c>
      <c r="T141" s="42" t="str">
        <f>=IF(ISBLANK(Q141), "", "Hayır")</f>
      </c>
      <c r="U141" s="43"/>
      <c r="V141" s="44" t="inlineStr">
        <is>
          <t>50461ed1-c2c8-4393-967e-55d58a3e2664</t>
        </is>
      </c>
    </row>
    <row r="142">
      <c r="A142" s="23" t="inlineStr">
        <is>
          <t>Rampalı Giriş Paspası Toz Ve Nem Alıcı Su Emici Kaymaz Paspas Apartman Dükkan Iş Yeri Paspası</t>
        </is>
      </c>
      <c r="B142" s="24" t="inlineStr">
        <is>
          <t>769999711</t>
        </is>
      </c>
      <c r="C142" s="25" t="inlineStr">
        <is>
          <t>TOZKONTROL-IYP1-SIYAH-120900</t>
        </is>
      </c>
      <c r="D142" s="26" t="inlineStr">
        <is>
          <t>TOZKONTROL-IYP1-SIYAH-120900</t>
        </is>
      </c>
      <c r="E142" s="27" t="inlineStr">
        <is>
          <t>120 x 900</t>
        </is>
      </c>
      <c r="F142" s="28" t="inlineStr">
        <is>
          <t>TOZKONTROL-IYP1</t>
        </is>
      </c>
      <c r="G142" s="29" t="inlineStr">
        <is>
          <t>Kapı Önü Paspası</t>
        </is>
      </c>
      <c r="H142" s="30" t="inlineStr">
        <is>
          <t>Paspas Yap</t>
        </is>
      </c>
      <c r="I142" s="31" t="n">
        <v>93.0</v>
      </c>
      <c r="J142" s="32" t="n">
        <v>20833.0</v>
      </c>
      <c r="K142" s="33" t="n">
        <v>19224.97</v>
      </c>
      <c r="L142" s="34" t="n">
        <v>22.0</v>
      </c>
      <c r="M142" s="35" t="n">
        <v>13382.71</v>
      </c>
      <c r="N142" s="36" t="inlineStr">
        <is>
          <t>25 Ağustos 08.00-1 Eylül 07.59</t>
        </is>
      </c>
      <c r="O142" s="37" t="n">
        <v>16.9</v>
      </c>
      <c r="P142" s="38" t="n">
        <v>19224.97</v>
      </c>
      <c r="Q142" s="39"/>
      <c r="R142" s="40" t="n">
        <f>=IF(AND(ISBLANK(Q142), ISBLANK(U142)), "", "7 Günlük Fiyat")</f>
        <v>0.0</v>
      </c>
      <c r="S142" s="41" t="n">
        <f>=IF(OR(Q142="", R142=""), "-", IF(ISNUMBER(SEARCH("7 Günlük", R142)), IF(Q142&lt;=M142, O142, "-"), "-"))</f>
        <v>0.0</v>
      </c>
      <c r="T142" s="42" t="str">
        <f>=IF(ISBLANK(Q142), "", "Hayır")</f>
      </c>
      <c r="U142" s="43"/>
      <c r="V142" s="44" t="inlineStr">
        <is>
          <t>50461ed1-c2c8-4393-967e-55d58a3e2664</t>
        </is>
      </c>
    </row>
    <row r="143">
      <c r="A143" s="23" t="inlineStr">
        <is>
          <t>Rampalı Giriş Paspası Toz Ve Nem Alıcı Su Emici Kaymaz Paspas Apartman Dükkan Iş Yeri Paspası</t>
        </is>
      </c>
      <c r="B143" s="24" t="inlineStr">
        <is>
          <t>769999711</t>
        </is>
      </c>
      <c r="C143" s="25" t="inlineStr">
        <is>
          <t>TOZKONTROL-IYP1-SIYAH-80250</t>
        </is>
      </c>
      <c r="D143" s="26" t="inlineStr">
        <is>
          <t>TOZKONTROL-IYP1-SIYAH-80250</t>
        </is>
      </c>
      <c r="E143" s="27" t="inlineStr">
        <is>
          <t>80 x 250</t>
        </is>
      </c>
      <c r="F143" s="28" t="inlineStr">
        <is>
          <t>TOZKONTROL-IYP1</t>
        </is>
      </c>
      <c r="G143" s="29" t="inlineStr">
        <is>
          <t>Kapı Önü Paspası</t>
        </is>
      </c>
      <c r="H143" s="30" t="inlineStr">
        <is>
          <t>Paspas Yap</t>
        </is>
      </c>
      <c r="I143" s="31" t="n">
        <v>93.0</v>
      </c>
      <c r="J143" s="32" t="n">
        <v>3729.0</v>
      </c>
      <c r="K143" s="33" t="n">
        <v>2904.86</v>
      </c>
      <c r="L143" s="34" t="n">
        <v>22.0</v>
      </c>
      <c r="M143" s="35" t="n">
        <v>2130.38</v>
      </c>
      <c r="N143" s="36" t="inlineStr">
        <is>
          <t>25 Ağustos 08.00-1 Eylül 07.59</t>
        </is>
      </c>
      <c r="O143" s="37" t="n">
        <v>16.6</v>
      </c>
      <c r="P143" s="38" t="n">
        <v>2904.86</v>
      </c>
      <c r="Q143" s="39"/>
      <c r="R143" s="40" t="n">
        <f>=IF(AND(ISBLANK(Q143), ISBLANK(U143)), "", "7 Günlük Fiyat")</f>
        <v>0.0</v>
      </c>
      <c r="S143" s="41" t="n">
        <f>=IF(OR(Q143="", R143=""), "-", IF(ISNUMBER(SEARCH("7 Günlük", R143)), IF(Q143&lt;=M143, O143, "-"), "-"))</f>
        <v>0.0</v>
      </c>
      <c r="T143" s="42" t="str">
        <f>=IF(ISBLANK(Q143), "", "Hayır")</f>
      </c>
      <c r="U143" s="43"/>
      <c r="V143" s="44" t="inlineStr">
        <is>
          <t>50461ed1-c2c8-4393-967e-55d58a3e2664</t>
        </is>
      </c>
    </row>
    <row r="144">
      <c r="A144" s="23" t="inlineStr">
        <is>
          <t>Rampalı Giriş Paspası Toz Ve Nem Alıcı Su Emici Kaymaz Paspas Apartman Dükkan Iş Yeri Paspası</t>
        </is>
      </c>
      <c r="B144" s="24" t="inlineStr">
        <is>
          <t>769999711</t>
        </is>
      </c>
      <c r="C144" s="25" t="inlineStr">
        <is>
          <t>TOZKONTROL-IYP1-SIYAH-100100</t>
        </is>
      </c>
      <c r="D144" s="26" t="inlineStr">
        <is>
          <t>TOZKONTROL-IYP1-SIYAH-100100</t>
        </is>
      </c>
      <c r="E144" s="27" t="inlineStr">
        <is>
          <t>100 x 100</t>
        </is>
      </c>
      <c r="F144" s="28" t="inlineStr">
        <is>
          <t>TOZKONTROL-IYP1</t>
        </is>
      </c>
      <c r="G144" s="29" t="inlineStr">
        <is>
          <t>Kapı Önü Paspası</t>
        </is>
      </c>
      <c r="H144" s="30" t="inlineStr">
        <is>
          <t>Paspas Yap</t>
        </is>
      </c>
      <c r="I144" s="31" t="n">
        <v>93.0</v>
      </c>
      <c r="J144" s="32" t="n">
        <v>2172.0</v>
      </c>
      <c r="K144" s="33" t="n">
        <v>1996.51</v>
      </c>
      <c r="L144" s="34" t="n">
        <v>22.0</v>
      </c>
      <c r="M144" s="35" t="n">
        <v>1452.06</v>
      </c>
      <c r="N144" s="36" t="inlineStr">
        <is>
          <t>25 Ağustos 08.00-1 Eylül 07.59</t>
        </is>
      </c>
      <c r="O144" s="37" t="n">
        <v>17.7</v>
      </c>
      <c r="P144" s="38" t="n">
        <v>1996.51</v>
      </c>
      <c r="Q144" s="39"/>
      <c r="R144" s="40" t="n">
        <f>=IF(AND(ISBLANK(Q144), ISBLANK(U144)), "", "7 Günlük Fiyat")</f>
        <v>0.0</v>
      </c>
      <c r="S144" s="41" t="n">
        <f>=IF(OR(Q144="", R144=""), "-", IF(ISNUMBER(SEARCH("7 Günlük", R144)), IF(Q144&lt;=M144, O144, "-"), "-"))</f>
        <v>0.0</v>
      </c>
      <c r="T144" s="42" t="str">
        <f>=IF(ISBLANK(Q144), "", "Hayır")</f>
      </c>
      <c r="U144" s="43"/>
      <c r="V144" s="44" t="inlineStr">
        <is>
          <t>50461ed1-c2c8-4393-967e-55d58a3e2664</t>
        </is>
      </c>
    </row>
    <row r="145">
      <c r="A145" s="23" t="inlineStr">
        <is>
          <t>Rampalı Giriş Paspası Toz Ve Nem Alıcı Su Emici Kaymaz Paspas Apartman Dükkan Iş Yeri Paspası</t>
        </is>
      </c>
      <c r="B145" s="24" t="inlineStr">
        <is>
          <t>769999711</t>
        </is>
      </c>
      <c r="C145" s="25" t="inlineStr">
        <is>
          <t>TOZKONTROL-IYP1-SIYAH-150250</t>
        </is>
      </c>
      <c r="D145" s="26" t="inlineStr">
        <is>
          <t>TOZKONTROL-IYP1-SIYAH-150250</t>
        </is>
      </c>
      <c r="E145" s="27" t="inlineStr">
        <is>
          <t>150 x 250</t>
        </is>
      </c>
      <c r="F145" s="28" t="inlineStr">
        <is>
          <t>TOZKONTROL-IYP1</t>
        </is>
      </c>
      <c r="G145" s="29" t="inlineStr">
        <is>
          <t>Kapı Önü Paspası</t>
        </is>
      </c>
      <c r="H145" s="30" t="inlineStr">
        <is>
          <t>Paspas Yap</t>
        </is>
      </c>
      <c r="I145" s="31" t="n">
        <v>93.0</v>
      </c>
      <c r="J145" s="32" t="n">
        <v>6600.0</v>
      </c>
      <c r="K145" s="33" t="n">
        <v>5133.65</v>
      </c>
      <c r="L145" s="34" t="n">
        <v>22.0</v>
      </c>
      <c r="M145" s="35" t="n">
        <v>3633.11</v>
      </c>
      <c r="N145" s="36" t="inlineStr">
        <is>
          <t>25 Ağustos 08.00-1 Eylül 07.59</t>
        </is>
      </c>
      <c r="O145" s="37" t="n">
        <v>15.5</v>
      </c>
      <c r="P145" s="38" t="n">
        <v>5133.65</v>
      </c>
      <c r="Q145" s="39"/>
      <c r="R145" s="40" t="n">
        <f>=IF(AND(ISBLANK(Q145), ISBLANK(U145)), "", "7 Günlük Fiyat")</f>
        <v>0.0</v>
      </c>
      <c r="S145" s="41" t="n">
        <f>=IF(OR(Q145="", R145=""), "-", IF(ISNUMBER(SEARCH("7 Günlük", R145)), IF(Q145&lt;=M145, O145, "-"), "-"))</f>
        <v>0.0</v>
      </c>
      <c r="T145" s="42" t="str">
        <f>=IF(ISBLANK(Q145), "", "Hayır")</f>
      </c>
      <c r="U145" s="43"/>
      <c r="V145" s="44" t="inlineStr">
        <is>
          <t>50461ed1-c2c8-4393-967e-55d58a3e2664</t>
        </is>
      </c>
    </row>
    <row r="146">
      <c r="A146" s="23" t="inlineStr">
        <is>
          <t>Rampalı Giriş Paspası Toz Ve Nem Alıcı Su Emici Kaymaz Paspas Apartman Dükkan Iş Yeri Paspası</t>
        </is>
      </c>
      <c r="B146" s="24" t="inlineStr">
        <is>
          <t>769999711</t>
        </is>
      </c>
      <c r="C146" s="25" t="inlineStr">
        <is>
          <t>TOZKONTROL-IYP1-SIYAH-100350</t>
        </is>
      </c>
      <c r="D146" s="26" t="inlineStr">
        <is>
          <t>TOZKONTROL-IYP1-SIYAH-100350</t>
        </is>
      </c>
      <c r="E146" s="27" t="inlineStr">
        <is>
          <t>100 x 350</t>
        </is>
      </c>
      <c r="F146" s="28" t="inlineStr">
        <is>
          <t>TOZKONTROL-IYP1</t>
        </is>
      </c>
      <c r="G146" s="29" t="inlineStr">
        <is>
          <t>Kapı Önü Paspası</t>
        </is>
      </c>
      <c r="H146" s="30" t="inlineStr">
        <is>
          <t>Paspas Yap</t>
        </is>
      </c>
      <c r="I146" s="31" t="n">
        <v>93.0</v>
      </c>
      <c r="J146" s="32" t="n">
        <v>6309.0</v>
      </c>
      <c r="K146" s="33" t="n">
        <v>5806.1</v>
      </c>
      <c r="L146" s="34" t="n">
        <v>22.0</v>
      </c>
      <c r="M146" s="35" t="n">
        <v>4020.03</v>
      </c>
      <c r="N146" s="36" t="inlineStr">
        <is>
          <t>25 Ağustos 08.00-1 Eylül 07.59</t>
        </is>
      </c>
      <c r="O146" s="37" t="n">
        <v>16.9</v>
      </c>
      <c r="P146" s="38" t="n">
        <v>5806.1</v>
      </c>
      <c r="Q146" s="39"/>
      <c r="R146" s="40" t="n">
        <f>=IF(AND(ISBLANK(Q146), ISBLANK(U146)), "", "7 Günlük Fiyat")</f>
        <v>0.0</v>
      </c>
      <c r="S146" s="41" t="n">
        <f>=IF(OR(Q146="", R146=""), "-", IF(ISNUMBER(SEARCH("7 Günlük", R146)), IF(Q146&lt;=M146, O146, "-"), "-"))</f>
        <v>0.0</v>
      </c>
      <c r="T146" s="42" t="str">
        <f>=IF(ISBLANK(Q146), "", "Hayır")</f>
      </c>
      <c r="U146" s="43"/>
      <c r="V146" s="44" t="inlineStr">
        <is>
          <t>50461ed1-c2c8-4393-967e-55d58a3e2664</t>
        </is>
      </c>
    </row>
    <row r="147">
      <c r="A147" s="23" t="inlineStr">
        <is>
          <t>Rampalı Giriş Paspası Toz Ve Nem Alıcı Su Emici Kaymaz Paspas Apartman Dükkan Iş Yeri Paspası</t>
        </is>
      </c>
      <c r="B147" s="24" t="inlineStr">
        <is>
          <t>769999711</t>
        </is>
      </c>
      <c r="C147" s="25" t="inlineStr">
        <is>
          <t>TOZKONTROL-IYP1-SIYAH-80150</t>
        </is>
      </c>
      <c r="D147" s="26" t="inlineStr">
        <is>
          <t>TOZKONTROL-IYP1-SIYAH-80150</t>
        </is>
      </c>
      <c r="E147" s="27" t="inlineStr">
        <is>
          <t>80 x 150</t>
        </is>
      </c>
      <c r="F147" s="28" t="inlineStr">
        <is>
          <t>TOZKONTROL-IYP1</t>
        </is>
      </c>
      <c r="G147" s="29" t="inlineStr">
        <is>
          <t>Kapı Önü Paspası</t>
        </is>
      </c>
      <c r="H147" s="30" t="inlineStr">
        <is>
          <t>Paspas Yap</t>
        </is>
      </c>
      <c r="I147" s="31" t="n">
        <v>93.0</v>
      </c>
      <c r="J147" s="32" t="n">
        <v>2759.0</v>
      </c>
      <c r="K147" s="33" t="n">
        <v>2327.79</v>
      </c>
      <c r="L147" s="34" t="n">
        <v>22.0</v>
      </c>
      <c r="M147" s="35" t="n">
        <v>1507.84</v>
      </c>
      <c r="N147" s="36" t="inlineStr">
        <is>
          <t>25 Ağustos 08.00-1 Eylül 07.59</t>
        </is>
      </c>
      <c r="O147" s="37" t="n">
        <v>14.9</v>
      </c>
      <c r="P147" s="38" t="n">
        <v>2327.79</v>
      </c>
      <c r="Q147" s="39"/>
      <c r="R147" s="40" t="n">
        <f>=IF(AND(ISBLANK(Q147), ISBLANK(U147)), "", "7 Günlük Fiyat")</f>
        <v>0.0</v>
      </c>
      <c r="S147" s="41" t="n">
        <f>=IF(OR(Q147="", R147=""), "-", IF(ISNUMBER(SEARCH("7 Günlük", R147)), IF(Q147&lt;=M147, O147, "-"), "-"))</f>
        <v>0.0</v>
      </c>
      <c r="T147" s="42" t="str">
        <f>=IF(ISBLANK(Q147), "", "Hayır")</f>
      </c>
      <c r="U147" s="43"/>
      <c r="V147" s="44" t="inlineStr">
        <is>
          <t>50461ed1-c2c8-4393-967e-55d58a3e2664</t>
        </is>
      </c>
    </row>
    <row r="148">
      <c r="A148" s="23" t="inlineStr">
        <is>
          <t>Rampalı Giriş Paspası Toz Ve Nem Alıcı Su Emici Kaymaz Paspas Apartman Dükkan Iş Yeri Paspası</t>
        </is>
      </c>
      <c r="B148" s="24" t="inlineStr">
        <is>
          <t>769999711</t>
        </is>
      </c>
      <c r="C148" s="25" t="inlineStr">
        <is>
          <t>TOZKONTROL-IYP1-SIYAH-80500</t>
        </is>
      </c>
      <c r="D148" s="26" t="inlineStr">
        <is>
          <t>TOZKONTROL-IYP1-SIYAH-80500</t>
        </is>
      </c>
      <c r="E148" s="27" t="inlineStr">
        <is>
          <t>80 x 500</t>
        </is>
      </c>
      <c r="F148" s="28" t="inlineStr">
        <is>
          <t>TOZKONTROL-IYP1</t>
        </is>
      </c>
      <c r="G148" s="29" t="inlineStr">
        <is>
          <t>Kapı Önü Paspası</t>
        </is>
      </c>
      <c r="H148" s="30" t="inlineStr">
        <is>
          <t>Paspas Yap</t>
        </is>
      </c>
      <c r="I148" s="31" t="n">
        <v>93.0</v>
      </c>
      <c r="J148" s="32" t="n">
        <v>7139.0</v>
      </c>
      <c r="K148" s="33" t="n">
        <v>6591.95</v>
      </c>
      <c r="L148" s="34" t="n">
        <v>22.0</v>
      </c>
      <c r="M148" s="35" t="n">
        <v>4580.0</v>
      </c>
      <c r="N148" s="36" t="inlineStr">
        <is>
          <t>25 Ağustos 08.00-1 Eylül 07.59</t>
        </is>
      </c>
      <c r="O148" s="37" t="n">
        <v>17.0</v>
      </c>
      <c r="P148" s="38" t="n">
        <v>6591.95</v>
      </c>
      <c r="Q148" s="39"/>
      <c r="R148" s="40" t="n">
        <f>=IF(AND(ISBLANK(Q148), ISBLANK(U148)), "", "7 Günlük Fiyat")</f>
        <v>0.0</v>
      </c>
      <c r="S148" s="41" t="n">
        <f>=IF(OR(Q148="", R148=""), "-", IF(ISNUMBER(SEARCH("7 Günlük", R148)), IF(Q148&lt;=M148, O148, "-"), "-"))</f>
        <v>0.0</v>
      </c>
      <c r="T148" s="42" t="str">
        <f>=IF(ISBLANK(Q148), "", "Hayır")</f>
      </c>
      <c r="U148" s="43"/>
      <c r="V148" s="44" t="inlineStr">
        <is>
          <t>50461ed1-c2c8-4393-967e-55d58a3e2664</t>
        </is>
      </c>
    </row>
    <row r="149">
      <c r="A149" s="23" t="inlineStr">
        <is>
          <t>Rampalı Giriş Paspası Toz Ve Nem Alıcı Su Emici Kaymaz Paspas Apartman Dükkan Iş Yeri Paspası</t>
        </is>
      </c>
      <c r="B149" s="24" t="inlineStr">
        <is>
          <t>769999711</t>
        </is>
      </c>
      <c r="C149" s="25" t="inlineStr">
        <is>
          <t>TOZKONTROL-IYP1-SIYAH-120600</t>
        </is>
      </c>
      <c r="D149" s="26" t="inlineStr">
        <is>
          <t>TOZKONTROL-IYP1-SIYAH-120600</t>
        </is>
      </c>
      <c r="E149" s="27" t="inlineStr">
        <is>
          <t>120 x 600</t>
        </is>
      </c>
      <c r="F149" s="28" t="inlineStr">
        <is>
          <t>TOZKONTROL-IYP1</t>
        </is>
      </c>
      <c r="G149" s="29" t="inlineStr">
        <is>
          <t>Kapı Önü Paspası</t>
        </is>
      </c>
      <c r="H149" s="30" t="inlineStr">
        <is>
          <t>Paspas Yap</t>
        </is>
      </c>
      <c r="I149" s="31" t="n">
        <v>93.0</v>
      </c>
      <c r="J149" s="32" t="n">
        <v>12542.0</v>
      </c>
      <c r="K149" s="33" t="n">
        <v>11521.02</v>
      </c>
      <c r="L149" s="34" t="n">
        <v>22.0</v>
      </c>
      <c r="M149" s="35" t="n">
        <v>7472.75</v>
      </c>
      <c r="N149" s="36" t="inlineStr">
        <is>
          <t>25 Ağustos 08.00-1 Eylül 07.59</t>
        </is>
      </c>
      <c r="O149" s="37" t="n">
        <v>16.0</v>
      </c>
      <c r="P149" s="38" t="n">
        <v>11521.02</v>
      </c>
      <c r="Q149" s="39"/>
      <c r="R149" s="40" t="n">
        <f>=IF(AND(ISBLANK(Q149), ISBLANK(U149)), "", "7 Günlük Fiyat")</f>
        <v>0.0</v>
      </c>
      <c r="S149" s="41" t="n">
        <f>=IF(OR(Q149="", R149=""), "-", IF(ISNUMBER(SEARCH("7 Günlük", R149)), IF(Q149&lt;=M149, O149, "-"), "-"))</f>
        <v>0.0</v>
      </c>
      <c r="T149" s="42" t="str">
        <f>=IF(ISBLANK(Q149), "", "Hayır")</f>
      </c>
      <c r="U149" s="43"/>
      <c r="V149" s="44" t="inlineStr">
        <is>
          <t>50461ed1-c2c8-4393-967e-55d58a3e2664</t>
        </is>
      </c>
    </row>
    <row r="150">
      <c r="A150" s="23" t="inlineStr">
        <is>
          <t>Rampalı Giriş Paspası Toz Ve Nem Alıcı Su Emici Kaymaz Paspas Apartman Dükkan Iş Yeri Paspası</t>
        </is>
      </c>
      <c r="B150" s="24" t="inlineStr">
        <is>
          <t>769999711</t>
        </is>
      </c>
      <c r="C150" s="25" t="inlineStr">
        <is>
          <t>TOZKONTROL-IYP1-SIYAH-4070</t>
        </is>
      </c>
      <c r="D150" s="26" t="inlineStr">
        <is>
          <t>TOZKONTROL-IYP1-SIYAH-4070</t>
        </is>
      </c>
      <c r="E150" s="27" t="inlineStr">
        <is>
          <t>40 x 70</t>
        </is>
      </c>
      <c r="F150" s="28" t="inlineStr">
        <is>
          <t>TOZKONTROL-IYP1</t>
        </is>
      </c>
      <c r="G150" s="29" t="inlineStr">
        <is>
          <t>Kapı Önü Paspası</t>
        </is>
      </c>
      <c r="H150" s="30" t="inlineStr">
        <is>
          <t>Paspas Yap</t>
        </is>
      </c>
      <c r="I150" s="31" t="n">
        <v>91.0</v>
      </c>
      <c r="J150" s="32" t="n">
        <v>799.0</v>
      </c>
      <c r="K150" s="33" t="n">
        <v>799.0</v>
      </c>
      <c r="L150" s="34" t="n">
        <v>22.0</v>
      </c>
      <c r="M150" s="35" t="n">
        <v>569.22</v>
      </c>
      <c r="N150" s="36" t="inlineStr">
        <is>
          <t>25 Ağustos 08.00-1 Eylül 07.59</t>
        </is>
      </c>
      <c r="O150" s="37" t="n">
        <v>16.8</v>
      </c>
      <c r="P150" s="38" t="n">
        <v>799.0</v>
      </c>
      <c r="Q150" s="39"/>
      <c r="R150" s="40" t="n">
        <f>=IF(AND(ISBLANK(Q150), ISBLANK(U150)), "", "7 Günlük Fiyat")</f>
        <v>0.0</v>
      </c>
      <c r="S150" s="41" t="n">
        <f>=IF(OR(Q150="", R150=""), "-", IF(ISNUMBER(SEARCH("7 Günlük", R150)), IF(Q150&lt;=M150, O150, "-"), "-"))</f>
        <v>0.0</v>
      </c>
      <c r="T150" s="42" t="str">
        <f>=IF(ISBLANK(Q150), "", "Hayır")</f>
      </c>
      <c r="U150" s="43"/>
      <c r="V150" s="44" t="inlineStr">
        <is>
          <t>50461ed1-c2c8-4393-967e-55d58a3e2664</t>
        </is>
      </c>
    </row>
    <row r="151">
      <c r="A151" s="23" t="inlineStr">
        <is>
          <t>Rampalı Giriş Paspası Toz Ve Nem Alıcı Su Emici Kaymaz Paspas Apartman Dükkan Iş Yeri Paspası</t>
        </is>
      </c>
      <c r="B151" s="24" t="inlineStr">
        <is>
          <t>769999711</t>
        </is>
      </c>
      <c r="C151" s="25" t="inlineStr">
        <is>
          <t>TOZKONTROL-IYP1-SIYAH-120150</t>
        </is>
      </c>
      <c r="D151" s="26" t="inlineStr">
        <is>
          <t>TOZKONTROL-IYP1-SIYAH-120150</t>
        </is>
      </c>
      <c r="E151" s="27" t="inlineStr">
        <is>
          <t>120 x 150</t>
        </is>
      </c>
      <c r="F151" s="28" t="inlineStr">
        <is>
          <t>TOZKONTROL-IYP1</t>
        </is>
      </c>
      <c r="G151" s="29" t="inlineStr">
        <is>
          <t>Kapı Önü Paspası</t>
        </is>
      </c>
      <c r="H151" s="30" t="inlineStr">
        <is>
          <t>Paspas Yap</t>
        </is>
      </c>
      <c r="I151" s="31" t="n">
        <v>92.0</v>
      </c>
      <c r="J151" s="32" t="n">
        <v>3376.0</v>
      </c>
      <c r="K151" s="33" t="n">
        <v>2568.5</v>
      </c>
      <c r="L151" s="34" t="n">
        <v>22.0</v>
      </c>
      <c r="M151" s="35" t="n">
        <v>1801.55</v>
      </c>
      <c r="N151" s="36" t="inlineStr">
        <is>
          <t>25 Ağustos 08.00-1 Eylül 07.59</t>
        </is>
      </c>
      <c r="O151" s="37" t="n">
        <v>15.6</v>
      </c>
      <c r="P151" s="38" t="n">
        <v>2568.5</v>
      </c>
      <c r="Q151" s="39"/>
      <c r="R151" s="40" t="n">
        <f>=IF(AND(ISBLANK(Q151), ISBLANK(U151)), "", "7 Günlük Fiyat")</f>
        <v>0.0</v>
      </c>
      <c r="S151" s="41" t="n">
        <f>=IF(OR(Q151="", R151=""), "-", IF(ISNUMBER(SEARCH("7 Günlük", R151)), IF(Q151&lt;=M151, O151, "-"), "-"))</f>
        <v>0.0</v>
      </c>
      <c r="T151" s="42" t="str">
        <f>=IF(ISBLANK(Q151), "", "Hayır")</f>
      </c>
      <c r="U151" s="43"/>
      <c r="V151" s="44" t="inlineStr">
        <is>
          <t>50461ed1-c2c8-4393-967e-55d58a3e2664</t>
        </is>
      </c>
    </row>
    <row r="152">
      <c r="A152" s="23" t="inlineStr">
        <is>
          <t>Rampalı Giriş Paspası Toz Ve Nem Alıcı Su Emici Kaymaz Paspas Apartman Dükkan Iş Yeri Paspası</t>
        </is>
      </c>
      <c r="B152" s="24" t="inlineStr">
        <is>
          <t>769999711</t>
        </is>
      </c>
      <c r="C152" s="25" t="inlineStr">
        <is>
          <t>TOZKONTROL-IYP1-SIYAH-100450</t>
        </is>
      </c>
      <c r="D152" s="26" t="inlineStr">
        <is>
          <t>TOZKONTROL-IYP1-SIYAH-100450</t>
        </is>
      </c>
      <c r="E152" s="27" t="inlineStr">
        <is>
          <t>100 x 450</t>
        </is>
      </c>
      <c r="F152" s="28" t="inlineStr">
        <is>
          <t>TOZKONTROL-IYP1</t>
        </is>
      </c>
      <c r="G152" s="29" t="inlineStr">
        <is>
          <t>Kapı Önü Paspası</t>
        </is>
      </c>
      <c r="H152" s="30" t="inlineStr">
        <is>
          <t>Paspas Yap</t>
        </is>
      </c>
      <c r="I152" s="31" t="n">
        <v>93.0</v>
      </c>
      <c r="J152" s="32" t="n">
        <v>7737.0</v>
      </c>
      <c r="K152" s="33" t="n">
        <v>7165.81</v>
      </c>
      <c r="L152" s="34" t="n">
        <v>22.0</v>
      </c>
      <c r="M152" s="35" t="n">
        <v>5029.96</v>
      </c>
      <c r="N152" s="36" t="inlineStr">
        <is>
          <t>25 Ağustos 08.00-1 Eylül 07.59</t>
        </is>
      </c>
      <c r="O152" s="37" t="n">
        <v>17.1</v>
      </c>
      <c r="P152" s="38" t="n">
        <v>7165.81</v>
      </c>
      <c r="Q152" s="39"/>
      <c r="R152" s="40" t="n">
        <f>=IF(AND(ISBLANK(Q152), ISBLANK(U152)), "", "7 Günlük Fiyat")</f>
        <v>0.0</v>
      </c>
      <c r="S152" s="41" t="n">
        <f>=IF(OR(Q152="", R152=""), "-", IF(ISNUMBER(SEARCH("7 Günlük", R152)), IF(Q152&lt;=M152, O152, "-"), "-"))</f>
        <v>0.0</v>
      </c>
      <c r="T152" s="42" t="str">
        <f>=IF(ISBLANK(Q152), "", "Hayır")</f>
      </c>
      <c r="U152" s="43"/>
      <c r="V152" s="44" t="inlineStr">
        <is>
          <t>50461ed1-c2c8-4393-967e-55d58a3e2664</t>
        </is>
      </c>
    </row>
    <row r="153">
      <c r="A153" s="23" t="inlineStr">
        <is>
          <t>Rampalı Giriş Paspası Toz Ve Nem Alıcı Su Emici Kaymaz Paspas Apartman Dükkan Iş Yeri Paspası</t>
        </is>
      </c>
      <c r="B153" s="24" t="inlineStr">
        <is>
          <t>769999711</t>
        </is>
      </c>
      <c r="C153" s="25" t="inlineStr">
        <is>
          <t>TOZKONTROL-IYP1-SIYAH-1001100</t>
        </is>
      </c>
      <c r="D153" s="26" t="inlineStr">
        <is>
          <t>TOZKONTROL-IYP1-SIYAH-1001100</t>
        </is>
      </c>
      <c r="E153" s="27" t="inlineStr">
        <is>
          <t>100 x 1100</t>
        </is>
      </c>
      <c r="F153" s="28" t="inlineStr">
        <is>
          <t>TOZKONTROL-IYP1</t>
        </is>
      </c>
      <c r="G153" s="29" t="inlineStr">
        <is>
          <t>Kapı Önü Paspası</t>
        </is>
      </c>
      <c r="H153" s="30" t="inlineStr">
        <is>
          <t>Paspas Yap</t>
        </is>
      </c>
      <c r="I153" s="31" t="n">
        <v>93.0</v>
      </c>
      <c r="J153" s="32" t="n">
        <v>20962.0</v>
      </c>
      <c r="K153" s="33" t="n">
        <v>19369.59</v>
      </c>
      <c r="L153" s="34" t="n">
        <v>22.0</v>
      </c>
      <c r="M153" s="35" t="n">
        <v>13552.31</v>
      </c>
      <c r="N153" s="36" t="inlineStr">
        <is>
          <t>25 Ağustos 08.00-1 Eylül 07.59</t>
        </is>
      </c>
      <c r="O153" s="37" t="n">
        <v>17.0</v>
      </c>
      <c r="P153" s="38" t="n">
        <v>19369.59</v>
      </c>
      <c r="Q153" s="39"/>
      <c r="R153" s="40" t="n">
        <f>=IF(AND(ISBLANK(Q153), ISBLANK(U153)), "", "7 Günlük Fiyat")</f>
        <v>0.0</v>
      </c>
      <c r="S153" s="41" t="n">
        <f>=IF(OR(Q153="", R153=""), "-", IF(ISNUMBER(SEARCH("7 Günlük", R153)), IF(Q153&lt;=M153, O153, "-"), "-"))</f>
        <v>0.0</v>
      </c>
      <c r="T153" s="42" t="str">
        <f>=IF(ISBLANK(Q153), "", "Hayır")</f>
      </c>
      <c r="U153" s="43"/>
      <c r="V153" s="44" t="inlineStr">
        <is>
          <t>50461ed1-c2c8-4393-967e-55d58a3e2664</t>
        </is>
      </c>
    </row>
    <row r="154">
      <c r="A154" s="23" t="inlineStr">
        <is>
          <t>Rampalı Giriş Paspası Toz Ve Nem Alıcı Su Emici Kaymaz Paspas Apartman Dükkan Iş Yeri Paspası</t>
        </is>
      </c>
      <c r="B154" s="24" t="inlineStr">
        <is>
          <t>769999711</t>
        </is>
      </c>
      <c r="C154" s="25" t="inlineStr">
        <is>
          <t>TOZKONTROL-IYP1-SIYAH-120200</t>
        </is>
      </c>
      <c r="D154" s="26" t="inlineStr">
        <is>
          <t>TOZKONTROL-IYP1-SIYAH-120200</t>
        </is>
      </c>
      <c r="E154" s="27" t="inlineStr">
        <is>
          <t>120 x 200</t>
        </is>
      </c>
      <c r="F154" s="28" t="inlineStr">
        <is>
          <t>TOZKONTROL-IYP1</t>
        </is>
      </c>
      <c r="G154" s="29" t="inlineStr">
        <is>
          <t>Kapı Önü Paspası</t>
        </is>
      </c>
      <c r="H154" s="30" t="inlineStr">
        <is>
          <t>Paspas Yap</t>
        </is>
      </c>
      <c r="I154" s="31" t="n">
        <v>93.0</v>
      </c>
      <c r="J154" s="32" t="n">
        <v>4496.0</v>
      </c>
      <c r="K154" s="33" t="n">
        <v>4077.68</v>
      </c>
      <c r="L154" s="34" t="n">
        <v>22.0</v>
      </c>
      <c r="M154" s="35" t="n">
        <v>2711.81</v>
      </c>
      <c r="N154" s="36" t="inlineStr">
        <is>
          <t>25 Ağustos 08.00-1 Eylül 07.59</t>
        </is>
      </c>
      <c r="O154" s="37" t="n">
        <v>16.2</v>
      </c>
      <c r="P154" s="38" t="n">
        <v>4077.68</v>
      </c>
      <c r="Q154" s="39"/>
      <c r="R154" s="40" t="n">
        <f>=IF(AND(ISBLANK(Q154), ISBLANK(U154)), "", "7 Günlük Fiyat")</f>
        <v>0.0</v>
      </c>
      <c r="S154" s="41" t="n">
        <f>=IF(OR(Q154="", R154=""), "-", IF(ISNUMBER(SEARCH("7 Günlük", R154)), IF(Q154&lt;=M154, O154, "-"), "-"))</f>
        <v>0.0</v>
      </c>
      <c r="T154" s="42" t="str">
        <f>=IF(ISBLANK(Q154), "", "Hayır")</f>
      </c>
      <c r="U154" s="43"/>
      <c r="V154" s="44" t="inlineStr">
        <is>
          <t>50461ed1-c2c8-4393-967e-55d58a3e2664</t>
        </is>
      </c>
    </row>
    <row r="155">
      <c r="A155" s="23" t="inlineStr">
        <is>
          <t>Rampalı Giriş Paspası Toz Ve Nem Alıcı Su Emici Kaymaz Paspas Apartman Dükkan Iş Yeri Paspası</t>
        </is>
      </c>
      <c r="B155" s="24" t="inlineStr">
        <is>
          <t>769999711</t>
        </is>
      </c>
      <c r="C155" s="25" t="inlineStr">
        <is>
          <t>TOZKONTROL-IYP1-SIYAH-80x1450</t>
        </is>
      </c>
      <c r="D155" s="26" t="inlineStr">
        <is>
          <t>TOZKONTROL-IYP1-SIYAH-80x1450</t>
        </is>
      </c>
      <c r="E155" s="27" t="inlineStr">
        <is>
          <t>80 x 1450</t>
        </is>
      </c>
      <c r="F155" s="28" t="inlineStr">
        <is>
          <t>TOZKONTROL-IYP1</t>
        </is>
      </c>
      <c r="G155" s="29" t="inlineStr">
        <is>
          <t>Kapı Önü Paspası</t>
        </is>
      </c>
      <c r="H155" s="30" t="inlineStr">
        <is>
          <t>Paspas Yap</t>
        </is>
      </c>
      <c r="I155" s="31" t="n">
        <v>93.0</v>
      </c>
      <c r="J155" s="32" t="n">
        <v>22087.0</v>
      </c>
      <c r="K155" s="33" t="n">
        <v>20436.01</v>
      </c>
      <c r="L155" s="34" t="n">
        <v>22.0</v>
      </c>
      <c r="M155" s="35" t="n">
        <v>14002.31</v>
      </c>
      <c r="N155" s="36" t="inlineStr">
        <is>
          <t>25 Ağustos 08.00-1 Eylül 07.59</t>
        </is>
      </c>
      <c r="O155" s="37" t="n">
        <v>16.7</v>
      </c>
      <c r="P155" s="38" t="n">
        <v>20436.01</v>
      </c>
      <c r="Q155" s="39"/>
      <c r="R155" s="40" t="n">
        <f>=IF(AND(ISBLANK(Q155), ISBLANK(U155)), "", "7 Günlük Fiyat")</f>
        <v>0.0</v>
      </c>
      <c r="S155" s="41" t="n">
        <f>=IF(OR(Q155="", R155=""), "-", IF(ISNUMBER(SEARCH("7 Günlük", R155)), IF(Q155&lt;=M155, O155, "-"), "-"))</f>
        <v>0.0</v>
      </c>
      <c r="T155" s="42" t="str">
        <f>=IF(ISBLANK(Q155), "", "Hayır")</f>
      </c>
      <c r="U155" s="43"/>
      <c r="V155" s="44" t="inlineStr">
        <is>
          <t>50461ed1-c2c8-4393-967e-55d58a3e2664</t>
        </is>
      </c>
    </row>
    <row r="156">
      <c r="A156" s="23" t="inlineStr">
        <is>
          <t>Rampalı Giriş Paspası Toz Ve Nem Alıcı Su Emici Kaymaz Paspas Apartman Dükkan Iş Yeri Paspası</t>
        </is>
      </c>
      <c r="B156" s="24" t="inlineStr">
        <is>
          <t>769999711</t>
        </is>
      </c>
      <c r="C156" s="25" t="inlineStr">
        <is>
          <t>TOZKONTROL-IYP1-SIYAH-80x1200</t>
        </is>
      </c>
      <c r="D156" s="26" t="inlineStr">
        <is>
          <t>TOZKONTROL-IYP1-SIYAH-80x1200</t>
        </is>
      </c>
      <c r="E156" s="27" t="inlineStr">
        <is>
          <t>80 x 1200</t>
        </is>
      </c>
      <c r="F156" s="28" t="inlineStr">
        <is>
          <t>TOZKONTROL-IYP1</t>
        </is>
      </c>
      <c r="G156" s="29" t="inlineStr">
        <is>
          <t>Kapı Önü Paspası</t>
        </is>
      </c>
      <c r="H156" s="30" t="inlineStr">
        <is>
          <t>Paspas Yap</t>
        </is>
      </c>
      <c r="I156" s="31" t="n">
        <v>93.0</v>
      </c>
      <c r="J156" s="32" t="n">
        <v>16099.0</v>
      </c>
      <c r="K156" s="33" t="n">
        <v>14993.81</v>
      </c>
      <c r="L156" s="34" t="n">
        <v>22.0</v>
      </c>
      <c r="M156" s="35" t="n">
        <v>10132.18</v>
      </c>
      <c r="N156" s="36" t="inlineStr">
        <is>
          <t>25 Ağustos 08.00-1 Eylül 07.59</t>
        </is>
      </c>
      <c r="O156" s="37" t="n">
        <v>16.7</v>
      </c>
      <c r="P156" s="38" t="n">
        <v>14993.81</v>
      </c>
      <c r="Q156" s="39"/>
      <c r="R156" s="40" t="n">
        <f>=IF(AND(ISBLANK(Q156), ISBLANK(U156)), "", "7 Günlük Fiyat")</f>
        <v>0.0</v>
      </c>
      <c r="S156" s="41" t="n">
        <f>=IF(OR(Q156="", R156=""), "-", IF(ISNUMBER(SEARCH("7 Günlük", R156)), IF(Q156&lt;=M156, O156, "-"), "-"))</f>
        <v>0.0</v>
      </c>
      <c r="T156" s="42" t="str">
        <f>=IF(ISBLANK(Q156), "", "Hayır")</f>
      </c>
      <c r="U156" s="43"/>
      <c r="V156" s="44" t="inlineStr">
        <is>
          <t>50461ed1-c2c8-4393-967e-55d58a3e2664</t>
        </is>
      </c>
    </row>
    <row r="157">
      <c r="A157" s="23" t="inlineStr">
        <is>
          <t>Rampalı Giriş Paspası Toz Ve Nem Alıcı Su Emici Kaymaz Paspas Apartman Dükkan Iş Yeri Paspası</t>
        </is>
      </c>
      <c r="B157" s="24" t="inlineStr">
        <is>
          <t>769999711</t>
        </is>
      </c>
      <c r="C157" s="25" t="inlineStr">
        <is>
          <t>TOZKONTROL-IYP1-SIYAH-100700</t>
        </is>
      </c>
      <c r="D157" s="26" t="inlineStr">
        <is>
          <t>TOZKONTROL-IYP1-SIYAH-100700</t>
        </is>
      </c>
      <c r="E157" s="27" t="inlineStr">
        <is>
          <t>100 x 700</t>
        </is>
      </c>
      <c r="F157" s="28" t="inlineStr">
        <is>
          <t>TOZKONTROL-IYP1</t>
        </is>
      </c>
      <c r="G157" s="29" t="inlineStr">
        <is>
          <t>Kapı Önü Paspası</t>
        </is>
      </c>
      <c r="H157" s="30" t="inlineStr">
        <is>
          <t>Paspas Yap</t>
        </is>
      </c>
      <c r="I157" s="31" t="n">
        <v>93.0</v>
      </c>
      <c r="J157" s="32" t="n">
        <v>12074.0</v>
      </c>
      <c r="K157" s="33" t="n">
        <v>10771.41</v>
      </c>
      <c r="L157" s="34" t="n">
        <v>22.0</v>
      </c>
      <c r="M157" s="35" t="n">
        <v>7211.37</v>
      </c>
      <c r="N157" s="36" t="inlineStr">
        <is>
          <t>25 Ağustos 08.00-1 Eylül 07.59</t>
        </is>
      </c>
      <c r="O157" s="37" t="n">
        <v>16.0</v>
      </c>
      <c r="P157" s="38" t="n">
        <v>10771.41</v>
      </c>
      <c r="Q157" s="39"/>
      <c r="R157" s="40" t="n">
        <f>=IF(AND(ISBLANK(Q157), ISBLANK(U157)), "", "7 Günlük Fiyat")</f>
        <v>0.0</v>
      </c>
      <c r="S157" s="41" t="n">
        <f>=IF(OR(Q157="", R157=""), "-", IF(ISNUMBER(SEARCH("7 Günlük", R157)), IF(Q157&lt;=M157, O157, "-"), "-"))</f>
        <v>0.0</v>
      </c>
      <c r="T157" s="42" t="str">
        <f>=IF(ISBLANK(Q157), "", "Hayır")</f>
      </c>
      <c r="U157" s="43"/>
      <c r="V157" s="44" t="inlineStr">
        <is>
          <t>50461ed1-c2c8-4393-967e-55d58a3e2664</t>
        </is>
      </c>
    </row>
    <row r="158">
      <c r="A158" s="23" t="inlineStr">
        <is>
          <t>Rampalı Giriş Paspası Toz Ve Nem Alıcı Su Emici Kaymaz Paspas Apartman Dükkan Iş Yeri Paspası</t>
        </is>
      </c>
      <c r="B158" s="24" t="inlineStr">
        <is>
          <t>769999711</t>
        </is>
      </c>
      <c r="C158" s="25" t="inlineStr">
        <is>
          <t>TOZKONTROL-IYP1-SIYAH-120350</t>
        </is>
      </c>
      <c r="D158" s="26" t="inlineStr">
        <is>
          <t>TOZKONTROL-IYP1-SIYAH-120350</t>
        </is>
      </c>
      <c r="E158" s="27" t="inlineStr">
        <is>
          <t>120 x 350</t>
        </is>
      </c>
      <c r="F158" s="28" t="inlineStr">
        <is>
          <t>TOZKONTROL-IYP1</t>
        </is>
      </c>
      <c r="G158" s="29" t="inlineStr">
        <is>
          <t>Kapı Önü Paspası</t>
        </is>
      </c>
      <c r="H158" s="30" t="inlineStr">
        <is>
          <t>Paspas Yap</t>
        </is>
      </c>
      <c r="I158" s="31" t="n">
        <v>93.0</v>
      </c>
      <c r="J158" s="32" t="n">
        <v>7217.0</v>
      </c>
      <c r="K158" s="33" t="n">
        <v>6685.4</v>
      </c>
      <c r="L158" s="34" t="n">
        <v>22.0</v>
      </c>
      <c r="M158" s="35" t="n">
        <v>4715.55</v>
      </c>
      <c r="N158" s="36" t="inlineStr">
        <is>
          <t>25 Ağustos 08.00-1 Eylül 07.59</t>
        </is>
      </c>
      <c r="O158" s="37" t="n">
        <v>17.2</v>
      </c>
      <c r="P158" s="38" t="n">
        <v>6685.4</v>
      </c>
      <c r="Q158" s="39"/>
      <c r="R158" s="40" t="n">
        <f>=IF(AND(ISBLANK(Q158), ISBLANK(U158)), "", "7 Günlük Fiyat")</f>
        <v>0.0</v>
      </c>
      <c r="S158" s="41" t="n">
        <f>=IF(OR(Q158="", R158=""), "-", IF(ISNUMBER(SEARCH("7 Günlük", R158)), IF(Q158&lt;=M158, O158, "-"), "-"))</f>
        <v>0.0</v>
      </c>
      <c r="T158" s="42" t="str">
        <f>=IF(ISBLANK(Q158), "", "Hayır")</f>
      </c>
      <c r="U158" s="43"/>
      <c r="V158" s="44" t="inlineStr">
        <is>
          <t>50461ed1-c2c8-4393-967e-55d58a3e2664</t>
        </is>
      </c>
    </row>
    <row r="159">
      <c r="A159" s="23" t="inlineStr">
        <is>
          <t>Rampalı Giriş Paspası Toz Ve Nem Alıcı Su Emici Kaymaz Paspas Apartman Dükkan Iş Yeri Paspası</t>
        </is>
      </c>
      <c r="B159" s="24" t="inlineStr">
        <is>
          <t>769999711</t>
        </is>
      </c>
      <c r="C159" s="25" t="inlineStr">
        <is>
          <t>TOZKONTROL-IYP1-SIYAH-80850</t>
        </is>
      </c>
      <c r="D159" s="26" t="inlineStr">
        <is>
          <t>TOZKONTROL-IYP1-SIYAH-80850</t>
        </is>
      </c>
      <c r="E159" s="27" t="inlineStr">
        <is>
          <t>80 x 850</t>
        </is>
      </c>
      <c r="F159" s="28" t="inlineStr">
        <is>
          <t>TOZKONTROL-IYP1</t>
        </is>
      </c>
      <c r="G159" s="29" t="inlineStr">
        <is>
          <t>Kapı Önü Paspası</t>
        </is>
      </c>
      <c r="H159" s="30" t="inlineStr">
        <is>
          <t>Paspas Yap</t>
        </is>
      </c>
      <c r="I159" s="31" t="n">
        <v>93.0</v>
      </c>
      <c r="J159" s="32" t="n">
        <v>11939.0</v>
      </c>
      <c r="K159" s="33" t="n">
        <v>11065.86</v>
      </c>
      <c r="L159" s="34" t="n">
        <v>22.0</v>
      </c>
      <c r="M159" s="35" t="n">
        <v>7540.27</v>
      </c>
      <c r="N159" s="36" t="inlineStr">
        <is>
          <t>25 Ağustos 08.00-1 Eylül 07.59</t>
        </is>
      </c>
      <c r="O159" s="37" t="n">
        <v>16.8</v>
      </c>
      <c r="P159" s="38" t="n">
        <v>11065.86</v>
      </c>
      <c r="Q159" s="39"/>
      <c r="R159" s="40" t="n">
        <f>=IF(AND(ISBLANK(Q159), ISBLANK(U159)), "", "7 Günlük Fiyat")</f>
        <v>0.0</v>
      </c>
      <c r="S159" s="41" t="n">
        <f>=IF(OR(Q159="", R159=""), "-", IF(ISNUMBER(SEARCH("7 Günlük", R159)), IF(Q159&lt;=M159, O159, "-"), "-"))</f>
        <v>0.0</v>
      </c>
      <c r="T159" s="42" t="str">
        <f>=IF(ISBLANK(Q159), "", "Hayır")</f>
      </c>
      <c r="U159" s="43"/>
      <c r="V159" s="44" t="inlineStr">
        <is>
          <t>50461ed1-c2c8-4393-967e-55d58a3e2664</t>
        </is>
      </c>
    </row>
    <row r="160">
      <c r="A160" s="23" t="inlineStr">
        <is>
          <t>Rampalı Giriş Paspası Toz Ve Nem Alıcı Su Emici Kaymaz Paspas Apartman Dükkan Iş Yeri Paspası</t>
        </is>
      </c>
      <c r="B160" s="24" t="inlineStr">
        <is>
          <t>769999711</t>
        </is>
      </c>
      <c r="C160" s="25" t="inlineStr">
        <is>
          <t>TOZKONTROL-IYP1-SIYAH-80550</t>
        </is>
      </c>
      <c r="D160" s="26" t="inlineStr">
        <is>
          <t>TOZKONTROL-IYP1-SIYAH-80550</t>
        </is>
      </c>
      <c r="E160" s="27" t="inlineStr">
        <is>
          <t>80 x 550</t>
        </is>
      </c>
      <c r="F160" s="28" t="inlineStr">
        <is>
          <t>TOZKONTROL-IYP1</t>
        </is>
      </c>
      <c r="G160" s="29" t="inlineStr">
        <is>
          <t>Kapı Önü Paspası</t>
        </is>
      </c>
      <c r="H160" s="30" t="inlineStr">
        <is>
          <t>Paspas Yap</t>
        </is>
      </c>
      <c r="I160" s="31" t="n">
        <v>93.0</v>
      </c>
      <c r="J160" s="32" t="n">
        <v>7711.0</v>
      </c>
      <c r="K160" s="33" t="n">
        <v>7140.98</v>
      </c>
      <c r="L160" s="34" t="n">
        <v>22.0</v>
      </c>
      <c r="M160" s="35" t="n">
        <v>5009.26</v>
      </c>
      <c r="N160" s="36" t="inlineStr">
        <is>
          <t>25 Ağustos 08.00-1 Eylül 07.59</t>
        </is>
      </c>
      <c r="O160" s="37" t="n">
        <v>17.1</v>
      </c>
      <c r="P160" s="38" t="n">
        <v>7140.98</v>
      </c>
      <c r="Q160" s="39"/>
      <c r="R160" s="40" t="n">
        <f>=IF(AND(ISBLANK(Q160), ISBLANK(U160)), "", "7 Günlük Fiyat")</f>
        <v>0.0</v>
      </c>
      <c r="S160" s="41" t="n">
        <f>=IF(OR(Q160="", R160=""), "-", IF(ISNUMBER(SEARCH("7 Günlük", R160)), IF(Q160&lt;=M160, O160, "-"), "-"))</f>
        <v>0.0</v>
      </c>
      <c r="T160" s="42" t="str">
        <f>=IF(ISBLANK(Q160), "", "Hayır")</f>
      </c>
      <c r="U160" s="43"/>
      <c r="V160" s="44" t="inlineStr">
        <is>
          <t>50461ed1-c2c8-4393-967e-55d58a3e2664</t>
        </is>
      </c>
    </row>
    <row r="161">
      <c r="A161" s="23" t="inlineStr">
        <is>
          <t>Rampalı Giriş Paspası Toz Ve Nem Alıcı Su Emici Kaymaz Paspas Apartman Dükkan Iş Yeri Paspası</t>
        </is>
      </c>
      <c r="B161" s="24" t="inlineStr">
        <is>
          <t>769999711</t>
        </is>
      </c>
      <c r="C161" s="25" t="inlineStr">
        <is>
          <t>TOZKONTROL-IYP1-SIYAH-100150</t>
        </is>
      </c>
      <c r="D161" s="26" t="inlineStr">
        <is>
          <t>TOZKONTROL-IYP1-SIYAH-100150</t>
        </is>
      </c>
      <c r="E161" s="27" t="inlineStr">
        <is>
          <t>100 x 150</t>
        </is>
      </c>
      <c r="F161" s="28" t="inlineStr">
        <is>
          <t>TOZKONTROL-IYP1</t>
        </is>
      </c>
      <c r="G161" s="29" t="inlineStr">
        <is>
          <t>Kapı Önü Paspası</t>
        </is>
      </c>
      <c r="H161" s="30" t="inlineStr">
        <is>
          <t>Paspas Yap</t>
        </is>
      </c>
      <c r="I161" s="31" t="n">
        <v>91.0</v>
      </c>
      <c r="J161" s="32" t="n">
        <v>2980.0</v>
      </c>
      <c r="K161" s="33" t="n">
        <v>2329.51</v>
      </c>
      <c r="L161" s="34" t="n">
        <v>22.0</v>
      </c>
      <c r="M161" s="35" t="n">
        <v>1701.84</v>
      </c>
      <c r="N161" s="36" t="inlineStr">
        <is>
          <t>25 Ağustos 08.00-1 Eylül 07.59</t>
        </is>
      </c>
      <c r="O161" s="37" t="n">
        <v>16.1</v>
      </c>
      <c r="P161" s="38" t="n">
        <v>2329.51</v>
      </c>
      <c r="Q161" s="39"/>
      <c r="R161" s="40" t="n">
        <f>=IF(AND(ISBLANK(Q161), ISBLANK(U161)), "", "7 Günlük Fiyat")</f>
        <v>0.0</v>
      </c>
      <c r="S161" s="41" t="n">
        <f>=IF(OR(Q161="", R161=""), "-", IF(ISNUMBER(SEARCH("7 Günlük", R161)), IF(Q161&lt;=M161, O161, "-"), "-"))</f>
        <v>0.0</v>
      </c>
      <c r="T161" s="42" t="str">
        <f>=IF(ISBLANK(Q161), "", "Hayır")</f>
      </c>
      <c r="U161" s="43"/>
      <c r="V161" s="44" t="inlineStr">
        <is>
          <t>50461ed1-c2c8-4393-967e-55d58a3e2664</t>
        </is>
      </c>
    </row>
    <row r="162">
      <c r="A162" s="23" t="inlineStr">
        <is>
          <t>Rampalı Giriş Paspası Toz Ve Nem Alıcı Su Emici Kaymaz Paspas Apartman Dükkan Iş Yeri Paspası</t>
        </is>
      </c>
      <c r="B162" s="24" t="inlineStr">
        <is>
          <t>769999711</t>
        </is>
      </c>
      <c r="C162" s="25" t="inlineStr">
        <is>
          <t>TOZKONTROL-IYP1-SIYAH-1201200</t>
        </is>
      </c>
      <c r="D162" s="26" t="inlineStr">
        <is>
          <t>TOZKONTROL-IYP1-SIYAH-1201200</t>
        </is>
      </c>
      <c r="E162" s="27" t="inlineStr">
        <is>
          <t>120 x 1200</t>
        </is>
      </c>
      <c r="F162" s="28" t="inlineStr">
        <is>
          <t>TOZKONTROL-IYP1</t>
        </is>
      </c>
      <c r="G162" s="29" t="inlineStr">
        <is>
          <t>Kapı Önü Paspası</t>
        </is>
      </c>
      <c r="H162" s="30" t="inlineStr">
        <is>
          <t>Paspas Yap</t>
        </is>
      </c>
      <c r="I162" s="31" t="n">
        <v>93.0</v>
      </c>
      <c r="J162" s="32" t="n">
        <v>25926.0</v>
      </c>
      <c r="K162" s="33" t="n">
        <v>21518.07</v>
      </c>
      <c r="L162" s="34" t="n">
        <v>22.0</v>
      </c>
      <c r="M162" s="35" t="n">
        <v>14515.48</v>
      </c>
      <c r="N162" s="36" t="inlineStr">
        <is>
          <t>25 Ağustos 08.00-1 Eylül 07.59</t>
        </is>
      </c>
      <c r="O162" s="37" t="n">
        <v>16.3</v>
      </c>
      <c r="P162" s="38" t="n">
        <v>21518.07</v>
      </c>
      <c r="Q162" s="39"/>
      <c r="R162" s="40" t="n">
        <f>=IF(AND(ISBLANK(Q162), ISBLANK(U162)), "", "7 Günlük Fiyat")</f>
        <v>0.0</v>
      </c>
      <c r="S162" s="41" t="n">
        <f>=IF(OR(Q162="", R162=""), "-", IF(ISNUMBER(SEARCH("7 Günlük", R162)), IF(Q162&lt;=M162, O162, "-"), "-"))</f>
        <v>0.0</v>
      </c>
      <c r="T162" s="42" t="str">
        <f>=IF(ISBLANK(Q162), "", "Hayır")</f>
      </c>
      <c r="U162" s="43"/>
      <c r="V162" s="44" t="inlineStr">
        <is>
          <t>50461ed1-c2c8-4393-967e-55d58a3e2664</t>
        </is>
      </c>
    </row>
    <row r="163">
      <c r="A163" s="23" t="inlineStr">
        <is>
          <t>Rampalı Giriş Paspası Toz Ve Nem Alıcı Su Emici Kaymaz Paspas Apartman Dükkan Iş Yeri Paspası</t>
        </is>
      </c>
      <c r="B163" s="24" t="inlineStr">
        <is>
          <t>769999711</t>
        </is>
      </c>
      <c r="C163" s="25" t="inlineStr">
        <is>
          <t>TOZKONTROL-IYP1-SIYAH-80x1050</t>
        </is>
      </c>
      <c r="D163" s="26" t="inlineStr">
        <is>
          <t>TOZKONTROL-IYP1-SIYAH-80x1050</t>
        </is>
      </c>
      <c r="E163" s="27" t="inlineStr">
        <is>
          <t>80 x 1050</t>
        </is>
      </c>
      <c r="F163" s="28" t="inlineStr">
        <is>
          <t>TOZKONTROL-IYP1</t>
        </is>
      </c>
      <c r="G163" s="29" t="inlineStr">
        <is>
          <t>Kapı Önü Paspası</t>
        </is>
      </c>
      <c r="H163" s="30" t="inlineStr">
        <is>
          <t>Paspas Yap</t>
        </is>
      </c>
      <c r="I163" s="31" t="n">
        <v>93.0</v>
      </c>
      <c r="J163" s="32" t="n">
        <v>14351.0</v>
      </c>
      <c r="K163" s="33" t="n">
        <v>13357.84</v>
      </c>
      <c r="L163" s="34" t="n">
        <v>22.0</v>
      </c>
      <c r="M163" s="35" t="n">
        <v>9080.57</v>
      </c>
      <c r="N163" s="36" t="inlineStr">
        <is>
          <t>25 Ağustos 08.00-1 Eylül 07.59</t>
        </is>
      </c>
      <c r="O163" s="37" t="n">
        <v>16.8</v>
      </c>
      <c r="P163" s="38" t="n">
        <v>13357.84</v>
      </c>
      <c r="Q163" s="39"/>
      <c r="R163" s="40" t="n">
        <f>=IF(AND(ISBLANK(Q163), ISBLANK(U163)), "", "7 Günlük Fiyat")</f>
        <v>0.0</v>
      </c>
      <c r="S163" s="41" t="n">
        <f>=IF(OR(Q163="", R163=""), "-", IF(ISNUMBER(SEARCH("7 Günlük", R163)), IF(Q163&lt;=M163, O163, "-"), "-"))</f>
        <v>0.0</v>
      </c>
      <c r="T163" s="42" t="str">
        <f>=IF(ISBLANK(Q163), "", "Hayır")</f>
      </c>
      <c r="U163" s="43"/>
      <c r="V163" s="44" t="inlineStr">
        <is>
          <t>50461ed1-c2c8-4393-967e-55d58a3e2664</t>
        </is>
      </c>
    </row>
    <row r="164">
      <c r="A164" s="23" t="inlineStr">
        <is>
          <t>Rampalı Giriş Paspası Toz Ve Nem Alıcı Su Emici Kaymaz Paspas Apartman Dükkan Iş Yeri Paspası</t>
        </is>
      </c>
      <c r="B164" s="24" t="inlineStr">
        <is>
          <t>769999711</t>
        </is>
      </c>
      <c r="C164" s="25" t="inlineStr">
        <is>
          <t>TOZKONTROL-IYP1-SIYAH-80120</t>
        </is>
      </c>
      <c r="D164" s="26" t="inlineStr">
        <is>
          <t>TOZKONTROL-IYP1-SIYAH-80120</t>
        </is>
      </c>
      <c r="E164" s="27" t="inlineStr">
        <is>
          <t>80 x 120</t>
        </is>
      </c>
      <c r="F164" s="28" t="inlineStr">
        <is>
          <t>TOZKONTROL-IYP1</t>
        </is>
      </c>
      <c r="G164" s="29" t="inlineStr">
        <is>
          <t>Kapı Önü Paspası</t>
        </is>
      </c>
      <c r="H164" s="30" t="inlineStr">
        <is>
          <t>Paspas Yap</t>
        </is>
      </c>
      <c r="I164" s="31" t="n">
        <v>92.0</v>
      </c>
      <c r="J164" s="32" t="n">
        <v>2128.0</v>
      </c>
      <c r="K164" s="33" t="n">
        <v>1969.38</v>
      </c>
      <c r="L164" s="34" t="n">
        <v>22.0</v>
      </c>
      <c r="M164" s="35" t="n">
        <v>1437.14</v>
      </c>
      <c r="N164" s="36" t="inlineStr">
        <is>
          <t>25 Ağustos 08.00-1 Eylül 07.59</t>
        </is>
      </c>
      <c r="O164" s="37" t="n">
        <v>17.5</v>
      </c>
      <c r="P164" s="38" t="n">
        <v>1969.38</v>
      </c>
      <c r="Q164" s="39"/>
      <c r="R164" s="40" t="n">
        <f>=IF(AND(ISBLANK(Q164), ISBLANK(U164)), "", "7 Günlük Fiyat")</f>
        <v>0.0</v>
      </c>
      <c r="S164" s="41" t="n">
        <f>=IF(OR(Q164="", R164=""), "-", IF(ISNUMBER(SEARCH("7 Günlük", R164)), IF(Q164&lt;=M164, O164, "-"), "-"))</f>
        <v>0.0</v>
      </c>
      <c r="T164" s="42" t="str">
        <f>=IF(ISBLANK(Q164), "", "Hayır")</f>
      </c>
      <c r="U164" s="43"/>
      <c r="V164" s="44" t="inlineStr">
        <is>
          <t>50461ed1-c2c8-4393-967e-55d58a3e2664</t>
        </is>
      </c>
    </row>
    <row r="165">
      <c r="A165" s="23" t="inlineStr">
        <is>
          <t>Rampalı Giriş Paspası Toz Ve Nem Alıcı Su Emici Kaymaz Paspas Apartman Dükkan Iş Yeri Paspası</t>
        </is>
      </c>
      <c r="B165" s="24" t="inlineStr">
        <is>
          <t>769999711</t>
        </is>
      </c>
      <c r="C165" s="25" t="inlineStr">
        <is>
          <t>TOZKONTROL-IYP1-SIYAH-80x1300</t>
        </is>
      </c>
      <c r="D165" s="26" t="inlineStr">
        <is>
          <t>TOZKONTROL-IYP1-SIYAH-80x1300</t>
        </is>
      </c>
      <c r="E165" s="27" t="inlineStr">
        <is>
          <t>80 x 1300</t>
        </is>
      </c>
      <c r="F165" s="28" t="inlineStr">
        <is>
          <t>TOZKONTROL-IYP1</t>
        </is>
      </c>
      <c r="G165" s="29" t="inlineStr">
        <is>
          <t>Kapı Önü Paspası</t>
        </is>
      </c>
      <c r="H165" s="30" t="inlineStr">
        <is>
          <t>Paspas Yap</t>
        </is>
      </c>
      <c r="I165" s="31" t="n">
        <v>93.0</v>
      </c>
      <c r="J165" s="32" t="n">
        <v>20205.0</v>
      </c>
      <c r="K165" s="33" t="n">
        <v>18903.01</v>
      </c>
      <c r="L165" s="34" t="n">
        <v>22.0</v>
      </c>
      <c r="M165" s="35" t="n">
        <v>13145.16</v>
      </c>
      <c r="N165" s="36" t="inlineStr">
        <is>
          <t>25 Ağustos 08.00-1 Eylül 07.59</t>
        </is>
      </c>
      <c r="O165" s="37" t="n">
        <v>17.2</v>
      </c>
      <c r="P165" s="38" t="n">
        <v>18903.01</v>
      </c>
      <c r="Q165" s="39"/>
      <c r="R165" s="40" t="n">
        <f>=IF(AND(ISBLANK(Q165), ISBLANK(U165)), "", "7 Günlük Fiyat")</f>
        <v>0.0</v>
      </c>
      <c r="S165" s="41" t="n">
        <f>=IF(OR(Q165="", R165=""), "-", IF(ISNUMBER(SEARCH("7 Günlük", R165)), IF(Q165&lt;=M165, O165, "-"), "-"))</f>
        <v>0.0</v>
      </c>
      <c r="T165" s="42" t="str">
        <f>=IF(ISBLANK(Q165), "", "Hayır")</f>
      </c>
      <c r="U165" s="43"/>
      <c r="V165" s="44" t="inlineStr">
        <is>
          <t>50461ed1-c2c8-4393-967e-55d58a3e2664</t>
        </is>
      </c>
    </row>
    <row r="166">
      <c r="A166" s="23" t="inlineStr">
        <is>
          <t>Rampalı Giriş Paspası Toz Ve Nem Alıcı Su Emici Kaymaz Paspas Apartman Dükkan Iş Yeri Paspası</t>
        </is>
      </c>
      <c r="B166" s="24" t="inlineStr">
        <is>
          <t>769999711</t>
        </is>
      </c>
      <c r="C166" s="25" t="inlineStr">
        <is>
          <t>TOZKONTROL-IYP1-SIYAH-80650</t>
        </is>
      </c>
      <c r="D166" s="26" t="inlineStr">
        <is>
          <t>TOZKONTROL-IYP1-SIYAH-80650</t>
        </is>
      </c>
      <c r="E166" s="27" t="inlineStr">
        <is>
          <t>80 x 650</t>
        </is>
      </c>
      <c r="F166" s="28" t="inlineStr">
        <is>
          <t>TOZKONTROL-IYP1</t>
        </is>
      </c>
      <c r="G166" s="29" t="inlineStr">
        <is>
          <t>Kapı Önü Paspası</t>
        </is>
      </c>
      <c r="H166" s="30" t="inlineStr">
        <is>
          <t>Paspas Yap</t>
        </is>
      </c>
      <c r="I166" s="31" t="n">
        <v>93.0</v>
      </c>
      <c r="J166" s="32" t="n">
        <v>9409.0</v>
      </c>
      <c r="K166" s="33" t="n">
        <v>8707.65</v>
      </c>
      <c r="L166" s="34" t="n">
        <v>22.0</v>
      </c>
      <c r="M166" s="35" t="n">
        <v>5979.8</v>
      </c>
      <c r="N166" s="36" t="inlineStr">
        <is>
          <t>25 Ağustos 08.00-1 Eylül 07.59</t>
        </is>
      </c>
      <c r="O166" s="37" t="n">
        <v>16.8</v>
      </c>
      <c r="P166" s="38" t="n">
        <v>8707.65</v>
      </c>
      <c r="Q166" s="39"/>
      <c r="R166" s="40" t="n">
        <f>=IF(AND(ISBLANK(Q166), ISBLANK(U166)), "", "7 Günlük Fiyat")</f>
        <v>0.0</v>
      </c>
      <c r="S166" s="41" t="n">
        <f>=IF(OR(Q166="", R166=""), "-", IF(ISNUMBER(SEARCH("7 Günlük", R166)), IF(Q166&lt;=M166, O166, "-"), "-"))</f>
        <v>0.0</v>
      </c>
      <c r="T166" s="42" t="str">
        <f>=IF(ISBLANK(Q166), "", "Hayır")</f>
      </c>
      <c r="U166" s="43"/>
      <c r="V166" s="44" t="inlineStr">
        <is>
          <t>50461ed1-c2c8-4393-967e-55d58a3e2664</t>
        </is>
      </c>
    </row>
    <row r="167">
      <c r="A167" s="23" t="inlineStr">
        <is>
          <t>Rampalı Giriş Paspası Toz Ve Nem Alıcı Su Emici Kaymaz Paspas Apartman Dükkan Iş Yeri Paspası</t>
        </is>
      </c>
      <c r="B167" s="24" t="inlineStr">
        <is>
          <t>769999711</t>
        </is>
      </c>
      <c r="C167" s="25" t="inlineStr">
        <is>
          <t>TOZKONTROL-IYP1-SIYAH-1001150</t>
        </is>
      </c>
      <c r="D167" s="26" t="inlineStr">
        <is>
          <t>TOZKONTROL-IYP1-SIYAH-1001150</t>
        </is>
      </c>
      <c r="E167" s="27" t="inlineStr">
        <is>
          <t>100 x 1150</t>
        </is>
      </c>
      <c r="F167" s="28" t="inlineStr">
        <is>
          <t>TOZKONTROL-IYP1</t>
        </is>
      </c>
      <c r="G167" s="29" t="inlineStr">
        <is>
          <t>Kapı Önü Paspası</t>
        </is>
      </c>
      <c r="H167" s="30" t="inlineStr">
        <is>
          <t>Paspas Yap</t>
        </is>
      </c>
      <c r="I167" s="31" t="n">
        <v>93.0</v>
      </c>
      <c r="J167" s="32" t="n">
        <v>21700.0</v>
      </c>
      <c r="K167" s="33" t="n">
        <v>20068.07</v>
      </c>
      <c r="L167" s="34" t="n">
        <v>22.0</v>
      </c>
      <c r="M167" s="35" t="n">
        <v>14076.28</v>
      </c>
      <c r="N167" s="36" t="inlineStr">
        <is>
          <t>25 Ağustos 08.00-1 Eylül 07.59</t>
        </is>
      </c>
      <c r="O167" s="37" t="n">
        <v>17.0</v>
      </c>
      <c r="P167" s="38" t="n">
        <v>20068.07</v>
      </c>
      <c r="Q167" s="39"/>
      <c r="R167" s="40" t="n">
        <f>=IF(AND(ISBLANK(Q167), ISBLANK(U167)), "", "7 Günlük Fiyat")</f>
        <v>0.0</v>
      </c>
      <c r="S167" s="41" t="n">
        <f>=IF(OR(Q167="", R167=""), "-", IF(ISNUMBER(SEARCH("7 Günlük", R167)), IF(Q167&lt;=M167, O167, "-"), "-"))</f>
        <v>0.0</v>
      </c>
      <c r="T167" s="42" t="str">
        <f>=IF(ISBLANK(Q167), "", "Hayır")</f>
      </c>
      <c r="U167" s="43"/>
      <c r="V167" s="44" t="inlineStr">
        <is>
          <t>50461ed1-c2c8-4393-967e-55d58a3e2664</t>
        </is>
      </c>
    </row>
    <row r="168">
      <c r="A168" s="23" t="inlineStr">
        <is>
          <t>Rampalı Giriş Paspası Toz Ve Nem Alıcı Su Emici Kaymaz Paspas Apartman Dükkan Iş Yeri Paspası</t>
        </is>
      </c>
      <c r="B168" s="24" t="inlineStr">
        <is>
          <t>769999711</t>
        </is>
      </c>
      <c r="C168" s="25" t="inlineStr">
        <is>
          <t>TOZKONTROL-IYP1-SIYAH-1001050</t>
        </is>
      </c>
      <c r="D168" s="26" t="inlineStr">
        <is>
          <t>TOZKONTROL-IYP1-SIYAH-1001050</t>
        </is>
      </c>
      <c r="E168" s="27" t="inlineStr">
        <is>
          <t>100 x 1050</t>
        </is>
      </c>
      <c r="F168" s="28" t="inlineStr">
        <is>
          <t>TOZKONTROL-IYP1</t>
        </is>
      </c>
      <c r="G168" s="29" t="inlineStr">
        <is>
          <t>Kapı Önü Paspası</t>
        </is>
      </c>
      <c r="H168" s="30" t="inlineStr">
        <is>
          <t>Paspas Yap</t>
        </is>
      </c>
      <c r="I168" s="31" t="n">
        <v>93.0</v>
      </c>
      <c r="J168" s="32" t="n">
        <v>20223.0</v>
      </c>
      <c r="K168" s="33" t="n">
        <v>18732.8</v>
      </c>
      <c r="L168" s="34" t="n">
        <v>22.0</v>
      </c>
      <c r="M168" s="35" t="n">
        <v>13279.05</v>
      </c>
      <c r="N168" s="36" t="inlineStr">
        <is>
          <t>25 Ağustos 08.00-1 Eylül 07.59</t>
        </is>
      </c>
      <c r="O168" s="37" t="n">
        <v>17.2</v>
      </c>
      <c r="P168" s="38" t="n">
        <v>18732.8</v>
      </c>
      <c r="Q168" s="39"/>
      <c r="R168" s="40" t="n">
        <f>=IF(AND(ISBLANK(Q168), ISBLANK(U168)), "", "7 Günlük Fiyat")</f>
        <v>0.0</v>
      </c>
      <c r="S168" s="41" t="n">
        <f>=IF(OR(Q168="", R168=""), "-", IF(ISNUMBER(SEARCH("7 Günlük", R168)), IF(Q168&lt;=M168, O168, "-"), "-"))</f>
        <v>0.0</v>
      </c>
      <c r="T168" s="42" t="str">
        <f>=IF(ISBLANK(Q168), "", "Hayır")</f>
      </c>
      <c r="U168" s="43"/>
      <c r="V168" s="44" t="inlineStr">
        <is>
          <t>50461ed1-c2c8-4393-967e-55d58a3e2664</t>
        </is>
      </c>
    </row>
    <row r="169">
      <c r="A169" s="23" t="inlineStr">
        <is>
          <t>Rampalı Giriş Paspası Toz Ve Nem Alıcı Su Emici Kaymaz Paspas Apartman Dükkan Iş Yeri Paspası</t>
        </is>
      </c>
      <c r="B169" s="24" t="inlineStr">
        <is>
          <t>769999711</t>
        </is>
      </c>
      <c r="C169" s="25" t="inlineStr">
        <is>
          <t>TOZKONTROL-IYP1-SIYAH-100600</t>
        </is>
      </c>
      <c r="D169" s="26" t="inlineStr">
        <is>
          <t>TOZKONTROL-IYP1-SIYAH-100600</t>
        </is>
      </c>
      <c r="E169" s="27" t="inlineStr">
        <is>
          <t>100 x 600</t>
        </is>
      </c>
      <c r="F169" s="28" t="inlineStr">
        <is>
          <t>TOZKONTROL-IYP1</t>
        </is>
      </c>
      <c r="G169" s="29" t="inlineStr">
        <is>
          <t>Kapı Önü Paspası</t>
        </is>
      </c>
      <c r="H169" s="30" t="inlineStr">
        <is>
          <t>Paspas Yap</t>
        </is>
      </c>
      <c r="I169" s="31" t="n">
        <v>93.0</v>
      </c>
      <c r="J169" s="32" t="n">
        <v>10655.0</v>
      </c>
      <c r="K169" s="33" t="n">
        <v>9832.29</v>
      </c>
      <c r="L169" s="34" t="n">
        <v>22.0</v>
      </c>
      <c r="M169" s="35" t="n">
        <v>6365.05</v>
      </c>
      <c r="N169" s="36" t="inlineStr">
        <is>
          <t>25 Ağustos 08.00-1 Eylül 07.59</t>
        </is>
      </c>
      <c r="O169" s="37" t="n">
        <v>16.0</v>
      </c>
      <c r="P169" s="38" t="n">
        <v>9832.29</v>
      </c>
      <c r="Q169" s="39"/>
      <c r="R169" s="40" t="n">
        <f>=IF(AND(ISBLANK(Q169), ISBLANK(U169)), "", "7 Günlük Fiyat")</f>
        <v>0.0</v>
      </c>
      <c r="S169" s="41" t="n">
        <f>=IF(OR(Q169="", R169=""), "-", IF(ISNUMBER(SEARCH("7 Günlük", R169)), IF(Q169&lt;=M169, O169, "-"), "-"))</f>
        <v>0.0</v>
      </c>
      <c r="T169" s="42" t="str">
        <f>=IF(ISBLANK(Q169), "", "Hayır")</f>
      </c>
      <c r="U169" s="43"/>
      <c r="V169" s="44" t="inlineStr">
        <is>
          <t>50461ed1-c2c8-4393-967e-55d58a3e2664</t>
        </is>
      </c>
    </row>
    <row r="170">
      <c r="A170" s="23" t="inlineStr">
        <is>
          <t>Rampalı Giriş Paspası Toz Ve Nem Alıcı Su Emici Kaymaz Paspas Apartman Dükkan Iş Yeri Paspası</t>
        </is>
      </c>
      <c r="B170" s="24" t="inlineStr">
        <is>
          <t>769999711</t>
        </is>
      </c>
      <c r="C170" s="25" t="inlineStr">
        <is>
          <t>TOZKONTROL-IYP1-SIYAH-120500</t>
        </is>
      </c>
      <c r="D170" s="26" t="inlineStr">
        <is>
          <t>TOZKONTROL-IYP1-SIYAH-120500</t>
        </is>
      </c>
      <c r="E170" s="27" t="inlineStr">
        <is>
          <t>120 x 500</t>
        </is>
      </c>
      <c r="F170" s="28" t="inlineStr">
        <is>
          <t>TOZKONTROL-IYP1</t>
        </is>
      </c>
      <c r="G170" s="29" t="inlineStr">
        <is>
          <t>Kapı Önü Paspası</t>
        </is>
      </c>
      <c r="H170" s="30" t="inlineStr">
        <is>
          <t>Paspas Yap</t>
        </is>
      </c>
      <c r="I170" s="31" t="n">
        <v>93.0</v>
      </c>
      <c r="J170" s="32" t="n">
        <v>10655.0</v>
      </c>
      <c r="K170" s="33" t="n">
        <v>9820.26</v>
      </c>
      <c r="L170" s="34" t="n">
        <v>22.0</v>
      </c>
      <c r="M170" s="35" t="n">
        <v>6529.13</v>
      </c>
      <c r="N170" s="36" t="inlineStr">
        <is>
          <t>25 Ağustos 08.00-1 Eylül 07.59</t>
        </is>
      </c>
      <c r="O170" s="37" t="n">
        <v>16.4</v>
      </c>
      <c r="P170" s="38" t="n">
        <v>9820.26</v>
      </c>
      <c r="Q170" s="39"/>
      <c r="R170" s="40" t="n">
        <f>=IF(AND(ISBLANK(Q170), ISBLANK(U170)), "", "7 Günlük Fiyat")</f>
        <v>0.0</v>
      </c>
      <c r="S170" s="41" t="n">
        <f>=IF(OR(Q170="", R170=""), "-", IF(ISNUMBER(SEARCH("7 Günlük", R170)), IF(Q170&lt;=M170, O170, "-"), "-"))</f>
        <v>0.0</v>
      </c>
      <c r="T170" s="42" t="str">
        <f>=IF(ISBLANK(Q170), "", "Hayır")</f>
      </c>
      <c r="U170" s="43"/>
      <c r="V170" s="44" t="inlineStr">
        <is>
          <t>50461ed1-c2c8-4393-967e-55d58a3e2664</t>
        </is>
      </c>
    </row>
    <row r="171">
      <c r="A171" s="23" t="inlineStr">
        <is>
          <t>Rampalı Giriş Paspası Toz Ve Nem Alıcı Su Emici Kaymaz Paspas Apartman Dükkan Iş Yeri Paspası</t>
        </is>
      </c>
      <c r="B171" s="24" t="inlineStr">
        <is>
          <t>769999711</t>
        </is>
      </c>
      <c r="C171" s="25" t="inlineStr">
        <is>
          <t>TOZKONTROL-IYP1-SIYAH-120550</t>
        </is>
      </c>
      <c r="D171" s="26" t="inlineStr">
        <is>
          <t>TOZKONTROL-IYP1-SIYAH-120550</t>
        </is>
      </c>
      <c r="E171" s="27" t="inlineStr">
        <is>
          <t>120 x 550</t>
        </is>
      </c>
      <c r="F171" s="28" t="inlineStr">
        <is>
          <t>TOZKONTROL-IYP1</t>
        </is>
      </c>
      <c r="G171" s="29" t="inlineStr">
        <is>
          <t>Kapı Önü Paspası</t>
        </is>
      </c>
      <c r="H171" s="30" t="inlineStr">
        <is>
          <t>Paspas Yap</t>
        </is>
      </c>
      <c r="I171" s="31" t="n">
        <v>93.0</v>
      </c>
      <c r="J171" s="32" t="n">
        <v>11272.0</v>
      </c>
      <c r="K171" s="33" t="n">
        <v>10471.08</v>
      </c>
      <c r="L171" s="34" t="n">
        <v>22.0</v>
      </c>
      <c r="M171" s="35" t="n">
        <v>7262.39</v>
      </c>
      <c r="N171" s="36" t="inlineStr">
        <is>
          <t>25 Ağustos 08.00-1 Eylül 07.59</t>
        </is>
      </c>
      <c r="O171" s="37" t="n">
        <v>17.0</v>
      </c>
      <c r="P171" s="38" t="n">
        <v>10471.08</v>
      </c>
      <c r="Q171" s="39"/>
      <c r="R171" s="40" t="n">
        <f>=IF(AND(ISBLANK(Q171), ISBLANK(U171)), "", "7 Günlük Fiyat")</f>
        <v>0.0</v>
      </c>
      <c r="S171" s="41" t="n">
        <f>=IF(OR(Q171="", R171=""), "-", IF(ISNUMBER(SEARCH("7 Günlük", R171)), IF(Q171&lt;=M171, O171, "-"), "-"))</f>
        <v>0.0</v>
      </c>
      <c r="T171" s="42" t="str">
        <f>=IF(ISBLANK(Q171), "", "Hayır")</f>
      </c>
      <c r="U171" s="43"/>
      <c r="V171" s="44" t="inlineStr">
        <is>
          <t>50461ed1-c2c8-4393-967e-55d58a3e2664</t>
        </is>
      </c>
    </row>
    <row r="172">
      <c r="A172" s="23" t="inlineStr">
        <is>
          <t>Rampalı Giriş Paspası Toz Ve Nem Alıcı Su Emici Kaymaz Paspas Apartman Dükkan Iş Yeri Paspası</t>
        </is>
      </c>
      <c r="B172" s="24" t="inlineStr">
        <is>
          <t>769999711</t>
        </is>
      </c>
      <c r="C172" s="25" t="inlineStr">
        <is>
          <t>TOZKONTROL-IYP1-SIYAH-100850</t>
        </is>
      </c>
      <c r="D172" s="26" t="inlineStr">
        <is>
          <t>TOZKONTROL-IYP1-SIYAH-100850</t>
        </is>
      </c>
      <c r="E172" s="27" t="inlineStr">
        <is>
          <t>100 x 850</t>
        </is>
      </c>
      <c r="F172" s="28" t="inlineStr">
        <is>
          <t>TOZKONTROL-IYP1</t>
        </is>
      </c>
      <c r="G172" s="29" t="inlineStr">
        <is>
          <t>Kapı Önü Paspası</t>
        </is>
      </c>
      <c r="H172" s="30" t="inlineStr">
        <is>
          <t>Paspas Yap</t>
        </is>
      </c>
      <c r="I172" s="31" t="n">
        <v>93.0</v>
      </c>
      <c r="J172" s="32" t="n">
        <v>14478.0</v>
      </c>
      <c r="K172" s="33" t="n">
        <v>13432.78</v>
      </c>
      <c r="L172" s="34" t="n">
        <v>22.0</v>
      </c>
      <c r="M172" s="35" t="n">
        <v>9119.94</v>
      </c>
      <c r="N172" s="36" t="inlineStr">
        <is>
          <t>25 Ağustos 08.00-1 Eylül 07.59</t>
        </is>
      </c>
      <c r="O172" s="37" t="n">
        <v>16.7</v>
      </c>
      <c r="P172" s="38" t="n">
        <v>13432.78</v>
      </c>
      <c r="Q172" s="39"/>
      <c r="R172" s="40" t="n">
        <f>=IF(AND(ISBLANK(Q172), ISBLANK(U172)), "", "7 Günlük Fiyat")</f>
        <v>0.0</v>
      </c>
      <c r="S172" s="41" t="n">
        <f>=IF(OR(Q172="", R172=""), "-", IF(ISNUMBER(SEARCH("7 Günlük", R172)), IF(Q172&lt;=M172, O172, "-"), "-"))</f>
        <v>0.0</v>
      </c>
      <c r="T172" s="42" t="str">
        <f>=IF(ISBLANK(Q172), "", "Hayır")</f>
      </c>
      <c r="U172" s="43"/>
      <c r="V172" s="44" t="inlineStr">
        <is>
          <t>50461ed1-c2c8-4393-967e-55d58a3e2664</t>
        </is>
      </c>
    </row>
    <row r="173">
      <c r="A173" s="23" t="inlineStr">
        <is>
          <t>Rampalı Giriş Paspası Toz Ve Nem Alıcı Su Emici Kaymaz Paspas Apartman Dükkan Iş Yeri Paspası</t>
        </is>
      </c>
      <c r="B173" s="24" t="inlineStr">
        <is>
          <t>769999711</t>
        </is>
      </c>
      <c r="C173" s="25" t="inlineStr">
        <is>
          <t>TOZKONTROL-IYP1-SIYAH-100550</t>
        </is>
      </c>
      <c r="D173" s="26" t="inlineStr">
        <is>
          <t>TOZKONTROL-IYP1-SIYAH-100550</t>
        </is>
      </c>
      <c r="E173" s="27" t="inlineStr">
        <is>
          <t>100 x 550</t>
        </is>
      </c>
      <c r="F173" s="28" t="inlineStr">
        <is>
          <t>TOZKONTROL-IYP1</t>
        </is>
      </c>
      <c r="G173" s="29" t="inlineStr">
        <is>
          <t>Kapı Önü Paspası</t>
        </is>
      </c>
      <c r="H173" s="30" t="inlineStr">
        <is>
          <t>Paspas Yap</t>
        </is>
      </c>
      <c r="I173" s="31" t="n">
        <v>93.0</v>
      </c>
      <c r="J173" s="32" t="n">
        <v>9734.0</v>
      </c>
      <c r="K173" s="33" t="n">
        <v>9000.03</v>
      </c>
      <c r="L173" s="34" t="n">
        <v>22.0</v>
      </c>
      <c r="M173" s="35" t="n">
        <v>6127.51</v>
      </c>
      <c r="N173" s="36" t="inlineStr">
        <is>
          <t>25 Ağustos 08.00-1 Eylül 07.59</t>
        </is>
      </c>
      <c r="O173" s="37" t="n">
        <v>16.7</v>
      </c>
      <c r="P173" s="38" t="n">
        <v>9000.03</v>
      </c>
      <c r="Q173" s="39"/>
      <c r="R173" s="40" t="n">
        <f>=IF(AND(ISBLANK(Q173), ISBLANK(U173)), "", "7 Günlük Fiyat")</f>
        <v>0.0</v>
      </c>
      <c r="S173" s="41" t="n">
        <f>=IF(OR(Q173="", R173=""), "-", IF(ISNUMBER(SEARCH("7 Günlük", R173)), IF(Q173&lt;=M173, O173, "-"), "-"))</f>
        <v>0.0</v>
      </c>
      <c r="T173" s="42" t="str">
        <f>=IF(ISBLANK(Q173), "", "Hayır")</f>
      </c>
      <c r="U173" s="43"/>
      <c r="V173" s="44" t="inlineStr">
        <is>
          <t>50461ed1-c2c8-4393-967e-55d58a3e2664</t>
        </is>
      </c>
    </row>
    <row r="174">
      <c r="A174" s="23" t="inlineStr">
        <is>
          <t>Rampalı Giriş Paspası Toz Ve Nem Alıcı Su Emici Kaymaz Paspas Apartman Dükkan Iş Yeri Paspası</t>
        </is>
      </c>
      <c r="B174" s="24" t="inlineStr">
        <is>
          <t>769999711</t>
        </is>
      </c>
      <c r="C174" s="25" t="inlineStr">
        <is>
          <t>TOZKONTROL-IYP1-SIYAH-1001500</t>
        </is>
      </c>
      <c r="D174" s="26" t="inlineStr">
        <is>
          <t>TOZKONTROL-IYP1-SIYAH-1001500</t>
        </is>
      </c>
      <c r="E174" s="27" t="inlineStr">
        <is>
          <t>100 x 1500</t>
        </is>
      </c>
      <c r="F174" s="28" t="inlineStr">
        <is>
          <t>TOZKONTROL-IYP1</t>
        </is>
      </c>
      <c r="G174" s="29" t="inlineStr">
        <is>
          <t>Kapı Önü Paspası</t>
        </is>
      </c>
      <c r="H174" s="30" t="inlineStr">
        <is>
          <t>Paspas Yap</t>
        </is>
      </c>
      <c r="I174" s="31" t="n">
        <v>93.0</v>
      </c>
      <c r="J174" s="32" t="n">
        <v>26967.0</v>
      </c>
      <c r="K174" s="33" t="n">
        <v>24776.15</v>
      </c>
      <c r="L174" s="34" t="n">
        <v>22.0</v>
      </c>
      <c r="M174" s="35" t="n">
        <v>16878.28</v>
      </c>
      <c r="N174" s="36" t="inlineStr">
        <is>
          <t>25 Ağustos 08.00-1 Eylül 07.59</t>
        </is>
      </c>
      <c r="O174" s="37" t="n">
        <v>16.6</v>
      </c>
      <c r="P174" s="38" t="n">
        <v>24776.15</v>
      </c>
      <c r="Q174" s="39"/>
      <c r="R174" s="40" t="n">
        <f>=IF(AND(ISBLANK(Q174), ISBLANK(U174)), "", "7 Günlük Fiyat")</f>
        <v>0.0</v>
      </c>
      <c r="S174" s="41" t="n">
        <f>=IF(OR(Q174="", R174=""), "-", IF(ISNUMBER(SEARCH("7 Günlük", R174)), IF(Q174&lt;=M174, O174, "-"), "-"))</f>
        <v>0.0</v>
      </c>
      <c r="T174" s="42" t="str">
        <f>=IF(ISBLANK(Q174), "", "Hayır")</f>
      </c>
      <c r="U174" s="43"/>
      <c r="V174" s="44" t="inlineStr">
        <is>
          <t>50461ed1-c2c8-4393-967e-55d58a3e2664</t>
        </is>
      </c>
    </row>
    <row r="175">
      <c r="A175" s="23" t="inlineStr">
        <is>
          <t>Rampalı Giriş Paspası Toz Ve Nem Alıcı Su Emici Kaymaz Paspas Apartman Dükkan Iş Yeri Paspası</t>
        </is>
      </c>
      <c r="B175" s="24" t="inlineStr">
        <is>
          <t>769999711</t>
        </is>
      </c>
      <c r="C175" s="25" t="inlineStr">
        <is>
          <t>TOZKONTROL-IYP1-SIYAH-80950</t>
        </is>
      </c>
      <c r="D175" s="26" t="inlineStr">
        <is>
          <t>TOZKONTROL-IYP1-SIYAH-80950</t>
        </is>
      </c>
      <c r="E175" s="27" t="inlineStr">
        <is>
          <t>80 x 950</t>
        </is>
      </c>
      <c r="F175" s="28" t="inlineStr">
        <is>
          <t>TOZKONTROL-IYP1</t>
        </is>
      </c>
      <c r="G175" s="29" t="inlineStr">
        <is>
          <t>Kapı Önü Paspası</t>
        </is>
      </c>
      <c r="H175" s="30" t="inlineStr">
        <is>
          <t>Paspas Yap</t>
        </is>
      </c>
      <c r="I175" s="31" t="n">
        <v>93.0</v>
      </c>
      <c r="J175" s="32" t="n">
        <v>13145.0</v>
      </c>
      <c r="K175" s="33" t="n">
        <v>12225.22</v>
      </c>
      <c r="L175" s="34" t="n">
        <v>22.0</v>
      </c>
      <c r="M175" s="35" t="n">
        <v>8465.26</v>
      </c>
      <c r="N175" s="36" t="inlineStr">
        <is>
          <t>25 Ağustos 08.00-1 Eylül 07.59</t>
        </is>
      </c>
      <c r="O175" s="37" t="n">
        <v>17.0</v>
      </c>
      <c r="P175" s="38" t="n">
        <v>12225.22</v>
      </c>
      <c r="Q175" s="39"/>
      <c r="R175" s="40" t="n">
        <f>=IF(AND(ISBLANK(Q175), ISBLANK(U175)), "", "7 Günlük Fiyat")</f>
        <v>0.0</v>
      </c>
      <c r="S175" s="41" t="n">
        <f>=IF(OR(Q175="", R175=""), "-", IF(ISNUMBER(SEARCH("7 Günlük", R175)), IF(Q175&lt;=M175, O175, "-"), "-"))</f>
        <v>0.0</v>
      </c>
      <c r="T175" s="42" t="str">
        <f>=IF(ISBLANK(Q175), "", "Hayır")</f>
      </c>
      <c r="U175" s="43"/>
      <c r="V175" s="44" t="inlineStr">
        <is>
          <t>50461ed1-c2c8-4393-967e-55d58a3e2664</t>
        </is>
      </c>
    </row>
    <row r="176">
      <c r="A176" s="23" t="inlineStr">
        <is>
          <t>Rampalı Giriş Paspası Toz Ve Nem Alıcı Su Emici Kaymaz Paspas Apartman Dükkan Iş Yeri Paspası</t>
        </is>
      </c>
      <c r="B176" s="24" t="inlineStr">
        <is>
          <t>769999711</t>
        </is>
      </c>
      <c r="C176" s="25" t="inlineStr">
        <is>
          <t>TOZKONTROL-IYP1-SIYAH-120800</t>
        </is>
      </c>
      <c r="D176" s="26" t="inlineStr">
        <is>
          <t>TOZKONTROL-IYP1-SIYAH-120800</t>
        </is>
      </c>
      <c r="E176" s="27" t="inlineStr">
        <is>
          <t>120 x 800</t>
        </is>
      </c>
      <c r="F176" s="28" t="inlineStr">
        <is>
          <t>TOZKONTROL-IYP1</t>
        </is>
      </c>
      <c r="G176" s="29" t="inlineStr">
        <is>
          <t>Kapı Önü Paspası</t>
        </is>
      </c>
      <c r="H176" s="30" t="inlineStr">
        <is>
          <t>Paspas Yap</t>
        </is>
      </c>
      <c r="I176" s="31" t="n">
        <v>93.0</v>
      </c>
      <c r="J176" s="32" t="n">
        <v>16099.0</v>
      </c>
      <c r="K176" s="33" t="n">
        <v>14937.4</v>
      </c>
      <c r="L176" s="34" t="n">
        <v>22.0</v>
      </c>
      <c r="M176" s="35" t="n">
        <v>9970.45</v>
      </c>
      <c r="N176" s="36" t="inlineStr">
        <is>
          <t>25 Ağustos 08.00-1 Eylül 07.59</t>
        </is>
      </c>
      <c r="O176" s="37" t="n">
        <v>16.5</v>
      </c>
      <c r="P176" s="38" t="n">
        <v>14937.4</v>
      </c>
      <c r="Q176" s="39"/>
      <c r="R176" s="40" t="n">
        <f>=IF(AND(ISBLANK(Q176), ISBLANK(U176)), "", "7 Günlük Fiyat")</f>
        <v>0.0</v>
      </c>
      <c r="S176" s="41" t="n">
        <f>=IF(OR(Q176="", R176=""), "-", IF(ISNUMBER(SEARCH("7 Günlük", R176)), IF(Q176&lt;=M176, O176, "-"), "-"))</f>
        <v>0.0</v>
      </c>
      <c r="T176" s="42" t="str">
        <f>=IF(ISBLANK(Q176), "", "Hayır")</f>
      </c>
      <c r="U176" s="43"/>
      <c r="V176" s="44" t="inlineStr">
        <is>
          <t>50461ed1-c2c8-4393-967e-55d58a3e2664</t>
        </is>
      </c>
    </row>
    <row r="177">
      <c r="A177" s="23" t="inlineStr">
        <is>
          <t>Rampalı Giriş Paspası Toz Ve Nem Alıcı Su Emici Kaymaz Paspas Apartman Dükkan Iş Yeri Paspası</t>
        </is>
      </c>
      <c r="B177" s="24" t="inlineStr">
        <is>
          <t>769999711</t>
        </is>
      </c>
      <c r="C177" s="25" t="inlineStr">
        <is>
          <t>TOZKONTROL-IYP1-SIYAH-100200</t>
        </is>
      </c>
      <c r="D177" s="26" t="inlineStr">
        <is>
          <t>TOZKONTROL-IYP1-SIYAH-100200</t>
        </is>
      </c>
      <c r="E177" s="27" t="inlineStr">
        <is>
          <t>100 x 200</t>
        </is>
      </c>
      <c r="F177" s="28" t="inlineStr">
        <is>
          <t>TOZKONTROL-IYP1</t>
        </is>
      </c>
      <c r="G177" s="29" t="inlineStr">
        <is>
          <t>Kapı Önü Paspası</t>
        </is>
      </c>
      <c r="H177" s="30" t="inlineStr">
        <is>
          <t>Paspas Yap</t>
        </is>
      </c>
      <c r="I177" s="31" t="n">
        <v>90.0</v>
      </c>
      <c r="J177" s="32" t="n">
        <v>3729.0</v>
      </c>
      <c r="K177" s="33" t="n">
        <v>2988.36</v>
      </c>
      <c r="L177" s="34" t="n">
        <v>22.0</v>
      </c>
      <c r="M177" s="35" t="n">
        <v>2116.28</v>
      </c>
      <c r="N177" s="36" t="inlineStr">
        <is>
          <t>25 Ağustos 08.00-1 Eylül 07.59</t>
        </is>
      </c>
      <c r="O177" s="37" t="n">
        <v>16.3</v>
      </c>
      <c r="P177" s="38" t="n">
        <v>2988.36</v>
      </c>
      <c r="Q177" s="39"/>
      <c r="R177" s="40" t="n">
        <f>=IF(AND(ISBLANK(Q177), ISBLANK(U177)), "", "7 Günlük Fiyat")</f>
        <v>0.0</v>
      </c>
      <c r="S177" s="41" t="n">
        <f>=IF(OR(Q177="", R177=""), "-", IF(ISNUMBER(SEARCH("7 Günlük", R177)), IF(Q177&lt;=M177, O177, "-"), "-"))</f>
        <v>0.0</v>
      </c>
      <c r="T177" s="42" t="str">
        <f>=IF(ISBLANK(Q177), "", "Hayır")</f>
      </c>
      <c r="U177" s="43"/>
      <c r="V177" s="44" t="inlineStr">
        <is>
          <t>50461ed1-c2c8-4393-967e-55d58a3e2664</t>
        </is>
      </c>
    </row>
    <row r="178">
      <c r="A178" s="23" t="inlineStr">
        <is>
          <t>Rampalı Giriş Paspası Toz Ve Nem Alıcı Su Emici Kaymaz Paspas Apartman Dükkan Iş Yeri Paspası</t>
        </is>
      </c>
      <c r="B178" s="24" t="inlineStr">
        <is>
          <t>769999711</t>
        </is>
      </c>
      <c r="C178" s="25" t="inlineStr">
        <is>
          <t>TOZKONTROL-IYP1-SIYAH-120850</t>
        </is>
      </c>
      <c r="D178" s="26" t="inlineStr">
        <is>
          <t>TOZKONTROL-IYP1-SIYAH-120850</t>
        </is>
      </c>
      <c r="E178" s="27" t="inlineStr">
        <is>
          <t>120 x 850</t>
        </is>
      </c>
      <c r="F178" s="28" t="inlineStr">
        <is>
          <t>TOZKONTROL-IYP1</t>
        </is>
      </c>
      <c r="G178" s="29" t="inlineStr">
        <is>
          <t>Kapı Önü Paspası</t>
        </is>
      </c>
      <c r="H178" s="30" t="inlineStr">
        <is>
          <t>Paspas Yap</t>
        </is>
      </c>
      <c r="I178" s="31" t="n">
        <v>93.0</v>
      </c>
      <c r="J178" s="32" t="n">
        <v>19685.0</v>
      </c>
      <c r="K178" s="33" t="n">
        <v>18295.4</v>
      </c>
      <c r="L178" s="34" t="n">
        <v>22.0</v>
      </c>
      <c r="M178" s="35" t="n">
        <v>12494.27</v>
      </c>
      <c r="N178" s="36" t="inlineStr">
        <is>
          <t>25 Ağustos 08.00-1 Eylül 07.59</t>
        </is>
      </c>
      <c r="O178" s="37" t="n">
        <v>16.7</v>
      </c>
      <c r="P178" s="38" t="n">
        <v>18295.4</v>
      </c>
      <c r="Q178" s="39"/>
      <c r="R178" s="40" t="n">
        <f>=IF(AND(ISBLANK(Q178), ISBLANK(U178)), "", "7 Günlük Fiyat")</f>
        <v>0.0</v>
      </c>
      <c r="S178" s="41" t="n">
        <f>=IF(OR(Q178="", R178=""), "-", IF(ISNUMBER(SEARCH("7 Günlük", R178)), IF(Q178&lt;=M178, O178, "-"), "-"))</f>
        <v>0.0</v>
      </c>
      <c r="T178" s="42" t="str">
        <f>=IF(ISBLANK(Q178), "", "Hayır")</f>
      </c>
      <c r="U178" s="43"/>
      <c r="V178" s="44" t="inlineStr">
        <is>
          <t>50461ed1-c2c8-4393-967e-55d58a3e2664</t>
        </is>
      </c>
    </row>
    <row r="179">
      <c r="A179" s="23" t="inlineStr">
        <is>
          <t>Rampalı Giriş Paspası Toz Ve Nem Alıcı Su Emici Kaymaz Paspas Apartman Dükkan Iş Yeri Paspası</t>
        </is>
      </c>
      <c r="B179" s="24" t="inlineStr">
        <is>
          <t>769999711</t>
        </is>
      </c>
      <c r="C179" s="25" t="inlineStr">
        <is>
          <t>TOZKONTROL-IYP1-SIYAH-80x1100</t>
        </is>
      </c>
      <c r="D179" s="26" t="inlineStr">
        <is>
          <t>TOZKONTROL-IYP1-SIYAH-80x1100</t>
        </is>
      </c>
      <c r="E179" s="27" t="inlineStr">
        <is>
          <t>80 x 1100</t>
        </is>
      </c>
      <c r="F179" s="28" t="inlineStr">
        <is>
          <t>TOZKONTROL-IYP1</t>
        </is>
      </c>
      <c r="G179" s="29" t="inlineStr">
        <is>
          <t>Kapı Önü Paspası</t>
        </is>
      </c>
      <c r="H179" s="30" t="inlineStr">
        <is>
          <t>Paspas Yap</t>
        </is>
      </c>
      <c r="I179" s="31" t="n">
        <v>93.0</v>
      </c>
      <c r="J179" s="32" t="n">
        <v>14955.0</v>
      </c>
      <c r="K179" s="33" t="n">
        <v>13927.18</v>
      </c>
      <c r="L179" s="34" t="n">
        <v>22.0</v>
      </c>
      <c r="M179" s="35" t="n">
        <v>9269.07</v>
      </c>
      <c r="N179" s="36" t="inlineStr">
        <is>
          <t>25 Ağustos 08.00-1 Eylül 07.59</t>
        </is>
      </c>
      <c r="O179" s="37" t="n">
        <v>16.4</v>
      </c>
      <c r="P179" s="38" t="n">
        <v>13927.18</v>
      </c>
      <c r="Q179" s="39"/>
      <c r="R179" s="40" t="n">
        <f>=IF(AND(ISBLANK(Q179), ISBLANK(U179)), "", "7 Günlük Fiyat")</f>
        <v>0.0</v>
      </c>
      <c r="S179" s="41" t="n">
        <f>=IF(OR(Q179="", R179=""), "-", IF(ISNUMBER(SEARCH("7 Günlük", R179)), IF(Q179&lt;=M179, O179, "-"), "-"))</f>
        <v>0.0</v>
      </c>
      <c r="T179" s="42" t="str">
        <f>=IF(ISBLANK(Q179), "", "Hayır")</f>
      </c>
      <c r="U179" s="43"/>
      <c r="V179" s="44" t="inlineStr">
        <is>
          <t>50461ed1-c2c8-4393-967e-55d58a3e2664</t>
        </is>
      </c>
    </row>
    <row r="180">
      <c r="A180" s="23" t="inlineStr">
        <is>
          <t>Rampalı Giriş Paspası Toz Ve Nem Alıcı Su Emici Kaymaz Paspas Apartman Dükkan Iş Yeri Paspası</t>
        </is>
      </c>
      <c r="B180" s="24" t="inlineStr">
        <is>
          <t>769999711</t>
        </is>
      </c>
      <c r="C180" s="25" t="inlineStr">
        <is>
          <t>TOZKONTROL-IYP1-SIYAH-80900</t>
        </is>
      </c>
      <c r="D180" s="26" t="inlineStr">
        <is>
          <t>TOZKONTROL-IYP1-SIYAH-80900</t>
        </is>
      </c>
      <c r="E180" s="27" t="inlineStr">
        <is>
          <t>80 x 900</t>
        </is>
      </c>
      <c r="F180" s="28" t="inlineStr">
        <is>
          <t>TOZKONTROL-IYP1</t>
        </is>
      </c>
      <c r="G180" s="29" t="inlineStr">
        <is>
          <t>Kapı Önü Paspası</t>
        </is>
      </c>
      <c r="H180" s="30" t="inlineStr">
        <is>
          <t>Paspas Yap</t>
        </is>
      </c>
      <c r="I180" s="31" t="n">
        <v>93.0</v>
      </c>
      <c r="J180" s="32" t="n">
        <v>12542.0</v>
      </c>
      <c r="K180" s="33" t="n">
        <v>11674.43</v>
      </c>
      <c r="L180" s="34" t="n">
        <v>22.0</v>
      </c>
      <c r="M180" s="35" t="n">
        <v>8158.18</v>
      </c>
      <c r="N180" s="36" t="inlineStr">
        <is>
          <t>25 Ağustos 08.00-1 Eylül 07.59</t>
        </is>
      </c>
      <c r="O180" s="37" t="n">
        <v>17.2</v>
      </c>
      <c r="P180" s="38" t="n">
        <v>11674.43</v>
      </c>
      <c r="Q180" s="39"/>
      <c r="R180" s="40" t="n">
        <f>=IF(AND(ISBLANK(Q180), ISBLANK(U180)), "", "7 Günlük Fiyat")</f>
        <v>0.0</v>
      </c>
      <c r="S180" s="41" t="n">
        <f>=IF(OR(Q180="", R180=""), "-", IF(ISNUMBER(SEARCH("7 Günlük", R180)), IF(Q180&lt;=M180, O180, "-"), "-"))</f>
        <v>0.0</v>
      </c>
      <c r="T180" s="42" t="str">
        <f>=IF(ISBLANK(Q180), "", "Hayır")</f>
      </c>
      <c r="U180" s="43"/>
      <c r="V180" s="44" t="inlineStr">
        <is>
          <t>50461ed1-c2c8-4393-967e-55d58a3e2664</t>
        </is>
      </c>
    </row>
    <row r="181">
      <c r="A181" s="23" t="inlineStr">
        <is>
          <t>Rampalı Giriş Paspası Toz Ve Nem Alıcı Su Emici Kaymaz Paspas Apartman Dükkan Iş Yeri Paspası</t>
        </is>
      </c>
      <c r="B181" s="24" t="inlineStr">
        <is>
          <t>769999711</t>
        </is>
      </c>
      <c r="C181" s="25" t="inlineStr">
        <is>
          <t>TOZKONTROL-IYP1-SIYAH-80300</t>
        </is>
      </c>
      <c r="D181" s="26" t="inlineStr">
        <is>
          <t>TOZKONTROL-IYP1-SIYAH-80300</t>
        </is>
      </c>
      <c r="E181" s="27" t="inlineStr">
        <is>
          <t>80 x 300</t>
        </is>
      </c>
      <c r="F181" s="28" t="inlineStr">
        <is>
          <t>TOZKONTROL-IYP1</t>
        </is>
      </c>
      <c r="G181" s="29" t="inlineStr">
        <is>
          <t>Kapı Önü Paspası</t>
        </is>
      </c>
      <c r="H181" s="30" t="inlineStr">
        <is>
          <t>Paspas Yap</t>
        </is>
      </c>
      <c r="I181" s="31" t="n">
        <v>93.0</v>
      </c>
      <c r="J181" s="32" t="n">
        <v>4496.0</v>
      </c>
      <c r="K181" s="33" t="n">
        <v>3430.18</v>
      </c>
      <c r="L181" s="34" t="n">
        <v>22.0</v>
      </c>
      <c r="M181" s="35" t="n">
        <v>2413.27</v>
      </c>
      <c r="N181" s="36" t="inlineStr">
        <is>
          <t>25 Ağustos 08.00-1 Eylül 07.59</t>
        </is>
      </c>
      <c r="O181" s="37" t="n">
        <v>15.6</v>
      </c>
      <c r="P181" s="38" t="n">
        <v>3430.18</v>
      </c>
      <c r="Q181" s="39"/>
      <c r="R181" s="40" t="n">
        <f>=IF(AND(ISBLANK(Q181), ISBLANK(U181)), "", "7 Günlük Fiyat")</f>
        <v>0.0</v>
      </c>
      <c r="S181" s="41" t="n">
        <f>=IF(OR(Q181="", R181=""), "-", IF(ISNUMBER(SEARCH("7 Günlük", R181)), IF(Q181&lt;=M181, O181, "-"), "-"))</f>
        <v>0.0</v>
      </c>
      <c r="T181" s="42" t="str">
        <f>=IF(ISBLANK(Q181), "", "Hayır")</f>
      </c>
      <c r="U181" s="43"/>
      <c r="V181" s="44" t="inlineStr">
        <is>
          <t>50461ed1-c2c8-4393-967e-55d58a3e2664</t>
        </is>
      </c>
    </row>
    <row r="182">
      <c r="A182" s="23" t="inlineStr">
        <is>
          <t>Rampalı Giriş Paspası Toz Ve Nem Alıcı Su Emici Kaymaz Paspas Apartman Dükkan Iş Yeri Paspası</t>
        </is>
      </c>
      <c r="B182" s="24" t="inlineStr">
        <is>
          <t>769999711</t>
        </is>
      </c>
      <c r="C182" s="25" t="inlineStr">
        <is>
          <t>TOZKONTROL-IYP1-SIYAH-80450</t>
        </is>
      </c>
      <c r="D182" s="26" t="inlineStr">
        <is>
          <t>TOZKONTROL-IYP1-SIYAH-80450</t>
        </is>
      </c>
      <c r="E182" s="27" t="inlineStr">
        <is>
          <t>80 x 450</t>
        </is>
      </c>
      <c r="F182" s="28" t="inlineStr">
        <is>
          <t>TOZKONTROL-IYP1</t>
        </is>
      </c>
      <c r="G182" s="29" t="inlineStr">
        <is>
          <t>Kapı Önü Paspası</t>
        </is>
      </c>
      <c r="H182" s="30" t="inlineStr">
        <is>
          <t>Paspas Yap</t>
        </is>
      </c>
      <c r="I182" s="31" t="n">
        <v>93.0</v>
      </c>
      <c r="J182" s="32" t="n">
        <v>6557.0</v>
      </c>
      <c r="K182" s="33" t="n">
        <v>6125.4</v>
      </c>
      <c r="L182" s="34" t="n">
        <v>22.0</v>
      </c>
      <c r="M182" s="35" t="n">
        <v>4727.83</v>
      </c>
      <c r="N182" s="36" t="inlineStr">
        <is>
          <t>25 Ağustos 08.00-1 Eylül 07.59</t>
        </is>
      </c>
      <c r="O182" s="37" t="n">
        <v>18.2</v>
      </c>
      <c r="P182" s="38" t="n">
        <v>6125.4</v>
      </c>
      <c r="Q182" s="39"/>
      <c r="R182" s="40" t="n">
        <f>=IF(AND(ISBLANK(Q182), ISBLANK(U182)), "", "7 Günlük Fiyat")</f>
        <v>0.0</v>
      </c>
      <c r="S182" s="41" t="n">
        <f>=IF(OR(Q182="", R182=""), "-", IF(ISNUMBER(SEARCH("7 Günlük", R182)), IF(Q182&lt;=M182, O182, "-"), "-"))</f>
        <v>0.0</v>
      </c>
      <c r="T182" s="42" t="str">
        <f>=IF(ISBLANK(Q182), "", "Hayır")</f>
      </c>
      <c r="U182" s="43"/>
      <c r="V182" s="44" t="inlineStr">
        <is>
          <t>50461ed1-c2c8-4393-967e-55d58a3e2664</t>
        </is>
      </c>
    </row>
    <row r="183">
      <c r="A183" s="23" t="inlineStr">
        <is>
          <t>Rampalı Giriş Paspası Toz Ve Nem Alıcı Su Emici Kaymaz Paspas Apartman Dükkan Iş Yeri Paspası</t>
        </is>
      </c>
      <c r="B183" s="24" t="inlineStr">
        <is>
          <t>769999711</t>
        </is>
      </c>
      <c r="C183" s="25" t="inlineStr">
        <is>
          <t>TOZKONTROL-IYP1-SIYAH-801000</t>
        </is>
      </c>
      <c r="D183" s="26" t="inlineStr">
        <is>
          <t>TOZKONTROL-IYP1-SIYAH-801000</t>
        </is>
      </c>
      <c r="E183" s="27" t="inlineStr">
        <is>
          <t>80 x 1000</t>
        </is>
      </c>
      <c r="F183" s="28" t="inlineStr">
        <is>
          <t>TOZKONTROL-IYP1</t>
        </is>
      </c>
      <c r="G183" s="29" t="inlineStr">
        <is>
          <t>Kapı Önü Paspası</t>
        </is>
      </c>
      <c r="H183" s="30" t="inlineStr">
        <is>
          <t>Paspas Yap</t>
        </is>
      </c>
      <c r="I183" s="31" t="n">
        <v>93.0</v>
      </c>
      <c r="J183" s="32" t="n">
        <v>13749.0</v>
      </c>
      <c r="K183" s="33" t="n">
        <v>12810.1</v>
      </c>
      <c r="L183" s="34" t="n">
        <v>22.0</v>
      </c>
      <c r="M183" s="35" t="n">
        <v>8955.22</v>
      </c>
      <c r="N183" s="36" t="inlineStr">
        <is>
          <t>25 Ağustos 08.00-1 Eylül 07.59</t>
        </is>
      </c>
      <c r="O183" s="37" t="n">
        <v>17.2</v>
      </c>
      <c r="P183" s="38" t="n">
        <v>12810.1</v>
      </c>
      <c r="Q183" s="39"/>
      <c r="R183" s="40" t="n">
        <f>=IF(AND(ISBLANK(Q183), ISBLANK(U183)), "", "7 Günlük Fiyat")</f>
        <v>0.0</v>
      </c>
      <c r="S183" s="41" t="n">
        <f>=IF(OR(Q183="", R183=""), "-", IF(ISNUMBER(SEARCH("7 Günlük", R183)), IF(Q183&lt;=M183, O183, "-"), "-"))</f>
        <v>0.0</v>
      </c>
      <c r="T183" s="42" t="str">
        <f>=IF(ISBLANK(Q183), "", "Hayır")</f>
      </c>
      <c r="U183" s="43"/>
      <c r="V183" s="44" t="inlineStr">
        <is>
          <t>50461ed1-c2c8-4393-967e-55d58a3e2664</t>
        </is>
      </c>
    </row>
    <row r="184">
      <c r="A184" s="23" t="inlineStr">
        <is>
          <t>Rampalı Giriş Paspası Toz Ve Nem Alıcı Su Emici Kaymaz Paspas Apartman Dükkan Iş Yeri Paspası</t>
        </is>
      </c>
      <c r="B184" s="24" t="inlineStr">
        <is>
          <t>769999711</t>
        </is>
      </c>
      <c r="C184" s="25" t="inlineStr">
        <is>
          <t>TOZKONTROL-IYP1-SIYAH-100250</t>
        </is>
      </c>
      <c r="D184" s="26" t="inlineStr">
        <is>
          <t>TOZKONTROL-IYP1-SIYAH-100250</t>
        </is>
      </c>
      <c r="E184" s="27" t="inlineStr">
        <is>
          <t>100 x 250</t>
        </is>
      </c>
      <c r="F184" s="28" t="inlineStr">
        <is>
          <t>TOZKONTROL-IYP1</t>
        </is>
      </c>
      <c r="G184" s="29" t="inlineStr">
        <is>
          <t>Kapı Önü Paspası</t>
        </is>
      </c>
      <c r="H184" s="30" t="inlineStr">
        <is>
          <t>Paspas Yap</t>
        </is>
      </c>
      <c r="I184" s="31" t="n">
        <v>93.0</v>
      </c>
      <c r="J184" s="32" t="n">
        <v>4580.0</v>
      </c>
      <c r="K184" s="33" t="n">
        <v>4184.15</v>
      </c>
      <c r="L184" s="34" t="n">
        <v>22.0</v>
      </c>
      <c r="M184" s="35" t="n">
        <v>2716.72</v>
      </c>
      <c r="N184" s="36" t="inlineStr">
        <is>
          <t>25 Ağustos 08.00-1 Eylül 07.59</t>
        </is>
      </c>
      <c r="O184" s="37" t="n">
        <v>16.0</v>
      </c>
      <c r="P184" s="38" t="n">
        <v>4184.15</v>
      </c>
      <c r="Q184" s="39"/>
      <c r="R184" s="40" t="n">
        <f>=IF(AND(ISBLANK(Q184), ISBLANK(U184)), "", "7 Günlük Fiyat")</f>
        <v>0.0</v>
      </c>
      <c r="S184" s="41" t="n">
        <f>=IF(OR(Q184="", R184=""), "-", IF(ISNUMBER(SEARCH("7 Günlük", R184)), IF(Q184&lt;=M184, O184, "-"), "-"))</f>
        <v>0.0</v>
      </c>
      <c r="T184" s="42" t="str">
        <f>=IF(ISBLANK(Q184), "", "Hayır")</f>
      </c>
      <c r="U184" s="43"/>
      <c r="V184" s="44" t="inlineStr">
        <is>
          <t>50461ed1-c2c8-4393-967e-55d58a3e2664</t>
        </is>
      </c>
    </row>
    <row r="185">
      <c r="A185" s="23" t="inlineStr">
        <is>
          <t>Rampalı Giriş Paspası Toz Ve Nem Alıcı Su Emici Kaymaz Paspas Apartman Dükkan Iş Yeri Paspası</t>
        </is>
      </c>
      <c r="B185" s="24" t="inlineStr">
        <is>
          <t>769999711</t>
        </is>
      </c>
      <c r="C185" s="25" t="inlineStr">
        <is>
          <t>TOZKONTROL-IYP1-SIYAH-120700</t>
        </is>
      </c>
      <c r="D185" s="26" t="inlineStr">
        <is>
          <t>TOZKONTROL-IYP1-SIYAH-120700</t>
        </is>
      </c>
      <c r="E185" s="27" t="inlineStr">
        <is>
          <t>120 x 700</t>
        </is>
      </c>
      <c r="F185" s="28" t="inlineStr">
        <is>
          <t>TOZKONTROL-IYP1</t>
        </is>
      </c>
      <c r="G185" s="29" t="inlineStr">
        <is>
          <t>Kapı Önü Paspası</t>
        </is>
      </c>
      <c r="H185" s="30" t="inlineStr">
        <is>
          <t>Paspas Yap</t>
        </is>
      </c>
      <c r="I185" s="31" t="n">
        <v>93.0</v>
      </c>
      <c r="J185" s="32" t="n">
        <v>14351.0</v>
      </c>
      <c r="K185" s="33" t="n">
        <v>13290.36</v>
      </c>
      <c r="L185" s="34" t="n">
        <v>22.0</v>
      </c>
      <c r="M185" s="35" t="n">
        <v>8818.39</v>
      </c>
      <c r="N185" s="36" t="inlineStr">
        <is>
          <t>25 Ağustos 08.00-1 Eylül 07.59</t>
        </is>
      </c>
      <c r="O185" s="37" t="n">
        <v>16.4</v>
      </c>
      <c r="P185" s="38" t="n">
        <v>13290.36</v>
      </c>
      <c r="Q185" s="39"/>
      <c r="R185" s="40" t="n">
        <f>=IF(AND(ISBLANK(Q185), ISBLANK(U185)), "", "7 Günlük Fiyat")</f>
        <v>0.0</v>
      </c>
      <c r="S185" s="41" t="n">
        <f>=IF(OR(Q185="", R185=""), "-", IF(ISNUMBER(SEARCH("7 Günlük", R185)), IF(Q185&lt;=M185, O185, "-"), "-"))</f>
        <v>0.0</v>
      </c>
      <c r="T185" s="42" t="str">
        <f>=IF(ISBLANK(Q185), "", "Hayır")</f>
      </c>
      <c r="U185" s="43"/>
      <c r="V185" s="44" t="inlineStr">
        <is>
          <t>50461ed1-c2c8-4393-967e-55d58a3e2664</t>
        </is>
      </c>
    </row>
    <row r="186">
      <c r="A186" s="23" t="inlineStr">
        <is>
          <t>Rampalı Giriş Paspası Toz Ve Nem Alıcı Su Emici Kaymaz Paspas Apartman Dükkan Iş Yeri Paspası</t>
        </is>
      </c>
      <c r="B186" s="24" t="inlineStr">
        <is>
          <t>769999711</t>
        </is>
      </c>
      <c r="C186" s="25" t="inlineStr">
        <is>
          <t>TOZKONTROL-IYP1-SIYAH-120450</t>
        </is>
      </c>
      <c r="D186" s="26" t="inlineStr">
        <is>
          <t>TOZKONTROL-IYP1-SIYAH-120450</t>
        </is>
      </c>
      <c r="E186" s="27" t="inlineStr">
        <is>
          <t>120 x 450</t>
        </is>
      </c>
      <c r="F186" s="28" t="inlineStr">
        <is>
          <t>TOZKONTROL-IYP1</t>
        </is>
      </c>
      <c r="G186" s="29" t="inlineStr">
        <is>
          <t>Kapı Önü Paspası</t>
        </is>
      </c>
      <c r="H186" s="30" t="inlineStr">
        <is>
          <t>Paspas Yap</t>
        </is>
      </c>
      <c r="I186" s="31" t="n">
        <v>93.0</v>
      </c>
      <c r="J186" s="32" t="n">
        <v>9548.0</v>
      </c>
      <c r="K186" s="33" t="n">
        <v>8439.71</v>
      </c>
      <c r="L186" s="34" t="n">
        <v>22.0</v>
      </c>
      <c r="M186" s="35" t="n">
        <v>5392.76</v>
      </c>
      <c r="N186" s="36" t="inlineStr">
        <is>
          <t>25 Ağustos 08.00-1 Eylül 07.59</t>
        </is>
      </c>
      <c r="O186" s="37" t="n">
        <v>15.5</v>
      </c>
      <c r="P186" s="38" t="n">
        <v>8439.71</v>
      </c>
      <c r="Q186" s="39"/>
      <c r="R186" s="40" t="n">
        <f>=IF(AND(ISBLANK(Q186), ISBLANK(U186)), "", "7 Günlük Fiyat")</f>
        <v>0.0</v>
      </c>
      <c r="S186" s="41" t="n">
        <f>=IF(OR(Q186="", R186=""), "-", IF(ISNUMBER(SEARCH("7 Günlük", R186)), IF(Q186&lt;=M186, O186, "-"), "-"))</f>
        <v>0.0</v>
      </c>
      <c r="T186" s="42" t="str">
        <f>=IF(ISBLANK(Q186), "", "Hayır")</f>
      </c>
      <c r="U186" s="43"/>
      <c r="V186" s="44" t="inlineStr">
        <is>
          <t>50461ed1-c2c8-4393-967e-55d58a3e2664</t>
        </is>
      </c>
    </row>
    <row r="187">
      <c r="A187" s="23" t="inlineStr">
        <is>
          <t>Rampalı Giriş Paspası Toz Ve Nem Alıcı Su Emici Kaymaz Paspas Apartman Dükkan Iş Yeri Paspası</t>
        </is>
      </c>
      <c r="B187" s="24" t="inlineStr">
        <is>
          <t>769999711</t>
        </is>
      </c>
      <c r="C187" s="25" t="inlineStr">
        <is>
          <t>TOZKONTROL-IYP1-SIYAH-120400</t>
        </is>
      </c>
      <c r="D187" s="26" t="inlineStr">
        <is>
          <t>TOZKONTROL-IYP1-SIYAH-120400</t>
        </is>
      </c>
      <c r="E187" s="27" t="inlineStr">
        <is>
          <t>120 x 400</t>
        </is>
      </c>
      <c r="F187" s="28" t="inlineStr">
        <is>
          <t>TOZKONTROL-IYP1</t>
        </is>
      </c>
      <c r="G187" s="29" t="inlineStr">
        <is>
          <t>Kapı Önü Paspası</t>
        </is>
      </c>
      <c r="H187" s="30" t="inlineStr">
        <is>
          <t>Paspas Yap</t>
        </is>
      </c>
      <c r="I187" s="31" t="n">
        <v>93.0</v>
      </c>
      <c r="J187" s="32" t="n">
        <v>8238.0</v>
      </c>
      <c r="K187" s="33" t="n">
        <v>7579.25</v>
      </c>
      <c r="L187" s="34" t="n">
        <v>22.0</v>
      </c>
      <c r="M187" s="35" t="n">
        <v>5078.13</v>
      </c>
      <c r="N187" s="36" t="inlineStr">
        <is>
          <t>25 Ağustos 08.00-1 Eylül 07.59</t>
        </is>
      </c>
      <c r="O187" s="37" t="n">
        <v>16.5</v>
      </c>
      <c r="P187" s="38" t="n">
        <v>7579.25</v>
      </c>
      <c r="Q187" s="39"/>
      <c r="R187" s="40" t="n">
        <f>=IF(AND(ISBLANK(Q187), ISBLANK(U187)), "", "7 Günlük Fiyat")</f>
        <v>0.0</v>
      </c>
      <c r="S187" s="41" t="n">
        <f>=IF(OR(Q187="", R187=""), "-", IF(ISNUMBER(SEARCH("7 Günlük", R187)), IF(Q187&lt;=M187, O187, "-"), "-"))</f>
        <v>0.0</v>
      </c>
      <c r="T187" s="42" t="str">
        <f>=IF(ISBLANK(Q187), "", "Hayır")</f>
      </c>
      <c r="U187" s="43"/>
      <c r="V187" s="44" t="inlineStr">
        <is>
          <t>50461ed1-c2c8-4393-967e-55d58a3e2664</t>
        </is>
      </c>
    </row>
    <row r="188">
      <c r="A188" s="23" t="inlineStr">
        <is>
          <t>Rampalı Giriş Paspası Toz Ve Nem Alıcı Su Emici Kaymaz Paspas Apartman Dükkan Iş Yeri Paspası</t>
        </is>
      </c>
      <c r="B188" s="24" t="inlineStr">
        <is>
          <t>769999711</t>
        </is>
      </c>
      <c r="C188" s="25" t="inlineStr">
        <is>
          <t>TOZKONTROL-IYP1-SIYAH-100950</t>
        </is>
      </c>
      <c r="D188" s="26" t="inlineStr">
        <is>
          <t>TOZKONTROL-IYP1-SIYAH-100950</t>
        </is>
      </c>
      <c r="E188" s="27" t="inlineStr">
        <is>
          <t>100 x 950</t>
        </is>
      </c>
      <c r="F188" s="28" t="inlineStr">
        <is>
          <t>TOZKONTROL-IYP1</t>
        </is>
      </c>
      <c r="G188" s="29" t="inlineStr">
        <is>
          <t>Kapı Önü Paspası</t>
        </is>
      </c>
      <c r="H188" s="30" t="inlineStr">
        <is>
          <t>Paspas Yap</t>
        </is>
      </c>
      <c r="I188" s="31" t="n">
        <v>93.0</v>
      </c>
      <c r="J188" s="32" t="n">
        <v>15908.0</v>
      </c>
      <c r="K188" s="33" t="n">
        <v>14825.87</v>
      </c>
      <c r="L188" s="34" t="n">
        <v>22.0</v>
      </c>
      <c r="M188" s="35" t="n">
        <v>10310.7</v>
      </c>
      <c r="N188" s="36" t="inlineStr">
        <is>
          <t>25 Ağustos 08.00-1 Eylül 07.59</t>
        </is>
      </c>
      <c r="O188" s="37" t="n">
        <v>17.1</v>
      </c>
      <c r="P188" s="38" t="n">
        <v>14825.87</v>
      </c>
      <c r="Q188" s="39"/>
      <c r="R188" s="40" t="n">
        <f>=IF(AND(ISBLANK(Q188), ISBLANK(U188)), "", "7 Günlük Fiyat")</f>
        <v>0.0</v>
      </c>
      <c r="S188" s="41" t="n">
        <f>=IF(OR(Q188="", R188=""), "-", IF(ISNUMBER(SEARCH("7 Günlük", R188)), IF(Q188&lt;=M188, O188, "-"), "-"))</f>
        <v>0.0</v>
      </c>
      <c r="T188" s="42" t="str">
        <f>=IF(ISBLANK(Q188), "", "Hayır")</f>
      </c>
      <c r="U188" s="43"/>
      <c r="V188" s="44" t="inlineStr">
        <is>
          <t>50461ed1-c2c8-4393-967e-55d58a3e2664</t>
        </is>
      </c>
    </row>
    <row r="189">
      <c r="A189" s="23" t="inlineStr">
        <is>
          <t>Rampalı Giriş Paspası Toz Ve Nem Alıcı Su Emici Kaymaz Paspas Apartman Dükkan Iş Yeri Paspası</t>
        </is>
      </c>
      <c r="B189" s="24" t="inlineStr">
        <is>
          <t>769999711</t>
        </is>
      </c>
      <c r="C189" s="25" t="inlineStr">
        <is>
          <t>TOZKONTROL-IYP1-SIYAH-80600</t>
        </is>
      </c>
      <c r="D189" s="26" t="inlineStr">
        <is>
          <t>TOZKONTROL-IYP1-SIYAH-80600</t>
        </is>
      </c>
      <c r="E189" s="27" t="inlineStr">
        <is>
          <t>80 x 600</t>
        </is>
      </c>
      <c r="F189" s="28" t="inlineStr">
        <is>
          <t>TOZKONTROL-IYP1</t>
        </is>
      </c>
      <c r="G189" s="29" t="inlineStr">
        <is>
          <t>Kapı Önü Paspası</t>
        </is>
      </c>
      <c r="H189" s="30" t="inlineStr">
        <is>
          <t>Paspas Yap</t>
        </is>
      </c>
      <c r="I189" s="31" t="n">
        <v>93.0</v>
      </c>
      <c r="J189" s="32" t="n">
        <v>8238.0</v>
      </c>
      <c r="K189" s="33" t="n">
        <v>7629.69</v>
      </c>
      <c r="L189" s="34" t="n">
        <v>22.0</v>
      </c>
      <c r="M189" s="35" t="n">
        <v>5327.46</v>
      </c>
      <c r="N189" s="36" t="inlineStr">
        <is>
          <t>25 Ağustos 08.00-1 Eylül 07.59</t>
        </is>
      </c>
      <c r="O189" s="37" t="n">
        <v>17.1</v>
      </c>
      <c r="P189" s="38" t="n">
        <v>7629.69</v>
      </c>
      <c r="Q189" s="39"/>
      <c r="R189" s="40" t="n">
        <f>=IF(AND(ISBLANK(Q189), ISBLANK(U189)), "", "7 Günlük Fiyat")</f>
        <v>0.0</v>
      </c>
      <c r="S189" s="41" t="n">
        <f>=IF(OR(Q189="", R189=""), "-", IF(ISNUMBER(SEARCH("7 Günlük", R189)), IF(Q189&lt;=M189, O189, "-"), "-"))</f>
        <v>0.0</v>
      </c>
      <c r="T189" s="42" t="str">
        <f>=IF(ISBLANK(Q189), "", "Hayır")</f>
      </c>
      <c r="U189" s="43"/>
      <c r="V189" s="44" t="inlineStr">
        <is>
          <t>50461ed1-c2c8-4393-967e-55d58a3e2664</t>
        </is>
      </c>
    </row>
    <row r="190">
      <c r="A190" s="23" t="inlineStr">
        <is>
          <t>Rampalı Giriş Paspası Toz Ve Nem Alıcı Su Emici Kaymaz Paspas Apartman Dükkan Iş Yeri Paspası</t>
        </is>
      </c>
      <c r="B190" s="24" t="inlineStr">
        <is>
          <t>769999711</t>
        </is>
      </c>
      <c r="C190" s="25" t="inlineStr">
        <is>
          <t>TOZKONTROL-IYP1-SIYAH-100800</t>
        </is>
      </c>
      <c r="D190" s="26" t="inlineStr">
        <is>
          <t>TOZKONTROL-IYP1-SIYAH-100800</t>
        </is>
      </c>
      <c r="E190" s="27" t="inlineStr">
        <is>
          <t>100 x 800</t>
        </is>
      </c>
      <c r="F190" s="28" t="inlineStr">
        <is>
          <t>TOZKONTROL-IYP1</t>
        </is>
      </c>
      <c r="G190" s="29" t="inlineStr">
        <is>
          <t>Kapı Önü Paspası</t>
        </is>
      </c>
      <c r="H190" s="30" t="inlineStr">
        <is>
          <t>Paspas Yap</t>
        </is>
      </c>
      <c r="I190" s="31" t="n">
        <v>93.0</v>
      </c>
      <c r="J190" s="32" t="n">
        <v>13749.0</v>
      </c>
      <c r="K190" s="33" t="n">
        <v>12753.03</v>
      </c>
      <c r="L190" s="34" t="n">
        <v>22.0</v>
      </c>
      <c r="M190" s="35" t="n">
        <v>8221.8</v>
      </c>
      <c r="N190" s="36" t="inlineStr">
        <is>
          <t>25 Ağustos 08.00-1 Eylül 07.59</t>
        </is>
      </c>
      <c r="O190" s="37" t="n">
        <v>15.9</v>
      </c>
      <c r="P190" s="38" t="n">
        <v>12753.03</v>
      </c>
      <c r="Q190" s="39"/>
      <c r="R190" s="40" t="n">
        <f>=IF(AND(ISBLANK(Q190), ISBLANK(U190)), "", "7 Günlük Fiyat")</f>
        <v>0.0</v>
      </c>
      <c r="S190" s="41" t="n">
        <f>=IF(OR(Q190="", R190=""), "-", IF(ISNUMBER(SEARCH("7 Günlük", R190)), IF(Q190&lt;=M190, O190, "-"), "-"))</f>
        <v>0.0</v>
      </c>
      <c r="T190" s="42" t="str">
        <f>=IF(ISBLANK(Q190), "", "Hayır")</f>
      </c>
      <c r="U190" s="43"/>
      <c r="V190" s="44" t="inlineStr">
        <is>
          <t>50461ed1-c2c8-4393-967e-55d58a3e2664</t>
        </is>
      </c>
    </row>
    <row r="191">
      <c r="A191" s="23" t="inlineStr">
        <is>
          <t>Rampalı Giriş Paspası Toz Ve Nem Alıcı Su Emici Kaymaz Paspas Apartman Dükkan Iş Yeri Paspası</t>
        </is>
      </c>
      <c r="B191" s="24" t="inlineStr">
        <is>
          <t>769999711</t>
        </is>
      </c>
      <c r="C191" s="25" t="inlineStr">
        <is>
          <t>TOZKONTROL-IYP1-SIYAH-80400</t>
        </is>
      </c>
      <c r="D191" s="26" t="inlineStr">
        <is>
          <t>TOZKONTROL-IYP1-SIYAH-80400</t>
        </is>
      </c>
      <c r="E191" s="27" t="inlineStr">
        <is>
          <t>80 x 400</t>
        </is>
      </c>
      <c r="F191" s="28" t="inlineStr">
        <is>
          <t>TOZKONTROL-IYP1</t>
        </is>
      </c>
      <c r="G191" s="29" t="inlineStr">
        <is>
          <t>Kapı Önü Paspası</t>
        </is>
      </c>
      <c r="H191" s="30" t="inlineStr">
        <is>
          <t>Paspas Yap</t>
        </is>
      </c>
      <c r="I191" s="31" t="n">
        <v>93.0</v>
      </c>
      <c r="J191" s="32" t="n">
        <v>5963.0</v>
      </c>
      <c r="K191" s="33" t="n">
        <v>5494.12</v>
      </c>
      <c r="L191" s="34" t="n">
        <v>22.0</v>
      </c>
      <c r="M191" s="35" t="n">
        <v>3857.83</v>
      </c>
      <c r="N191" s="36" t="inlineStr">
        <is>
          <t>25 Ağustos 08.00-1 Eylül 07.59</t>
        </is>
      </c>
      <c r="O191" s="37" t="n">
        <v>17.1</v>
      </c>
      <c r="P191" s="38" t="n">
        <v>5494.12</v>
      </c>
      <c r="Q191" s="39"/>
      <c r="R191" s="40" t="n">
        <f>=IF(AND(ISBLANK(Q191), ISBLANK(U191)), "", "7 Günlük Fiyat")</f>
        <v>0.0</v>
      </c>
      <c r="S191" s="41" t="n">
        <f>=IF(OR(Q191="", R191=""), "-", IF(ISNUMBER(SEARCH("7 Günlük", R191)), IF(Q191&lt;=M191, O191, "-"), "-"))</f>
        <v>0.0</v>
      </c>
      <c r="T191" s="42" t="str">
        <f>=IF(ISBLANK(Q191), "", "Hayır")</f>
      </c>
      <c r="U191" s="43"/>
      <c r="V191" s="44" t="inlineStr">
        <is>
          <t>50461ed1-c2c8-4393-967e-55d58a3e2664</t>
        </is>
      </c>
    </row>
    <row r="192">
      <c r="A192" s="23" t="inlineStr">
        <is>
          <t>Rampalı Giriş Paspası Toz Ve Nem Alıcı Su Emici Kaymaz Paspas Apartman Dükkan Iş Yeri Paspası</t>
        </is>
      </c>
      <c r="B192" s="24" t="inlineStr">
        <is>
          <t>769999711</t>
        </is>
      </c>
      <c r="C192" s="25" t="inlineStr">
        <is>
          <t>TOZKONTROL-IYP1-SIYAH-120x1350</t>
        </is>
      </c>
      <c r="D192" s="26" t="inlineStr">
        <is>
          <t>TOZKONTROL-IYP1-SIYAH-120x1350</t>
        </is>
      </c>
      <c r="E192" s="27" t="inlineStr">
        <is>
          <t>120 x 1350</t>
        </is>
      </c>
      <c r="F192" s="28" t="inlineStr">
        <is>
          <t>TOZKONTROL-IYP1</t>
        </is>
      </c>
      <c r="G192" s="29" t="inlineStr">
        <is>
          <t>Kapı Önü Paspası</t>
        </is>
      </c>
      <c r="H192" s="30" t="inlineStr">
        <is>
          <t>Paspas Yap</t>
        </is>
      </c>
      <c r="I192" s="31" t="n">
        <v>93.0</v>
      </c>
      <c r="J192" s="32" t="n">
        <v>28572.0</v>
      </c>
      <c r="K192" s="33" t="n">
        <v>23523.53</v>
      </c>
      <c r="L192" s="34" t="n">
        <v>22.0</v>
      </c>
      <c r="M192" s="35" t="n">
        <v>14959.51</v>
      </c>
      <c r="N192" s="36" t="inlineStr">
        <is>
          <t>25 Ağustos 08.00-1 Eylül 07.59</t>
        </is>
      </c>
      <c r="O192" s="37" t="n">
        <v>15.3</v>
      </c>
      <c r="P192" s="38" t="n">
        <v>23523.53</v>
      </c>
      <c r="Q192" s="39"/>
      <c r="R192" s="40" t="n">
        <f>=IF(AND(ISBLANK(Q192), ISBLANK(U192)), "", "7 Günlük Fiyat")</f>
        <v>0.0</v>
      </c>
      <c r="S192" s="41" t="n">
        <f>=IF(OR(Q192="", R192=""), "-", IF(ISNUMBER(SEARCH("7 Günlük", R192)), IF(Q192&lt;=M192, O192, "-"), "-"))</f>
        <v>0.0</v>
      </c>
      <c r="T192" s="42" t="str">
        <f>=IF(ISBLANK(Q192), "", "Hayır")</f>
      </c>
      <c r="U192" s="43"/>
      <c r="V192" s="44" t="inlineStr">
        <is>
          <t>50461ed1-c2c8-4393-967e-55d58a3e2664</t>
        </is>
      </c>
    </row>
    <row r="193">
      <c r="A193" s="23" t="inlineStr">
        <is>
          <t>Dikdörtgen Şekilli Sade Paspas Koko Paspas Kıl Paspas Dış Kapı Paspası Kapıönü Paspas</t>
        </is>
      </c>
      <c r="B193" s="24" t="inlineStr">
        <is>
          <t>117453119</t>
        </is>
      </c>
      <c r="C193" s="25" t="inlineStr">
        <is>
          <t>ST34-4070</t>
        </is>
      </c>
      <c r="D193" s="26" t="inlineStr">
        <is>
          <t>KOKO--40x70--ST34</t>
        </is>
      </c>
      <c r="E193" s="27" t="inlineStr">
        <is>
          <t>40 x 70</t>
        </is>
      </c>
      <c r="F193" s="28" t="inlineStr">
        <is>
          <t>ST34</t>
        </is>
      </c>
      <c r="G193" s="29" t="inlineStr">
        <is>
          <t>Kapı Önü Paspası</t>
        </is>
      </c>
      <c r="H193" s="30" t="inlineStr">
        <is>
          <t>Paspas Yap</t>
        </is>
      </c>
      <c r="I193" s="31" t="n">
        <v>86.0</v>
      </c>
      <c r="J193" s="32" t="n">
        <v>1506.0</v>
      </c>
      <c r="K193" s="33" t="n">
        <v>1233.55</v>
      </c>
      <c r="L193" s="34" t="n">
        <v>22.0</v>
      </c>
      <c r="M193" s="35" t="n">
        <v>854.77</v>
      </c>
      <c r="N193" s="36" t="inlineStr">
        <is>
          <t>25 Ağustos 08.00-1 Eylül 07.59</t>
        </is>
      </c>
      <c r="O193" s="37" t="n">
        <v>12.9</v>
      </c>
      <c r="P193" s="38" t="n">
        <v>1233.55</v>
      </c>
      <c r="Q193" s="39"/>
      <c r="R193" s="40" t="n">
        <f>=IF(AND(ISBLANK(Q193), ISBLANK(U193)), "", "7 Günlük Fiyat")</f>
        <v>0.0</v>
      </c>
      <c r="S193" s="41" t="n">
        <f>=IF(OR(Q193="", R193=""), "-", IF(ISNUMBER(SEARCH("7 Günlük", R193)), IF(Q193&lt;=M193, O193, "-"), "-"))</f>
        <v>0.0</v>
      </c>
      <c r="T193" s="42" t="str">
        <f>=IF(ISBLANK(Q193), "", "Hayır")</f>
      </c>
      <c r="U193" s="43"/>
      <c r="V193" s="44" t="inlineStr">
        <is>
          <t>50461ed1-c2c8-4393-967e-55d58a3e2664</t>
        </is>
      </c>
    </row>
    <row r="194">
      <c r="A194" s="23" t="inlineStr">
        <is>
          <t>Dikdörtgen Şekilli Sade Paspas Koko Paspas Kıl Paspas Dış Kapı Paspası Kapıönü Paspas</t>
        </is>
      </c>
      <c r="B194" s="24" t="inlineStr">
        <is>
          <t>117453119</t>
        </is>
      </c>
      <c r="C194" s="25" t="inlineStr">
        <is>
          <t>ST34-3360</t>
        </is>
      </c>
      <c r="D194" s="26" t="inlineStr">
        <is>
          <t>KOKO--33x60--ST34</t>
        </is>
      </c>
      <c r="E194" s="27" t="inlineStr">
        <is>
          <t>33 x 60</t>
        </is>
      </c>
      <c r="F194" s="28" t="inlineStr">
        <is>
          <t>ST34</t>
        </is>
      </c>
      <c r="G194" s="29" t="inlineStr">
        <is>
          <t>Kapı Önü Paspası</t>
        </is>
      </c>
      <c r="H194" s="30" t="inlineStr">
        <is>
          <t>Paspas Yap</t>
        </is>
      </c>
      <c r="I194" s="31" t="n">
        <v>91.0</v>
      </c>
      <c r="J194" s="32" t="n">
        <v>799.0</v>
      </c>
      <c r="K194" s="33" t="n">
        <v>799.0</v>
      </c>
      <c r="L194" s="34" t="n">
        <v>22.0</v>
      </c>
      <c r="M194" s="35" t="n">
        <v>581.64</v>
      </c>
      <c r="N194" s="36" t="inlineStr">
        <is>
          <t>25 Ağustos 08.00-1 Eylül 07.59</t>
        </is>
      </c>
      <c r="O194" s="37" t="n">
        <v>16.8</v>
      </c>
      <c r="P194" s="38" t="n">
        <v>799.0</v>
      </c>
      <c r="Q194" s="39"/>
      <c r="R194" s="40" t="n">
        <f>=IF(AND(ISBLANK(Q194), ISBLANK(U194)), "", "7 Günlük Fiyat")</f>
        <v>0.0</v>
      </c>
      <c r="S194" s="41" t="n">
        <f>=IF(OR(Q194="", R194=""), "-", IF(ISNUMBER(SEARCH("7 Günlük", R194)), IF(Q194&lt;=M194, O194, "-"), "-"))</f>
        <v>0.0</v>
      </c>
      <c r="T194" s="42" t="str">
        <f>=IF(ISBLANK(Q194), "", "Hayır")</f>
      </c>
      <c r="U194" s="43"/>
      <c r="V194" s="44" t="inlineStr">
        <is>
          <t>50461ed1-c2c8-4393-967e-55d58a3e2664</t>
        </is>
      </c>
    </row>
    <row r="195">
      <c r="A195" s="23" t="inlineStr">
        <is>
          <t>Dikdörtgen Şekilli Sade Paspas Koko Paspas Kıl Paspas Dış Kapı Paspası Kapıönü Paspas</t>
        </is>
      </c>
      <c r="B195" s="24" t="inlineStr">
        <is>
          <t>117453119</t>
        </is>
      </c>
      <c r="C195" s="25" t="inlineStr">
        <is>
          <t>ST34-5090</t>
        </is>
      </c>
      <c r="D195" s="26" t="inlineStr">
        <is>
          <t>KOKO--50x90--ST34</t>
        </is>
      </c>
      <c r="E195" s="27" t="inlineStr">
        <is>
          <t>50 x 90</t>
        </is>
      </c>
      <c r="F195" s="28" t="inlineStr">
        <is>
          <t>ST34</t>
        </is>
      </c>
      <c r="G195" s="29" t="inlineStr">
        <is>
          <t>Kapı Önü Paspası</t>
        </is>
      </c>
      <c r="H195" s="30" t="inlineStr">
        <is>
          <t>Paspas Yap</t>
        </is>
      </c>
      <c r="I195" s="31" t="n">
        <v>88.0</v>
      </c>
      <c r="J195" s="32" t="n">
        <v>2199.0</v>
      </c>
      <c r="K195" s="33" t="n">
        <v>1991.46</v>
      </c>
      <c r="L195" s="34" t="n">
        <v>22.0</v>
      </c>
      <c r="M195" s="35" t="n">
        <v>1179.21</v>
      </c>
      <c r="N195" s="36" t="inlineStr">
        <is>
          <t>25 Ağustos 08.00-1 Eylül 07.59</t>
        </is>
      </c>
      <c r="O195" s="37" t="n">
        <v>12.2</v>
      </c>
      <c r="P195" s="38" t="n">
        <v>1991.46</v>
      </c>
      <c r="Q195" s="39"/>
      <c r="R195" s="40" t="n">
        <f>=IF(AND(ISBLANK(Q195), ISBLANK(U195)), "", "7 Günlük Fiyat")</f>
        <v>0.0</v>
      </c>
      <c r="S195" s="41" t="n">
        <f>=IF(OR(Q195="", R195=""), "-", IF(ISNUMBER(SEARCH("7 Günlük", R195)), IF(Q195&lt;=M195, O195, "-"), "-"))</f>
        <v>0.0</v>
      </c>
      <c r="T195" s="42" t="str">
        <f>=IF(ISBLANK(Q195), "", "Hayır")</f>
      </c>
      <c r="U195" s="43"/>
      <c r="V195" s="44" t="inlineStr">
        <is>
          <t>50461ed1-c2c8-4393-967e-55d58a3e2664</t>
        </is>
      </c>
    </row>
    <row r="196">
      <c r="A196" s="23" t="inlineStr">
        <is>
          <t>Dikdörtgen Şekilli Sade Paspas Koko Paspas Kıl Paspas Dış Kapı Paspası Kapıönü Paspas</t>
        </is>
      </c>
      <c r="B196" s="24" t="inlineStr">
        <is>
          <t>117453119</t>
        </is>
      </c>
      <c r="C196" s="25" t="inlineStr">
        <is>
          <t>ST34-4060</t>
        </is>
      </c>
      <c r="D196" s="26" t="inlineStr">
        <is>
          <t>KOKO--40x60--ST34</t>
        </is>
      </c>
      <c r="E196" s="27" t="inlineStr">
        <is>
          <t>40 x 60</t>
        </is>
      </c>
      <c r="F196" s="28" t="inlineStr">
        <is>
          <t>ST34</t>
        </is>
      </c>
      <c r="G196" s="29" t="inlineStr">
        <is>
          <t>Kapı Önü Paspası</t>
        </is>
      </c>
      <c r="H196" s="30" t="inlineStr">
        <is>
          <t>Paspas Yap</t>
        </is>
      </c>
      <c r="I196" s="31" t="n">
        <v>89.0</v>
      </c>
      <c r="J196" s="32" t="n">
        <v>988.0</v>
      </c>
      <c r="K196" s="33" t="n">
        <v>988.0</v>
      </c>
      <c r="L196" s="34" t="n">
        <v>22.0</v>
      </c>
      <c r="M196" s="35" t="n">
        <v>607.68</v>
      </c>
      <c r="N196" s="36" t="inlineStr">
        <is>
          <t>25 Ağustos 08.00-1 Eylül 07.59</t>
        </is>
      </c>
      <c r="O196" s="37" t="n">
        <v>15.1</v>
      </c>
      <c r="P196" s="38" t="n">
        <v>988.0</v>
      </c>
      <c r="Q196" s="39"/>
      <c r="R196" s="40" t="n">
        <f>=IF(AND(ISBLANK(Q196), ISBLANK(U196)), "", "7 Günlük Fiyat")</f>
        <v>0.0</v>
      </c>
      <c r="S196" s="41" t="n">
        <f>=IF(OR(Q196="", R196=""), "-", IF(ISNUMBER(SEARCH("7 Günlük", R196)), IF(Q196&lt;=M196, O196, "-"), "-"))</f>
        <v>0.0</v>
      </c>
      <c r="T196" s="42" t="str">
        <f>=IF(ISBLANK(Q196), "", "Hayır")</f>
      </c>
      <c r="U196" s="43"/>
      <c r="V196" s="44" t="inlineStr">
        <is>
          <t>50461ed1-c2c8-4393-967e-55d58a3e2664</t>
        </is>
      </c>
    </row>
    <row r="197">
      <c r="A197" s="23" t="inlineStr">
        <is>
          <t>Toz Ve Nem Alıcı Paspas Iş Yeri Paspası Iç Ve Dış Mekan Paspası Giriş Paspası Kapı Paspası</t>
        </is>
      </c>
      <c r="B197" s="24" t="inlineStr">
        <is>
          <t>780278960</t>
        </is>
      </c>
      <c r="C197" s="25" t="inlineStr">
        <is>
          <t>TOZKONTROL-IYP2-RAMPASIZ-GRI-1001150</t>
        </is>
      </c>
      <c r="D197" s="26" t="inlineStr">
        <is>
          <t>TOZKONTROL-IYP2-RAMPASIZ-GRI-1001150</t>
        </is>
      </c>
      <c r="E197" s="27" t="inlineStr">
        <is>
          <t>100 x 1150</t>
        </is>
      </c>
      <c r="F197" s="28" t="inlineStr">
        <is>
          <t>TOZKONTROL-IYP2-RAMPASIZ</t>
        </is>
      </c>
      <c r="G197" s="29" t="inlineStr">
        <is>
          <t>Kapı Önü Paspası</t>
        </is>
      </c>
      <c r="H197" s="30" t="inlineStr">
        <is>
          <t>Paspas Yap</t>
        </is>
      </c>
      <c r="I197" s="31" t="n">
        <v>93.0</v>
      </c>
      <c r="J197" s="32" t="n">
        <v>15959.0</v>
      </c>
      <c r="K197" s="33" t="n">
        <v>11068.58</v>
      </c>
      <c r="L197" s="34" t="n">
        <v>22.0</v>
      </c>
      <c r="M197" s="35" t="n">
        <v>7293.82</v>
      </c>
      <c r="N197" s="36" t="inlineStr">
        <is>
          <t>25 Ağustos 08.00-1 Eylül 07.59</t>
        </is>
      </c>
      <c r="O197" s="37" t="n">
        <v>11.0</v>
      </c>
      <c r="P197" s="38" t="n">
        <v>11068.58</v>
      </c>
      <c r="Q197" s="39"/>
      <c r="R197" s="40" t="n">
        <f>=IF(AND(ISBLANK(Q197), ISBLANK(U197)), "", "7 Günlük Fiyat")</f>
        <v>0.0</v>
      </c>
      <c r="S197" s="41" t="n">
        <f>=IF(OR(Q197="", R197=""), "-", IF(ISNUMBER(SEARCH("7 Günlük", R197)), IF(Q197&lt;=M197, O197, "-"), "-"))</f>
        <v>0.0</v>
      </c>
      <c r="T197" s="42" t="str">
        <f>=IF(ISBLANK(Q197), "", "Hayır")</f>
      </c>
      <c r="U197" s="43"/>
      <c r="V197" s="44" t="inlineStr">
        <is>
          <t>50461ed1-c2c8-4393-967e-55d58a3e2664</t>
        </is>
      </c>
    </row>
    <row r="198">
      <c r="A198" s="23" t="inlineStr">
        <is>
          <t>Toz Ve Nem Alıcı Paspas Iş Yeri Paspası Iç Ve Dış Mekan Paspası Giriş Paspası Kapı Paspası</t>
        </is>
      </c>
      <c r="B198" s="24" t="inlineStr">
        <is>
          <t>780278960</t>
        </is>
      </c>
      <c r="C198" s="25" t="inlineStr">
        <is>
          <t>TOZKONTROL-IYP2-RAMPASIZ-GRI-120600</t>
        </is>
      </c>
      <c r="D198" s="26" t="inlineStr">
        <is>
          <t>TOZKONTROL-IYP2-RAMPASIZ-GRI-120600</t>
        </is>
      </c>
      <c r="E198" s="27" t="inlineStr">
        <is>
          <t>120 x 600</t>
        </is>
      </c>
      <c r="F198" s="28" t="inlineStr">
        <is>
          <t>TOZKONTROL-IYP2-RAMPASIZ</t>
        </is>
      </c>
      <c r="G198" s="29" t="inlineStr">
        <is>
          <t>Kapı Önü Paspası</t>
        </is>
      </c>
      <c r="H198" s="30" t="inlineStr">
        <is>
          <t>Paspas Yap</t>
        </is>
      </c>
      <c r="I198" s="31" t="n">
        <v>93.0</v>
      </c>
      <c r="J198" s="32" t="n">
        <v>9731.0</v>
      </c>
      <c r="K198" s="33" t="n">
        <v>8872.65</v>
      </c>
      <c r="L198" s="34" t="n">
        <v>22.0</v>
      </c>
      <c r="M198" s="35" t="n">
        <v>5661.36</v>
      </c>
      <c r="N198" s="36" t="inlineStr">
        <is>
          <t>25 Ağustos 08.00-1 Eylül 07.59</t>
        </is>
      </c>
      <c r="O198" s="37" t="n">
        <v>13.1</v>
      </c>
      <c r="P198" s="38" t="n">
        <v>8872.65</v>
      </c>
      <c r="Q198" s="39"/>
      <c r="R198" s="40" t="n">
        <f>=IF(AND(ISBLANK(Q198), ISBLANK(U198)), "", "7 Günlük Fiyat")</f>
        <v>0.0</v>
      </c>
      <c r="S198" s="41" t="n">
        <f>=IF(OR(Q198="", R198=""), "-", IF(ISNUMBER(SEARCH("7 Günlük", R198)), IF(Q198&lt;=M198, O198, "-"), "-"))</f>
        <v>0.0</v>
      </c>
      <c r="T198" s="42" t="str">
        <f>=IF(ISBLANK(Q198), "", "Hayır")</f>
      </c>
      <c r="U198" s="43"/>
      <c r="V198" s="44" t="inlineStr">
        <is>
          <t>50461ed1-c2c8-4393-967e-55d58a3e2664</t>
        </is>
      </c>
    </row>
    <row r="199">
      <c r="A199" s="23" t="inlineStr">
        <is>
          <t>Toz Ve Nem Alıcı Paspas Iş Yeri Paspası Iç Ve Dış Mekan Paspası Giriş Paspası Kapı Paspası</t>
        </is>
      </c>
      <c r="B199" s="24" t="inlineStr">
        <is>
          <t>780278960</t>
        </is>
      </c>
      <c r="C199" s="25" t="inlineStr">
        <is>
          <t>TOZKONTROL-IYP2-RAMPASIZ-GRI-100x550</t>
        </is>
      </c>
      <c r="D199" s="26" t="inlineStr">
        <is>
          <t>TOZKONTROL-IYP2-RAMPASIZ-GRI-100x550</t>
        </is>
      </c>
      <c r="E199" s="27" t="inlineStr">
        <is>
          <t>100 x 550</t>
        </is>
      </c>
      <c r="F199" s="28" t="inlineStr">
        <is>
          <t>TOZKONTROL-IYP2-RAMPASIZ</t>
        </is>
      </c>
      <c r="G199" s="29" t="inlineStr">
        <is>
          <t>Kapı Önü Paspası</t>
        </is>
      </c>
      <c r="H199" s="30" t="inlineStr">
        <is>
          <t>Paspas Yap</t>
        </is>
      </c>
      <c r="I199" s="31" t="n">
        <v>93.0</v>
      </c>
      <c r="J199" s="32" t="n">
        <v>7489.0</v>
      </c>
      <c r="K199" s="33" t="n">
        <v>5172.8</v>
      </c>
      <c r="L199" s="34" t="n">
        <v>22.0</v>
      </c>
      <c r="M199" s="35" t="n">
        <v>3429.3</v>
      </c>
      <c r="N199" s="36" t="inlineStr">
        <is>
          <t>25 Ağustos 08.00-1 Eylül 07.59</t>
        </is>
      </c>
      <c r="O199" s="37" t="n">
        <v>11.1</v>
      </c>
      <c r="P199" s="38" t="n">
        <v>5172.8</v>
      </c>
      <c r="Q199" s="39"/>
      <c r="R199" s="40" t="n">
        <f>=IF(AND(ISBLANK(Q199), ISBLANK(U199)), "", "7 Günlük Fiyat")</f>
        <v>0.0</v>
      </c>
      <c r="S199" s="41" t="n">
        <f>=IF(OR(Q199="", R199=""), "-", IF(ISNUMBER(SEARCH("7 Günlük", R199)), IF(Q199&lt;=M199, O199, "-"), "-"))</f>
        <v>0.0</v>
      </c>
      <c r="T199" s="42" t="str">
        <f>=IF(ISBLANK(Q199), "", "Hayır")</f>
      </c>
      <c r="U199" s="43"/>
      <c r="V199" s="44" t="inlineStr">
        <is>
          <t>50461ed1-c2c8-4393-967e-55d58a3e2664</t>
        </is>
      </c>
    </row>
    <row r="200">
      <c r="A200" s="23" t="inlineStr">
        <is>
          <t>Toz Ve Nem Alıcı Paspas Iş Yeri Paspası Iç Ve Dış Mekan Paspası Giriş Paspası Kapı Paspası</t>
        </is>
      </c>
      <c r="B200" s="24" t="inlineStr">
        <is>
          <t>780278960</t>
        </is>
      </c>
      <c r="C200" s="25" t="inlineStr">
        <is>
          <t>TOZKONTROL-IYP2-RAMPASIZ-GRI-100x1000</t>
        </is>
      </c>
      <c r="D200" s="26" t="inlineStr">
        <is>
          <t>TOZKONTROL-IYP2-RAMPASIZ-GRI-100x1000</t>
        </is>
      </c>
      <c r="E200" s="27" t="inlineStr">
        <is>
          <t>100 x 1000</t>
        </is>
      </c>
      <c r="F200" s="28" t="inlineStr">
        <is>
          <t>TOZKONTROL-IYP2-RAMPASIZ</t>
        </is>
      </c>
      <c r="G200" s="29" t="inlineStr">
        <is>
          <t>Kapı Önü Paspası</t>
        </is>
      </c>
      <c r="H200" s="30" t="inlineStr">
        <is>
          <t>Paspas Yap</t>
        </is>
      </c>
      <c r="I200" s="31" t="n">
        <v>93.0</v>
      </c>
      <c r="J200" s="32" t="n">
        <v>13799.0</v>
      </c>
      <c r="K200" s="33" t="n">
        <v>9774.42</v>
      </c>
      <c r="L200" s="34" t="n">
        <v>22.0</v>
      </c>
      <c r="M200" s="35" t="n">
        <v>6448.11</v>
      </c>
      <c r="N200" s="36" t="inlineStr">
        <is>
          <t>25 Ağustos 08.00-1 Eylül 07.59</t>
        </is>
      </c>
      <c r="O200" s="37" t="n">
        <v>11.2</v>
      </c>
      <c r="P200" s="38" t="n">
        <v>9774.42</v>
      </c>
      <c r="Q200" s="39"/>
      <c r="R200" s="40" t="n">
        <f>=IF(AND(ISBLANK(Q200), ISBLANK(U200)), "", "7 Günlük Fiyat")</f>
        <v>0.0</v>
      </c>
      <c r="S200" s="41" t="n">
        <f>=IF(OR(Q200="", R200=""), "-", IF(ISNUMBER(SEARCH("7 Günlük", R200)), IF(Q200&lt;=M200, O200, "-"), "-"))</f>
        <v>0.0</v>
      </c>
      <c r="T200" s="42" t="str">
        <f>=IF(ISBLANK(Q200), "", "Hayır")</f>
      </c>
      <c r="U200" s="43"/>
      <c r="V200" s="44" t="inlineStr">
        <is>
          <t>50461ed1-c2c8-4393-967e-55d58a3e2664</t>
        </is>
      </c>
    </row>
    <row r="201">
      <c r="A201" s="23" t="inlineStr">
        <is>
          <t>Toz Ve Nem Alıcı Paspas Iş Yeri Paspası Iç Ve Dış Mekan Paspası Giriş Paspası Kapı Paspası</t>
        </is>
      </c>
      <c r="B201" s="24" t="inlineStr">
        <is>
          <t>780278960</t>
        </is>
      </c>
      <c r="C201" s="25" t="inlineStr">
        <is>
          <t>TOZKONTROL-IYP2-RAMPASIZ-GRI-80350</t>
        </is>
      </c>
      <c r="D201" s="26" t="inlineStr">
        <is>
          <t>TOZKONTROL-IYP2-RAMPASIZ-GRI-80350</t>
        </is>
      </c>
      <c r="E201" s="27" t="inlineStr">
        <is>
          <t>80 x 350</t>
        </is>
      </c>
      <c r="F201" s="28" t="inlineStr">
        <is>
          <t>TOZKONTROL-IYP2-RAMPASIZ</t>
        </is>
      </c>
      <c r="G201" s="29" t="inlineStr">
        <is>
          <t>Kapı Önü Paspası</t>
        </is>
      </c>
      <c r="H201" s="30" t="inlineStr">
        <is>
          <t>Paspas Yap</t>
        </is>
      </c>
      <c r="I201" s="31" t="n">
        <v>93.0</v>
      </c>
      <c r="J201" s="32" t="n">
        <v>3939.0</v>
      </c>
      <c r="K201" s="33" t="n">
        <v>2707.75</v>
      </c>
      <c r="L201" s="34" t="n">
        <v>22.0</v>
      </c>
      <c r="M201" s="35" t="n">
        <v>1813.8</v>
      </c>
      <c r="N201" s="36" t="inlineStr">
        <is>
          <t>25 Ağustos 08.00-1 Eylül 07.59</t>
        </is>
      </c>
      <c r="O201" s="37" t="n">
        <v>11.1</v>
      </c>
      <c r="P201" s="38" t="n">
        <v>2707.75</v>
      </c>
      <c r="Q201" s="39"/>
      <c r="R201" s="40" t="n">
        <f>=IF(AND(ISBLANK(Q201), ISBLANK(U201)), "", "7 Günlük Fiyat")</f>
        <v>0.0</v>
      </c>
      <c r="S201" s="41" t="n">
        <f>=IF(OR(Q201="", R201=""), "-", IF(ISNUMBER(SEARCH("7 Günlük", R201)), IF(Q201&lt;=M201, O201, "-"), "-"))</f>
        <v>0.0</v>
      </c>
      <c r="T201" s="42" t="str">
        <f>=IF(ISBLANK(Q201), "", "Hayır")</f>
      </c>
      <c r="U201" s="43"/>
      <c r="V201" s="44" t="inlineStr">
        <is>
          <t>50461ed1-c2c8-4393-967e-55d58a3e2664</t>
        </is>
      </c>
    </row>
    <row r="202">
      <c r="A202" s="23" t="inlineStr">
        <is>
          <t>Toz Ve Nem Alıcı Paspas Iş Yeri Paspası Iç Ve Dış Mekan Paspası Giriş Paspası Kapı Paspası</t>
        </is>
      </c>
      <c r="B202" s="24" t="inlineStr">
        <is>
          <t>780278960</t>
        </is>
      </c>
      <c r="C202" s="25" t="inlineStr">
        <is>
          <t>TOZKONTROL-IYP2-RAMPASIZ-GRI-80300</t>
        </is>
      </c>
      <c r="D202" s="26" t="inlineStr">
        <is>
          <t>TOZKONTROL-IYP2-RAMPASIZ-GRI-80300</t>
        </is>
      </c>
      <c r="E202" s="27" t="inlineStr">
        <is>
          <t>80 x 300</t>
        </is>
      </c>
      <c r="F202" s="28" t="inlineStr">
        <is>
          <t>TOZKONTROL-IYP2-RAMPASIZ</t>
        </is>
      </c>
      <c r="G202" s="29" t="inlineStr">
        <is>
          <t>Kapı Önü Paspası</t>
        </is>
      </c>
      <c r="H202" s="30" t="inlineStr">
        <is>
          <t>Paspas Yap</t>
        </is>
      </c>
      <c r="I202" s="31" t="n">
        <v>93.0</v>
      </c>
      <c r="J202" s="32" t="n">
        <v>3449.0</v>
      </c>
      <c r="K202" s="33" t="n">
        <v>2412.18</v>
      </c>
      <c r="L202" s="34" t="n">
        <v>22.0</v>
      </c>
      <c r="M202" s="35" t="n">
        <v>1647.13</v>
      </c>
      <c r="N202" s="36" t="inlineStr">
        <is>
          <t>25 Ağustos 08.00-1 Eylül 07.59</t>
        </is>
      </c>
      <c r="O202" s="37" t="n">
        <v>11.6</v>
      </c>
      <c r="P202" s="38" t="n">
        <v>2412.18</v>
      </c>
      <c r="Q202" s="39"/>
      <c r="R202" s="40" t="n">
        <f>=IF(AND(ISBLANK(Q202), ISBLANK(U202)), "", "7 Günlük Fiyat")</f>
        <v>0.0</v>
      </c>
      <c r="S202" s="41" t="n">
        <f>=IF(OR(Q202="", R202=""), "-", IF(ISNUMBER(SEARCH("7 Günlük", R202)), IF(Q202&lt;=M202, O202, "-"), "-"))</f>
        <v>0.0</v>
      </c>
      <c r="T202" s="42" t="str">
        <f>=IF(ISBLANK(Q202), "", "Hayır")</f>
      </c>
      <c r="U202" s="43"/>
      <c r="V202" s="44" t="inlineStr">
        <is>
          <t>50461ed1-c2c8-4393-967e-55d58a3e2664</t>
        </is>
      </c>
    </row>
    <row r="203">
      <c r="A203" s="23" t="inlineStr">
        <is>
          <t>Toz Ve Nem Alıcı Paspas Iş Yeri Paspası Iç Ve Dış Mekan Paspası Giriş Paspası Kapı Paspası</t>
        </is>
      </c>
      <c r="B203" s="24" t="inlineStr">
        <is>
          <t>780278960</t>
        </is>
      </c>
      <c r="C203" s="25" t="inlineStr">
        <is>
          <t>TOZKONTROL-IYP2-RAMPASIZ-GRI-100x750</t>
        </is>
      </c>
      <c r="D203" s="26" t="inlineStr">
        <is>
          <t>TOZKONTROL-IYP2-RAMPASIZ-GRI-100x750</t>
        </is>
      </c>
      <c r="E203" s="27" t="inlineStr">
        <is>
          <t>100 x 750</t>
        </is>
      </c>
      <c r="F203" s="28" t="inlineStr">
        <is>
          <t>TOZKONTROL-IYP2-RAMPASIZ</t>
        </is>
      </c>
      <c r="G203" s="29" t="inlineStr">
        <is>
          <t>Kapı Önü Paspası</t>
        </is>
      </c>
      <c r="H203" s="30" t="inlineStr">
        <is>
          <t>Paspas Yap</t>
        </is>
      </c>
      <c r="I203" s="31" t="n">
        <v>93.0</v>
      </c>
      <c r="J203" s="32" t="n">
        <v>10215.0</v>
      </c>
      <c r="K203" s="33" t="n">
        <v>7129.86</v>
      </c>
      <c r="L203" s="34" t="n">
        <v>22.0</v>
      </c>
      <c r="M203" s="35" t="n">
        <v>4813.7</v>
      </c>
      <c r="N203" s="36" t="inlineStr">
        <is>
          <t>25 Ağustos 08.00-1 Eylül 07.59</t>
        </is>
      </c>
      <c r="O203" s="37" t="n">
        <v>11.6</v>
      </c>
      <c r="P203" s="38" t="n">
        <v>7129.86</v>
      </c>
      <c r="Q203" s="39"/>
      <c r="R203" s="40" t="n">
        <f>=IF(AND(ISBLANK(Q203), ISBLANK(U203)), "", "7 Günlük Fiyat")</f>
        <v>0.0</v>
      </c>
      <c r="S203" s="41" t="n">
        <f>=IF(OR(Q203="", R203=""), "-", IF(ISNUMBER(SEARCH("7 Günlük", R203)), IF(Q203&lt;=M203, O203, "-"), "-"))</f>
        <v>0.0</v>
      </c>
      <c r="T203" s="42" t="str">
        <f>=IF(ISBLANK(Q203), "", "Hayır")</f>
      </c>
      <c r="U203" s="43"/>
      <c r="V203" s="44" t="inlineStr">
        <is>
          <t>50461ed1-c2c8-4393-967e-55d58a3e2664</t>
        </is>
      </c>
    </row>
    <row r="204">
      <c r="A204" s="23" t="inlineStr">
        <is>
          <t>Toz Ve Nem Alıcı Paspas Iş Yeri Paspası Iç Ve Dış Mekan Paspası Giriş Paspası Kapı Paspası</t>
        </is>
      </c>
      <c r="B204" s="24" t="inlineStr">
        <is>
          <t>780278960</t>
        </is>
      </c>
      <c r="C204" s="25" t="inlineStr">
        <is>
          <t>TOZKONTROL-IYP2-RAMPASIZ-GRI-1201400</t>
        </is>
      </c>
      <c r="D204" s="26" t="inlineStr">
        <is>
          <t>TOZKONTROL-IYP2-RAMPASIZ-GRI-1201400</t>
        </is>
      </c>
      <c r="E204" s="27" t="inlineStr">
        <is>
          <t>120 x 1400</t>
        </is>
      </c>
      <c r="F204" s="28" t="inlineStr">
        <is>
          <t>TOZKONTROL-IYP2-RAMPASIZ</t>
        </is>
      </c>
      <c r="G204" s="29" t="inlineStr">
        <is>
          <t>Kapı Önü Paspası</t>
        </is>
      </c>
      <c r="H204" s="30" t="inlineStr">
        <is>
          <t>Paspas Yap</t>
        </is>
      </c>
      <c r="I204" s="31" t="n">
        <v>93.0</v>
      </c>
      <c r="J204" s="32" t="n">
        <v>23520.0</v>
      </c>
      <c r="K204" s="33" t="n">
        <v>18651.91</v>
      </c>
      <c r="L204" s="34" t="n">
        <v>22.0</v>
      </c>
      <c r="M204" s="35" t="n">
        <v>12344.56</v>
      </c>
      <c r="N204" s="36" t="inlineStr">
        <is>
          <t>25 Ağustos 08.00-1 Eylül 07.59</t>
        </is>
      </c>
      <c r="O204" s="37" t="n">
        <v>12.1</v>
      </c>
      <c r="P204" s="38" t="n">
        <v>18651.91</v>
      </c>
      <c r="Q204" s="39"/>
      <c r="R204" s="40" t="n">
        <f>=IF(AND(ISBLANK(Q204), ISBLANK(U204)), "", "7 Günlük Fiyat")</f>
        <v>0.0</v>
      </c>
      <c r="S204" s="41" t="n">
        <f>=IF(OR(Q204="", R204=""), "-", IF(ISNUMBER(SEARCH("7 Günlük", R204)), IF(Q204&lt;=M204, O204, "-"), "-"))</f>
        <v>0.0</v>
      </c>
      <c r="T204" s="42" t="str">
        <f>=IF(ISBLANK(Q204), "", "Hayır")</f>
      </c>
      <c r="U204" s="43"/>
      <c r="V204" s="44" t="inlineStr">
        <is>
          <t>50461ed1-c2c8-4393-967e-55d58a3e2664</t>
        </is>
      </c>
    </row>
    <row r="205">
      <c r="A205" s="23" t="inlineStr">
        <is>
          <t>Toz Ve Nem Alıcı Paspas Iş Yeri Paspası Iç Ve Dış Mekan Paspası Giriş Paspası Kapı Paspası</t>
        </is>
      </c>
      <c r="B205" s="24" t="inlineStr">
        <is>
          <t>780278960</t>
        </is>
      </c>
      <c r="C205" s="25" t="inlineStr">
        <is>
          <t>TOZKONTROL-IYP2-RAMPASIZ-GRI-90x90</t>
        </is>
      </c>
      <c r="D205" s="26" t="inlineStr">
        <is>
          <t>TOZKONTROL-IYP2-RAMPASIZ-GRI-90x90</t>
        </is>
      </c>
      <c r="E205" s="27" t="inlineStr">
        <is>
          <t>90 x 90</t>
        </is>
      </c>
      <c r="F205" s="28" t="inlineStr">
        <is>
          <t>TOZKONTROL-IYP2-RAMPASIZ</t>
        </is>
      </c>
      <c r="G205" s="29" t="inlineStr">
        <is>
          <t>Kapı Önü Paspası</t>
        </is>
      </c>
      <c r="H205" s="30" t="inlineStr">
        <is>
          <t>Paspas Yap</t>
        </is>
      </c>
      <c r="I205" s="31" t="n">
        <v>93.0</v>
      </c>
      <c r="J205" s="32" t="n">
        <v>1399.0</v>
      </c>
      <c r="K205" s="33" t="n">
        <v>1143.64</v>
      </c>
      <c r="L205" s="34" t="n">
        <v>22.0</v>
      </c>
      <c r="M205" s="35" t="n">
        <v>789.08</v>
      </c>
      <c r="N205" s="36" t="inlineStr">
        <is>
          <t>25 Ağustos 08.00-1 Eylül 07.59</t>
        </is>
      </c>
      <c r="O205" s="37" t="n">
        <v>13.1</v>
      </c>
      <c r="P205" s="38" t="n">
        <v>1143.64</v>
      </c>
      <c r="Q205" s="39"/>
      <c r="R205" s="40" t="n">
        <f>=IF(AND(ISBLANK(Q205), ISBLANK(U205)), "", "7 Günlük Fiyat")</f>
        <v>0.0</v>
      </c>
      <c r="S205" s="41" t="n">
        <f>=IF(OR(Q205="", R205=""), "-", IF(ISNUMBER(SEARCH("7 Günlük", R205)), IF(Q205&lt;=M205, O205, "-"), "-"))</f>
        <v>0.0</v>
      </c>
      <c r="T205" s="42" t="str">
        <f>=IF(ISBLANK(Q205), "", "Hayır")</f>
      </c>
      <c r="U205" s="43"/>
      <c r="V205" s="44" t="inlineStr">
        <is>
          <t>50461ed1-c2c8-4393-967e-55d58a3e2664</t>
        </is>
      </c>
    </row>
    <row r="206">
      <c r="A206" s="23" t="inlineStr">
        <is>
          <t>Toz Ve Nem Alıcı Paspas Iş Yeri Paspası Iç Ve Dış Mekan Paspası Giriş Paspası Kapı Paspası</t>
        </is>
      </c>
      <c r="B206" s="24" t="inlineStr">
        <is>
          <t>780278960</t>
        </is>
      </c>
      <c r="C206" s="25" t="inlineStr">
        <is>
          <t>TOZKONTROL-IYP2-RAMPASIZ-GRI-60x100</t>
        </is>
      </c>
      <c r="D206" s="26" t="inlineStr">
        <is>
          <t>TOZKONTROL-IYP2-RAMPASIZ-GRI-60x100</t>
        </is>
      </c>
      <c r="E206" s="27" t="inlineStr">
        <is>
          <t>60 x 100</t>
        </is>
      </c>
      <c r="F206" s="28" t="inlineStr">
        <is>
          <t>TOZKONTROL-IYP2-RAMPASIZ</t>
        </is>
      </c>
      <c r="G206" s="29" t="inlineStr">
        <is>
          <t>Kapı Önü Paspası</t>
        </is>
      </c>
      <c r="H206" s="30" t="inlineStr">
        <is>
          <t>Paspas Yap</t>
        </is>
      </c>
      <c r="I206" s="31" t="n">
        <v>88.0</v>
      </c>
      <c r="J206" s="32" t="n">
        <v>1095.0</v>
      </c>
      <c r="K206" s="33" t="n">
        <v>881.75</v>
      </c>
      <c r="L206" s="34" t="n">
        <v>22.0</v>
      </c>
      <c r="M206" s="35" t="n">
        <v>662.61</v>
      </c>
      <c r="N206" s="36" t="inlineStr">
        <is>
          <t>25 Ağustos 08.00-1 Eylül 07.59</t>
        </is>
      </c>
      <c r="O206" s="37" t="n">
        <v>15.3</v>
      </c>
      <c r="P206" s="38" t="n">
        <v>881.75</v>
      </c>
      <c r="Q206" s="39"/>
      <c r="R206" s="40" t="n">
        <f>=IF(AND(ISBLANK(Q206), ISBLANK(U206)), "", "7 Günlük Fiyat")</f>
        <v>0.0</v>
      </c>
      <c r="S206" s="41" t="n">
        <f>=IF(OR(Q206="", R206=""), "-", IF(ISNUMBER(SEARCH("7 Günlük", R206)), IF(Q206&lt;=M206, O206, "-"), "-"))</f>
        <v>0.0</v>
      </c>
      <c r="T206" s="42" t="str">
        <f>=IF(ISBLANK(Q206), "", "Hayır")</f>
      </c>
      <c r="U206" s="43"/>
      <c r="V206" s="44" t="inlineStr">
        <is>
          <t>50461ed1-c2c8-4393-967e-55d58a3e2664</t>
        </is>
      </c>
    </row>
    <row r="207">
      <c r="A207" s="23" t="inlineStr">
        <is>
          <t>Toz Ve Nem Alıcı Paspas Iş Yeri Paspası Iç Ve Dış Mekan Paspası Giriş Paspası Kapı Paspası</t>
        </is>
      </c>
      <c r="B207" s="24" t="inlineStr">
        <is>
          <t>780278960</t>
        </is>
      </c>
      <c r="C207" s="25" t="inlineStr">
        <is>
          <t>TOZKONTROL-IYP2-RAMPASIZ-GRI-120950</t>
        </is>
      </c>
      <c r="D207" s="26" t="inlineStr">
        <is>
          <t>TOZKONTROL-IYP2-RAMPASIZ-GRI-120950</t>
        </is>
      </c>
      <c r="E207" s="27" t="inlineStr">
        <is>
          <t>120 x 950</t>
        </is>
      </c>
      <c r="F207" s="28" t="inlineStr">
        <is>
          <t>TOZKONTROL-IYP2-RAMPASIZ</t>
        </is>
      </c>
      <c r="G207" s="29" t="inlineStr">
        <is>
          <t>Kapı Önü Paspası</t>
        </is>
      </c>
      <c r="H207" s="30" t="inlineStr">
        <is>
          <t>Paspas Yap</t>
        </is>
      </c>
      <c r="I207" s="31" t="n">
        <v>93.0</v>
      </c>
      <c r="J207" s="32" t="n">
        <v>15279.0</v>
      </c>
      <c r="K207" s="33" t="n">
        <v>12501.89</v>
      </c>
      <c r="L207" s="34" t="n">
        <v>22.0</v>
      </c>
      <c r="M207" s="35" t="n">
        <v>8352.76</v>
      </c>
      <c r="N207" s="36" t="inlineStr">
        <is>
          <t>25 Ağustos 08.00-1 Eylül 07.59</t>
        </is>
      </c>
      <c r="O207" s="37" t="n">
        <v>12.6</v>
      </c>
      <c r="P207" s="38" t="n">
        <v>12501.89</v>
      </c>
      <c r="Q207" s="39"/>
      <c r="R207" s="40" t="n">
        <f>=IF(AND(ISBLANK(Q207), ISBLANK(U207)), "", "7 Günlük Fiyat")</f>
        <v>0.0</v>
      </c>
      <c r="S207" s="41" t="n">
        <f>=IF(OR(Q207="", R207=""), "-", IF(ISNUMBER(SEARCH("7 Günlük", R207)), IF(Q207&lt;=M207, O207, "-"), "-"))</f>
        <v>0.0</v>
      </c>
      <c r="T207" s="42" t="str">
        <f>=IF(ISBLANK(Q207), "", "Hayır")</f>
      </c>
      <c r="U207" s="43"/>
      <c r="V207" s="44" t="inlineStr">
        <is>
          <t>50461ed1-c2c8-4393-967e-55d58a3e2664</t>
        </is>
      </c>
    </row>
    <row r="208">
      <c r="A208" s="23" t="inlineStr">
        <is>
          <t>Toz Ve Nem Alıcı Paspas Iş Yeri Paspası Iç Ve Dış Mekan Paspası Giriş Paspası Kapı Paspası</t>
        </is>
      </c>
      <c r="B208" s="24" t="inlineStr">
        <is>
          <t>780278960</t>
        </is>
      </c>
      <c r="C208" s="25" t="inlineStr">
        <is>
          <t>TOZKONTROL-IYP2-RAMPASIZ-GRI-33x60</t>
        </is>
      </c>
      <c r="D208" s="26" t="inlineStr">
        <is>
          <t>TOZKONTROL-IYP2-RAMPASIZ-GRI-33x60</t>
        </is>
      </c>
      <c r="E208" s="27" t="inlineStr">
        <is>
          <t>33 x 60</t>
        </is>
      </c>
      <c r="F208" s="28" t="inlineStr">
        <is>
          <t>TOZKONTROL-IYP2-RAMPASIZ</t>
        </is>
      </c>
      <c r="G208" s="29" t="inlineStr">
        <is>
          <t>Kapı Önü Paspası</t>
        </is>
      </c>
      <c r="H208" s="30" t="inlineStr">
        <is>
          <t>Paspas Yap</t>
        </is>
      </c>
      <c r="I208" s="31" t="n">
        <v>92.0</v>
      </c>
      <c r="J208" s="32" t="n">
        <v>399.0</v>
      </c>
      <c r="K208" s="33" t="n">
        <v>399.0</v>
      </c>
      <c r="L208" s="34" t="n">
        <v>22.0</v>
      </c>
      <c r="M208" s="35" t="n">
        <v>294.81</v>
      </c>
      <c r="N208" s="36" t="inlineStr">
        <is>
          <t>25 Ağustos 08.00-1 Eylül 07.59</t>
        </is>
      </c>
      <c r="O208" s="37" t="n">
        <v>16.3</v>
      </c>
      <c r="P208" s="38" t="n">
        <v>399.0</v>
      </c>
      <c r="Q208" s="39"/>
      <c r="R208" s="40" t="n">
        <f>=IF(AND(ISBLANK(Q208), ISBLANK(U208)), "", "7 Günlük Fiyat")</f>
        <v>0.0</v>
      </c>
      <c r="S208" s="41" t="n">
        <f>=IF(OR(Q208="", R208=""), "-", IF(ISNUMBER(SEARCH("7 Günlük", R208)), IF(Q208&lt;=M208, O208, "-"), "-"))</f>
        <v>0.0</v>
      </c>
      <c r="T208" s="42" t="str">
        <f>=IF(ISBLANK(Q208), "", "Hayır")</f>
      </c>
      <c r="U208" s="43"/>
      <c r="V208" s="44" t="inlineStr">
        <is>
          <t>50461ed1-c2c8-4393-967e-55d58a3e2664</t>
        </is>
      </c>
    </row>
    <row r="209">
      <c r="A209" s="23" t="inlineStr">
        <is>
          <t>Toz Ve Nem Alıcı Paspas Iş Yeri Paspası Iç Ve Dış Mekan Paspası Giriş Paspası Kapı Paspası</t>
        </is>
      </c>
      <c r="B209" s="24" t="inlineStr">
        <is>
          <t>780278960</t>
        </is>
      </c>
      <c r="C209" s="25" t="inlineStr">
        <is>
          <t>TOZKONTROL-IYP2-RAMPASIZ-GRI-1201300</t>
        </is>
      </c>
      <c r="D209" s="26" t="inlineStr">
        <is>
          <t>TOZKONTROL-IYP2-RAMPASIZ-GRI-1201300</t>
        </is>
      </c>
      <c r="E209" s="27" t="inlineStr">
        <is>
          <t>120 x 1300</t>
        </is>
      </c>
      <c r="F209" s="28" t="inlineStr">
        <is>
          <t>TOZKONTROL-IYP2-RAMPASIZ</t>
        </is>
      </c>
      <c r="G209" s="29" t="inlineStr">
        <is>
          <t>Kapı Önü Paspası</t>
        </is>
      </c>
      <c r="H209" s="30" t="inlineStr">
        <is>
          <t>Paspas Yap</t>
        </is>
      </c>
      <c r="I209" s="31" t="n">
        <v>93.0</v>
      </c>
      <c r="J209" s="32" t="n">
        <v>21692.0</v>
      </c>
      <c r="K209" s="33" t="n">
        <v>14814.04</v>
      </c>
      <c r="L209" s="34" t="n">
        <v>22.0</v>
      </c>
      <c r="M209" s="35" t="n">
        <v>9613.24</v>
      </c>
      <c r="N209" s="36" t="inlineStr">
        <is>
          <t>25 Ağustos 08.00-1 Eylül 07.59</t>
        </is>
      </c>
      <c r="O209" s="37" t="n">
        <v>10.8</v>
      </c>
      <c r="P209" s="38" t="n">
        <v>14814.04</v>
      </c>
      <c r="Q209" s="39"/>
      <c r="R209" s="40" t="n">
        <f>=IF(AND(ISBLANK(Q209), ISBLANK(U209)), "", "7 Günlük Fiyat")</f>
        <v>0.0</v>
      </c>
      <c r="S209" s="41" t="n">
        <f>=IF(OR(Q209="", R209=""), "-", IF(ISNUMBER(SEARCH("7 Günlük", R209)), IF(Q209&lt;=M209, O209, "-"), "-"))</f>
        <v>0.0</v>
      </c>
      <c r="T209" s="42" t="str">
        <f>=IF(ISBLANK(Q209), "", "Hayır")</f>
      </c>
      <c r="U209" s="43"/>
      <c r="V209" s="44" t="inlineStr">
        <is>
          <t>50461ed1-c2c8-4393-967e-55d58a3e2664</t>
        </is>
      </c>
    </row>
    <row r="210">
      <c r="A210" s="23" t="inlineStr">
        <is>
          <t>Toz Ve Nem Alıcı Paspas Iş Yeri Paspası Iç Ve Dış Mekan Paspası Giriş Paspası Kapı Paspası</t>
        </is>
      </c>
      <c r="B210" s="24" t="inlineStr">
        <is>
          <t>780278960</t>
        </is>
      </c>
      <c r="C210" s="25" t="inlineStr">
        <is>
          <t>TOZKONTROL-IYP2-RAMPASIZ-GRI-120900</t>
        </is>
      </c>
      <c r="D210" s="26" t="inlineStr">
        <is>
          <t>TOZKONTROL-IYP2-RAMPASIZ-GRI-120900</t>
        </is>
      </c>
      <c r="E210" s="27" t="inlineStr">
        <is>
          <t>120 x 900</t>
        </is>
      </c>
      <c r="F210" s="28" t="inlineStr">
        <is>
          <t>TOZKONTROL-IYP2-RAMPASIZ</t>
        </is>
      </c>
      <c r="G210" s="29" t="inlineStr">
        <is>
          <t>Kapı Önü Paspası</t>
        </is>
      </c>
      <c r="H210" s="30" t="inlineStr">
        <is>
          <t>Paspas Yap</t>
        </is>
      </c>
      <c r="I210" s="31" t="n">
        <v>93.0</v>
      </c>
      <c r="J210" s="32" t="n">
        <v>14949.0</v>
      </c>
      <c r="K210" s="33" t="n">
        <v>10567.83</v>
      </c>
      <c r="L210" s="34" t="n">
        <v>22.0</v>
      </c>
      <c r="M210" s="35" t="n">
        <v>7004.1</v>
      </c>
      <c r="N210" s="36" t="inlineStr">
        <is>
          <t>25 Ağustos 08.00-1 Eylül 07.59</t>
        </is>
      </c>
      <c r="O210" s="37" t="n">
        <v>11.4</v>
      </c>
      <c r="P210" s="38" t="n">
        <v>10567.83</v>
      </c>
      <c r="Q210" s="39"/>
      <c r="R210" s="40" t="n">
        <f>=IF(AND(ISBLANK(Q210), ISBLANK(U210)), "", "7 Günlük Fiyat")</f>
        <v>0.0</v>
      </c>
      <c r="S210" s="41" t="n">
        <f>=IF(OR(Q210="", R210=""), "-", IF(ISNUMBER(SEARCH("7 Günlük", R210)), IF(Q210&lt;=M210, O210, "-"), "-"))</f>
        <v>0.0</v>
      </c>
      <c r="T210" s="42" t="str">
        <f>=IF(ISBLANK(Q210), "", "Hayır")</f>
      </c>
      <c r="U210" s="43"/>
      <c r="V210" s="44" t="inlineStr">
        <is>
          <t>50461ed1-c2c8-4393-967e-55d58a3e2664</t>
        </is>
      </c>
    </row>
    <row r="211">
      <c r="A211" s="23" t="inlineStr">
        <is>
          <t>Toz Ve Nem Alıcı Paspas Iş Yeri Paspası Iç Ve Dış Mekan Paspası Giriş Paspası Kapı Paspası</t>
        </is>
      </c>
      <c r="B211" s="24" t="inlineStr">
        <is>
          <t>780278960</t>
        </is>
      </c>
      <c r="C211" s="25" t="inlineStr">
        <is>
          <t>TOZKONTROL-IYP2-RAMPASIZ-GRI-80500</t>
        </is>
      </c>
      <c r="D211" s="26" t="inlineStr">
        <is>
          <t>TOZKONTROL-IYP2-RAMPASIZ-GRI-80500</t>
        </is>
      </c>
      <c r="E211" s="27" t="inlineStr">
        <is>
          <t>80 x 500</t>
        </is>
      </c>
      <c r="F211" s="28" t="inlineStr">
        <is>
          <t>TOZKONTROL-IYP2-RAMPASIZ</t>
        </is>
      </c>
      <c r="G211" s="29" t="inlineStr">
        <is>
          <t>Kapı Önü Paspası</t>
        </is>
      </c>
      <c r="H211" s="30" t="inlineStr">
        <is>
          <t>Paspas Yap</t>
        </is>
      </c>
      <c r="I211" s="31" t="n">
        <v>93.0</v>
      </c>
      <c r="J211" s="32" t="n">
        <v>5486.0</v>
      </c>
      <c r="K211" s="33" t="n">
        <v>3784.69</v>
      </c>
      <c r="L211" s="34" t="n">
        <v>22.0</v>
      </c>
      <c r="M211" s="35" t="n">
        <v>2515.66</v>
      </c>
      <c r="N211" s="36" t="inlineStr">
        <is>
          <t>25 Ağustos 08.00-1 Eylül 07.59</t>
        </is>
      </c>
      <c r="O211" s="37" t="n">
        <v>11.0</v>
      </c>
      <c r="P211" s="38" t="n">
        <v>3784.69</v>
      </c>
      <c r="Q211" s="39"/>
      <c r="R211" s="40" t="n">
        <f>=IF(AND(ISBLANK(Q211), ISBLANK(U211)), "", "7 Günlük Fiyat")</f>
        <v>0.0</v>
      </c>
      <c r="S211" s="41" t="n">
        <f>=IF(OR(Q211="", R211=""), "-", IF(ISNUMBER(SEARCH("7 Günlük", R211)), IF(Q211&lt;=M211, O211, "-"), "-"))</f>
        <v>0.0</v>
      </c>
      <c r="T211" s="42" t="str">
        <f>=IF(ISBLANK(Q211), "", "Hayır")</f>
      </c>
      <c r="U211" s="43"/>
      <c r="V211" s="44" t="inlineStr">
        <is>
          <t>50461ed1-c2c8-4393-967e-55d58a3e2664</t>
        </is>
      </c>
    </row>
    <row r="212">
      <c r="A212" s="23" t="inlineStr">
        <is>
          <t>Toz Ve Nem Alıcı Paspas Iş Yeri Paspası Iç Ve Dış Mekan Paspası Giriş Paspası Kapı Paspası</t>
        </is>
      </c>
      <c r="B212" s="24" t="inlineStr">
        <is>
          <t>780278960</t>
        </is>
      </c>
      <c r="C212" s="25" t="inlineStr">
        <is>
          <t>TOZKONTROL-IYP2-RAMPASIZ-GRI-80700</t>
        </is>
      </c>
      <c r="D212" s="26" t="inlineStr">
        <is>
          <t>TOZKONTROL-IYP2-RAMPASIZ-GRI-80700</t>
        </is>
      </c>
      <c r="E212" s="27" t="inlineStr">
        <is>
          <t>80 x 700</t>
        </is>
      </c>
      <c r="F212" s="28" t="inlineStr">
        <is>
          <t>TOZKONTROL-IYP2-RAMPASIZ</t>
        </is>
      </c>
      <c r="G212" s="29" t="inlineStr">
        <is>
          <t>Kapı Önü Paspası</t>
        </is>
      </c>
      <c r="H212" s="30" t="inlineStr">
        <is>
          <t>Paspas Yap</t>
        </is>
      </c>
      <c r="I212" s="31" t="n">
        <v>93.0</v>
      </c>
      <c r="J212" s="32" t="n">
        <v>7599.0</v>
      </c>
      <c r="K212" s="33" t="n">
        <v>5316.88</v>
      </c>
      <c r="L212" s="34" t="n">
        <v>22.0</v>
      </c>
      <c r="M212" s="35" t="n">
        <v>3549.91</v>
      </c>
      <c r="N212" s="36" t="inlineStr">
        <is>
          <t>25 Ağustos 08.00-1 Eylül 07.59</t>
        </is>
      </c>
      <c r="O212" s="37" t="n">
        <v>11.3</v>
      </c>
      <c r="P212" s="38" t="n">
        <v>5316.88</v>
      </c>
      <c r="Q212" s="39"/>
      <c r="R212" s="40" t="n">
        <f>=IF(AND(ISBLANK(Q212), ISBLANK(U212)), "", "7 Günlük Fiyat")</f>
        <v>0.0</v>
      </c>
      <c r="S212" s="41" t="n">
        <f>=IF(OR(Q212="", R212=""), "-", IF(ISNUMBER(SEARCH("7 Günlük", R212)), IF(Q212&lt;=M212, O212, "-"), "-"))</f>
        <v>0.0</v>
      </c>
      <c r="T212" s="42" t="str">
        <f>=IF(ISBLANK(Q212), "", "Hayır")</f>
      </c>
      <c r="U212" s="43"/>
      <c r="V212" s="44" t="inlineStr">
        <is>
          <t>50461ed1-c2c8-4393-967e-55d58a3e2664</t>
        </is>
      </c>
    </row>
    <row r="213">
      <c r="A213" s="23" t="inlineStr">
        <is>
          <t>Toz Ve Nem Alıcı Paspas Iş Yeri Paspası Iç Ve Dış Mekan Paspası Giriş Paspası Kapı Paspası</t>
        </is>
      </c>
      <c r="B213" s="24" t="inlineStr">
        <is>
          <t>780278960</t>
        </is>
      </c>
      <c r="C213" s="25" t="inlineStr">
        <is>
          <t>TOZKONTROL-IYP2-RAMPASIZ-GRI-1001200</t>
        </is>
      </c>
      <c r="D213" s="26" t="inlineStr">
        <is>
          <t>TOZKONTROL-IYP2-RAMPASIZ-GRI-1001200</t>
        </is>
      </c>
      <c r="E213" s="27" t="inlineStr">
        <is>
          <t>100 x 1200</t>
        </is>
      </c>
      <c r="F213" s="28" t="inlineStr">
        <is>
          <t>TOZKONTROL-IYP2-RAMPASIZ</t>
        </is>
      </c>
      <c r="G213" s="29" t="inlineStr">
        <is>
          <t>Kapı Önü Paspası</t>
        </is>
      </c>
      <c r="H213" s="30" t="inlineStr">
        <is>
          <t>Paspas Yap</t>
        </is>
      </c>
      <c r="I213" s="31" t="n">
        <v>93.0</v>
      </c>
      <c r="J213" s="32" t="n">
        <v>16611.0</v>
      </c>
      <c r="K213" s="33" t="n">
        <v>11837.58</v>
      </c>
      <c r="L213" s="34" t="n">
        <v>22.0</v>
      </c>
      <c r="M213" s="35" t="n">
        <v>7985.43</v>
      </c>
      <c r="N213" s="36" t="inlineStr">
        <is>
          <t>25 Ağustos 08.00-1 Eylül 07.59</t>
        </is>
      </c>
      <c r="O213" s="37" t="n">
        <v>12.5</v>
      </c>
      <c r="P213" s="38" t="n">
        <v>11837.58</v>
      </c>
      <c r="Q213" s="39"/>
      <c r="R213" s="40" t="n">
        <f>=IF(AND(ISBLANK(Q213), ISBLANK(U213)), "", "7 Günlük Fiyat")</f>
        <v>0.0</v>
      </c>
      <c r="S213" s="41" t="n">
        <f>=IF(OR(Q213="", R213=""), "-", IF(ISNUMBER(SEARCH("7 Günlük", R213)), IF(Q213&lt;=M213, O213, "-"), "-"))</f>
        <v>0.0</v>
      </c>
      <c r="T213" s="42" t="str">
        <f>=IF(ISBLANK(Q213), "", "Hayır")</f>
      </c>
      <c r="U213" s="43"/>
      <c r="V213" s="44" t="inlineStr">
        <is>
          <t>50461ed1-c2c8-4393-967e-55d58a3e2664</t>
        </is>
      </c>
    </row>
    <row r="214">
      <c r="A214" s="23" t="inlineStr">
        <is>
          <t>Toz Ve Nem Alıcı Paspas Iş Yeri Paspası Iç Ve Dış Mekan Paspası Giriş Paspası Kapı Paspası</t>
        </is>
      </c>
      <c r="B214" s="24" t="inlineStr">
        <is>
          <t>780278960</t>
        </is>
      </c>
      <c r="C214" s="25" t="inlineStr">
        <is>
          <t>TOZKONTROL-IYP2-RAMPASIZ-GRI-80650</t>
        </is>
      </c>
      <c r="D214" s="26" t="inlineStr">
        <is>
          <t>TOZKONTROL-IYP2-RAMPASIZ-GRI-80650</t>
        </is>
      </c>
      <c r="E214" s="27" t="inlineStr">
        <is>
          <t>80 x 650</t>
        </is>
      </c>
      <c r="F214" s="28" t="inlineStr">
        <is>
          <t>TOZKONTROL-IYP2-RAMPASIZ</t>
        </is>
      </c>
      <c r="G214" s="29" t="inlineStr">
        <is>
          <t>Kapı Önü Paspası</t>
        </is>
      </c>
      <c r="H214" s="30" t="inlineStr">
        <is>
          <t>Paspas Yap</t>
        </is>
      </c>
      <c r="I214" s="31" t="n">
        <v>93.0</v>
      </c>
      <c r="J214" s="32" t="n">
        <v>7103.0</v>
      </c>
      <c r="K214" s="33" t="n">
        <v>4977.1</v>
      </c>
      <c r="L214" s="34" t="n">
        <v>22.0</v>
      </c>
      <c r="M214" s="35" t="n">
        <v>3328.37</v>
      </c>
      <c r="N214" s="36" t="inlineStr">
        <is>
          <t>25 Ağustos 08.00-1 Eylül 07.59</t>
        </is>
      </c>
      <c r="O214" s="37" t="n">
        <v>11.3</v>
      </c>
      <c r="P214" s="38" t="n">
        <v>4977.1</v>
      </c>
      <c r="Q214" s="39"/>
      <c r="R214" s="40" t="n">
        <f>=IF(AND(ISBLANK(Q214), ISBLANK(U214)), "", "7 Günlük Fiyat")</f>
        <v>0.0</v>
      </c>
      <c r="S214" s="41" t="n">
        <f>=IF(OR(Q214="", R214=""), "-", IF(ISNUMBER(SEARCH("7 Günlük", R214)), IF(Q214&lt;=M214, O214, "-"), "-"))</f>
        <v>0.0</v>
      </c>
      <c r="T214" s="42" t="str">
        <f>=IF(ISBLANK(Q214), "", "Hayır")</f>
      </c>
      <c r="U214" s="43"/>
      <c r="V214" s="44" t="inlineStr">
        <is>
          <t>50461ed1-c2c8-4393-967e-55d58a3e2664</t>
        </is>
      </c>
    </row>
    <row r="215">
      <c r="A215" s="23" t="inlineStr">
        <is>
          <t>Toz Ve Nem Alıcı Paspas Iş Yeri Paspası Iç Ve Dış Mekan Paspası Giriş Paspası Kapı Paspası</t>
        </is>
      </c>
      <c r="B215" s="24" t="inlineStr">
        <is>
          <t>780278960</t>
        </is>
      </c>
      <c r="C215" s="25" t="inlineStr">
        <is>
          <t>TOZKONTROL-IYP2-RAMPASIZ-GRI-1201500</t>
        </is>
      </c>
      <c r="D215" s="26" t="inlineStr">
        <is>
          <t>TOZKONTROL-IYP2-RAMPASIZ-GRI-1201500</t>
        </is>
      </c>
      <c r="E215" s="27" t="inlineStr">
        <is>
          <t>120 x 1500</t>
        </is>
      </c>
      <c r="F215" s="28" t="inlineStr">
        <is>
          <t>TOZKONTROL-IYP2-RAMPASIZ</t>
        </is>
      </c>
      <c r="G215" s="29" t="inlineStr">
        <is>
          <t>Kapı Önü Paspası</t>
        </is>
      </c>
      <c r="H215" s="30" t="inlineStr">
        <is>
          <t>Paspas Yap</t>
        </is>
      </c>
      <c r="I215" s="31" t="n">
        <v>93.0</v>
      </c>
      <c r="J215" s="32" t="n">
        <v>25146.0</v>
      </c>
      <c r="K215" s="33" t="n">
        <v>21279.07</v>
      </c>
      <c r="L215" s="34" t="n">
        <v>22.0</v>
      </c>
      <c r="M215" s="35" t="n">
        <v>13200.62</v>
      </c>
      <c r="N215" s="36" t="inlineStr">
        <is>
          <t>25 Ağustos 08.00-1 Eylül 07.59</t>
        </is>
      </c>
      <c r="O215" s="37" t="n">
        <v>12.0</v>
      </c>
      <c r="P215" s="38" t="n">
        <v>21279.07</v>
      </c>
      <c r="Q215" s="39"/>
      <c r="R215" s="40" t="n">
        <f>=IF(AND(ISBLANK(Q215), ISBLANK(U215)), "", "7 Günlük Fiyat")</f>
        <v>0.0</v>
      </c>
      <c r="S215" s="41" t="n">
        <f>=IF(OR(Q215="", R215=""), "-", IF(ISNUMBER(SEARCH("7 Günlük", R215)), IF(Q215&lt;=M215, O215, "-"), "-"))</f>
        <v>0.0</v>
      </c>
      <c r="T215" s="42" t="str">
        <f>=IF(ISBLANK(Q215), "", "Hayır")</f>
      </c>
      <c r="U215" s="43"/>
      <c r="V215" s="44" t="inlineStr">
        <is>
          <t>50461ed1-c2c8-4393-967e-55d58a3e2664</t>
        </is>
      </c>
    </row>
    <row r="216">
      <c r="A216" s="23" t="inlineStr">
        <is>
          <t>Toz Ve Nem Alıcı Paspas Iş Yeri Paspası Iç Ve Dış Mekan Paspası Giriş Paspası Kapı Paspası</t>
        </is>
      </c>
      <c r="B216" s="24" t="inlineStr">
        <is>
          <t>780278960</t>
        </is>
      </c>
      <c r="C216" s="25" t="inlineStr">
        <is>
          <t>TOZKONTROL-IYP2-RAMPASIZ-GRI-1201050</t>
        </is>
      </c>
      <c r="D216" s="26" t="inlineStr">
        <is>
          <t>TOZKONTROL-IYP2-RAMPASIZ-GRI-1201050</t>
        </is>
      </c>
      <c r="E216" s="27" t="inlineStr">
        <is>
          <t>120 x 1050</t>
        </is>
      </c>
      <c r="F216" s="28" t="inlineStr">
        <is>
          <t>TOZKONTROL-IYP2-RAMPASIZ</t>
        </is>
      </c>
      <c r="G216" s="29" t="inlineStr">
        <is>
          <t>Kapı Önü Paspası</t>
        </is>
      </c>
      <c r="H216" s="30" t="inlineStr">
        <is>
          <t>Paspas Yap</t>
        </is>
      </c>
      <c r="I216" s="31" t="n">
        <v>93.0</v>
      </c>
      <c r="J216" s="32" t="n">
        <v>17576.0</v>
      </c>
      <c r="K216" s="33" t="n">
        <v>14301.84</v>
      </c>
      <c r="L216" s="34" t="n">
        <v>22.0</v>
      </c>
      <c r="M216" s="35" t="n">
        <v>9480.76</v>
      </c>
      <c r="N216" s="36" t="inlineStr">
        <is>
          <t>25 Ağustos 08.00-1 Eylül 07.59</t>
        </is>
      </c>
      <c r="O216" s="37" t="n">
        <v>12.3</v>
      </c>
      <c r="P216" s="38" t="n">
        <v>14301.84</v>
      </c>
      <c r="Q216" s="39"/>
      <c r="R216" s="40" t="n">
        <f>=IF(AND(ISBLANK(Q216), ISBLANK(U216)), "", "7 Günlük Fiyat")</f>
        <v>0.0</v>
      </c>
      <c r="S216" s="41" t="n">
        <f>=IF(OR(Q216="", R216=""), "-", IF(ISNUMBER(SEARCH("7 Günlük", R216)), IF(Q216&lt;=M216, O216, "-"), "-"))</f>
        <v>0.0</v>
      </c>
      <c r="T216" s="42" t="str">
        <f>=IF(ISBLANK(Q216), "", "Hayır")</f>
      </c>
      <c r="U216" s="43"/>
      <c r="V216" s="44" t="inlineStr">
        <is>
          <t>50461ed1-c2c8-4393-967e-55d58a3e2664</t>
        </is>
      </c>
    </row>
    <row r="217">
      <c r="A217" s="23" t="inlineStr">
        <is>
          <t>Toz Ve Nem Alıcı Paspas Iş Yeri Paspası Iç Ve Dış Mekan Paspası Giriş Paspası Kapı Paspası</t>
        </is>
      </c>
      <c r="B217" s="24" t="inlineStr">
        <is>
          <t>780278960</t>
        </is>
      </c>
      <c r="C217" s="25" t="inlineStr">
        <is>
          <t>TOZKONTROL-IYP2-RAMPASIZ-GRI-100x100</t>
        </is>
      </c>
      <c r="D217" s="26" t="inlineStr">
        <is>
          <t>TOZKONTROL-IYP2-RAMPASIZ-GRI-100x100</t>
        </is>
      </c>
      <c r="E217" s="27" t="inlineStr">
        <is>
          <t>100 x 100</t>
        </is>
      </c>
      <c r="F217" s="28" t="inlineStr">
        <is>
          <t>TOZKONTROL-IYP2-RAMPASIZ</t>
        </is>
      </c>
      <c r="G217" s="29" t="inlineStr">
        <is>
          <t>Kapı Önü Paspası</t>
        </is>
      </c>
      <c r="H217" s="30" t="inlineStr">
        <is>
          <t>Paspas Yap</t>
        </is>
      </c>
      <c r="I217" s="31" t="n">
        <v>93.0</v>
      </c>
      <c r="J217" s="32" t="n">
        <v>1615.0</v>
      </c>
      <c r="K217" s="33" t="n">
        <v>1331.42</v>
      </c>
      <c r="L217" s="34" t="n">
        <v>22.0</v>
      </c>
      <c r="M217" s="35" t="n">
        <v>967.36</v>
      </c>
      <c r="N217" s="36" t="inlineStr">
        <is>
          <t>25 Ağustos 08.00-1 Eylül 07.59</t>
        </is>
      </c>
      <c r="O217" s="37" t="n">
        <v>13.8</v>
      </c>
      <c r="P217" s="38" t="n">
        <v>1331.42</v>
      </c>
      <c r="Q217" s="39"/>
      <c r="R217" s="40" t="n">
        <f>=IF(AND(ISBLANK(Q217), ISBLANK(U217)), "", "7 Günlük Fiyat")</f>
        <v>0.0</v>
      </c>
      <c r="S217" s="41" t="n">
        <f>=IF(OR(Q217="", R217=""), "-", IF(ISNUMBER(SEARCH("7 Günlük", R217)), IF(Q217&lt;=M217, O217, "-"), "-"))</f>
        <v>0.0</v>
      </c>
      <c r="T217" s="42" t="str">
        <f>=IF(ISBLANK(Q217), "", "Hayır")</f>
      </c>
      <c r="U217" s="43"/>
      <c r="V217" s="44" t="inlineStr">
        <is>
          <t>50461ed1-c2c8-4393-967e-55d58a3e2664</t>
        </is>
      </c>
    </row>
    <row r="218">
      <c r="A218" s="23" t="inlineStr">
        <is>
          <t>Toz Ve Nem Alıcı Paspas Iş Yeri Paspası Iç Ve Dış Mekan Paspası Giriş Paspası Kapı Paspası</t>
        </is>
      </c>
      <c r="B218" s="24" t="inlineStr">
        <is>
          <t>780278960</t>
        </is>
      </c>
      <c r="C218" s="25" t="inlineStr">
        <is>
          <t>TOZKONTROL-IYP2-RAMPASIZ-GRI-80550</t>
        </is>
      </c>
      <c r="D218" s="26" t="inlineStr">
        <is>
          <t>TOZKONTROL-IYP2-RAMPASIZ-GRI-80550</t>
        </is>
      </c>
      <c r="E218" s="27" t="inlineStr">
        <is>
          <t>80 x 550</t>
        </is>
      </c>
      <c r="F218" s="28" t="inlineStr">
        <is>
          <t>TOZKONTROL-IYP2-RAMPASIZ</t>
        </is>
      </c>
      <c r="G218" s="29" t="inlineStr">
        <is>
          <t>Kapı Önü Paspası</t>
        </is>
      </c>
      <c r="H218" s="30" t="inlineStr">
        <is>
          <t>Paspas Yap</t>
        </is>
      </c>
      <c r="I218" s="31" t="n">
        <v>93.0</v>
      </c>
      <c r="J218" s="32" t="n">
        <v>5982.0</v>
      </c>
      <c r="K218" s="33" t="n">
        <v>4139.57</v>
      </c>
      <c r="L218" s="34" t="n">
        <v>22.0</v>
      </c>
      <c r="M218" s="35" t="n">
        <v>2728.35</v>
      </c>
      <c r="N218" s="36" t="inlineStr">
        <is>
          <t>25 Ağustos 08.00-1 Eylül 07.59</t>
        </is>
      </c>
      <c r="O218" s="37" t="n">
        <v>11.0</v>
      </c>
      <c r="P218" s="38" t="n">
        <v>4139.57</v>
      </c>
      <c r="Q218" s="39"/>
      <c r="R218" s="40" t="n">
        <f>=IF(AND(ISBLANK(Q218), ISBLANK(U218)), "", "7 Günlük Fiyat")</f>
        <v>0.0</v>
      </c>
      <c r="S218" s="41" t="n">
        <f>=IF(OR(Q218="", R218=""), "-", IF(ISNUMBER(SEARCH("7 Günlük", R218)), IF(Q218&lt;=M218, O218, "-"), "-"))</f>
        <v>0.0</v>
      </c>
      <c r="T218" s="42" t="str">
        <f>=IF(ISBLANK(Q218), "", "Hayır")</f>
      </c>
      <c r="U218" s="43"/>
      <c r="V218" s="44" t="inlineStr">
        <is>
          <t>50461ed1-c2c8-4393-967e-55d58a3e2664</t>
        </is>
      </c>
    </row>
    <row r="219">
      <c r="A219" s="23" t="inlineStr">
        <is>
          <t>Toz Ve Nem Alıcı Paspas Iş Yeri Paspası Iç Ve Dış Mekan Paspası Giriş Paspası Kapı Paspası</t>
        </is>
      </c>
      <c r="B219" s="24" t="inlineStr">
        <is>
          <t>780278960</t>
        </is>
      </c>
      <c r="C219" s="25" t="inlineStr">
        <is>
          <t>TOZKONTROL-IYP2-RAMPASIZ-GRI-100x700</t>
        </is>
      </c>
      <c r="D219" s="26" t="inlineStr">
        <is>
          <t>TOZKONTROL-IYP2-RAMPASIZ-GRI-100x700</t>
        </is>
      </c>
      <c r="E219" s="27" t="inlineStr">
        <is>
          <t>100 x 700</t>
        </is>
      </c>
      <c r="F219" s="28" t="inlineStr">
        <is>
          <t>TOZKONTROL-IYP2-RAMPASIZ</t>
        </is>
      </c>
      <c r="G219" s="29" t="inlineStr">
        <is>
          <t>Kapı Önü Paspası</t>
        </is>
      </c>
      <c r="H219" s="30" t="inlineStr">
        <is>
          <t>Paspas Yap</t>
        </is>
      </c>
      <c r="I219" s="31" t="n">
        <v>93.0</v>
      </c>
      <c r="J219" s="32" t="n">
        <v>9510.0</v>
      </c>
      <c r="K219" s="33" t="n">
        <v>6712.96</v>
      </c>
      <c r="L219" s="34" t="n">
        <v>22.0</v>
      </c>
      <c r="M219" s="35" t="n">
        <v>4540.16</v>
      </c>
      <c r="N219" s="36" t="inlineStr">
        <is>
          <t>25 Ağustos 08.00-1 Eylül 07.59</t>
        </is>
      </c>
      <c r="O219" s="37" t="n">
        <v>11.6</v>
      </c>
      <c r="P219" s="38" t="n">
        <v>6712.96</v>
      </c>
      <c r="Q219" s="39"/>
      <c r="R219" s="40" t="n">
        <f>=IF(AND(ISBLANK(Q219), ISBLANK(U219)), "", "7 Günlük Fiyat")</f>
        <v>0.0</v>
      </c>
      <c r="S219" s="41" t="n">
        <f>=IF(OR(Q219="", R219=""), "-", IF(ISNUMBER(SEARCH("7 Günlük", R219)), IF(Q219&lt;=M219, O219, "-"), "-"))</f>
        <v>0.0</v>
      </c>
      <c r="T219" s="42" t="str">
        <f>=IF(ISBLANK(Q219), "", "Hayır")</f>
      </c>
      <c r="U219" s="43"/>
      <c r="V219" s="44" t="inlineStr">
        <is>
          <t>50461ed1-c2c8-4393-967e-55d58a3e2664</t>
        </is>
      </c>
    </row>
    <row r="220">
      <c r="A220" s="23" t="inlineStr">
        <is>
          <t>Toz Ve Nem Alıcı Paspas Iş Yeri Paspası Iç Ve Dış Mekan Paspası Giriş Paspası Kapı Paspası</t>
        </is>
      </c>
      <c r="B220" s="24" t="inlineStr">
        <is>
          <t>780278960</t>
        </is>
      </c>
      <c r="C220" s="25" t="inlineStr">
        <is>
          <t>TOZKONTROL-IYP2-RAMPASIZ-GRI-120300</t>
        </is>
      </c>
      <c r="D220" s="26" t="inlineStr">
        <is>
          <t>TOZKONTROL-IYP2-RAMPASIZ-GRI-120300</t>
        </is>
      </c>
      <c r="E220" s="27" t="inlineStr">
        <is>
          <t>120 x 300</t>
        </is>
      </c>
      <c r="F220" s="28" t="inlineStr">
        <is>
          <t>TOZKONTROL-IYP2-RAMPASIZ</t>
        </is>
      </c>
      <c r="G220" s="29" t="inlineStr">
        <is>
          <t>Kapı Önü Paspası</t>
        </is>
      </c>
      <c r="H220" s="30" t="inlineStr">
        <is>
          <t>Paspas Yap</t>
        </is>
      </c>
      <c r="I220" s="31" t="n">
        <v>93.0</v>
      </c>
      <c r="J220" s="32" t="n">
        <v>5014.0</v>
      </c>
      <c r="K220" s="33" t="n">
        <v>3467.65</v>
      </c>
      <c r="L220" s="34" t="n">
        <v>22.0</v>
      </c>
      <c r="M220" s="35" t="n">
        <v>2284.81</v>
      </c>
      <c r="N220" s="36" t="inlineStr">
        <is>
          <t>25 Ağustos 08.00-1 Eylül 07.59</t>
        </is>
      </c>
      <c r="O220" s="37" t="n">
        <v>11.1</v>
      </c>
      <c r="P220" s="38" t="n">
        <v>3467.65</v>
      </c>
      <c r="Q220" s="39"/>
      <c r="R220" s="40" t="n">
        <f>=IF(AND(ISBLANK(Q220), ISBLANK(U220)), "", "7 Günlük Fiyat")</f>
        <v>0.0</v>
      </c>
      <c r="S220" s="41" t="n">
        <f>=IF(OR(Q220="", R220=""), "-", IF(ISNUMBER(SEARCH("7 Günlük", R220)), IF(Q220&lt;=M220, O220, "-"), "-"))</f>
        <v>0.0</v>
      </c>
      <c r="T220" s="42" t="str">
        <f>=IF(ISBLANK(Q220), "", "Hayır")</f>
      </c>
      <c r="U220" s="43"/>
      <c r="V220" s="44" t="inlineStr">
        <is>
          <t>50461ed1-c2c8-4393-967e-55d58a3e2664</t>
        </is>
      </c>
    </row>
    <row r="221">
      <c r="A221" s="23" t="inlineStr">
        <is>
          <t>Toz Ve Nem Alıcı Paspas Iş Yeri Paspası Iç Ve Dış Mekan Paspası Giriş Paspası Kapı Paspası</t>
        </is>
      </c>
      <c r="B221" s="24" t="inlineStr">
        <is>
          <t>780278960</t>
        </is>
      </c>
      <c r="C221" s="25" t="inlineStr">
        <is>
          <t>TOZKONTROL-IYP2-RAMPASIZ-GRI-1001050</t>
        </is>
      </c>
      <c r="D221" s="26" t="inlineStr">
        <is>
          <t>TOZKONTROL-IYP2-RAMPASIZ-GRI-1001050</t>
        </is>
      </c>
      <c r="E221" s="27" t="inlineStr">
        <is>
          <t>100 x 1050</t>
        </is>
      </c>
      <c r="F221" s="28" t="inlineStr">
        <is>
          <t>TOZKONTROL-IYP2-RAMPASIZ</t>
        </is>
      </c>
      <c r="G221" s="29" t="inlineStr">
        <is>
          <t>Kapı Önü Paspası</t>
        </is>
      </c>
      <c r="H221" s="30" t="inlineStr">
        <is>
          <t>Paspas Yap</t>
        </is>
      </c>
      <c r="I221" s="31" t="n">
        <v>93.0</v>
      </c>
      <c r="J221" s="32" t="n">
        <v>14554.0</v>
      </c>
      <c r="K221" s="33" t="n">
        <v>10170.54</v>
      </c>
      <c r="L221" s="34" t="n">
        <v>22.0</v>
      </c>
      <c r="M221" s="35" t="n">
        <v>6690.19</v>
      </c>
      <c r="N221" s="36" t="inlineStr">
        <is>
          <t>25 Ağustos 08.00-1 Eylül 07.59</t>
        </is>
      </c>
      <c r="O221" s="37" t="n">
        <v>11.1</v>
      </c>
      <c r="P221" s="38" t="n">
        <v>10170.54</v>
      </c>
      <c r="Q221" s="39"/>
      <c r="R221" s="40" t="n">
        <f>=IF(AND(ISBLANK(Q221), ISBLANK(U221)), "", "7 Günlük Fiyat")</f>
        <v>0.0</v>
      </c>
      <c r="S221" s="41" t="n">
        <f>=IF(OR(Q221="", R221=""), "-", IF(ISNUMBER(SEARCH("7 Günlük", R221)), IF(Q221&lt;=M221, O221, "-"), "-"))</f>
        <v>0.0</v>
      </c>
      <c r="T221" s="42" t="str">
        <f>=IF(ISBLANK(Q221), "", "Hayır")</f>
      </c>
      <c r="U221" s="43"/>
      <c r="V221" s="44" t="inlineStr">
        <is>
          <t>50461ed1-c2c8-4393-967e-55d58a3e2664</t>
        </is>
      </c>
    </row>
    <row r="222">
      <c r="A222" s="23" t="inlineStr">
        <is>
          <t>Toz Ve Nem Alıcı Paspas Iş Yeri Paspası Iç Ve Dış Mekan Paspası Giriş Paspası Kapı Paspası</t>
        </is>
      </c>
      <c r="B222" s="24" t="inlineStr">
        <is>
          <t>780278960</t>
        </is>
      </c>
      <c r="C222" s="25" t="inlineStr">
        <is>
          <t>TOZKONTROL-IYP2-RAMPASIZ-GRI-100x600</t>
        </is>
      </c>
      <c r="D222" s="26" t="inlineStr">
        <is>
          <t>TOZKONTROL-IYP2-RAMPASIZ-GRI-100x600</t>
        </is>
      </c>
      <c r="E222" s="27" t="inlineStr">
        <is>
          <t>100 x 600</t>
        </is>
      </c>
      <c r="F222" s="28" t="inlineStr">
        <is>
          <t>TOZKONTROL-IYP2-RAMPASIZ</t>
        </is>
      </c>
      <c r="G222" s="29" t="inlineStr">
        <is>
          <t>Kapı Önü Paspası</t>
        </is>
      </c>
      <c r="H222" s="30" t="inlineStr">
        <is>
          <t>Paspas Yap</t>
        </is>
      </c>
      <c r="I222" s="31" t="n">
        <v>93.0</v>
      </c>
      <c r="J222" s="32" t="n">
        <v>8254.0</v>
      </c>
      <c r="K222" s="33" t="n">
        <v>5641.49</v>
      </c>
      <c r="L222" s="34" t="n">
        <v>22.0</v>
      </c>
      <c r="M222" s="35" t="n">
        <v>3720.27</v>
      </c>
      <c r="N222" s="36" t="inlineStr">
        <is>
          <t>25 Ağustos 08.00-1 Eylül 07.59</t>
        </is>
      </c>
      <c r="O222" s="37" t="n">
        <v>10.9</v>
      </c>
      <c r="P222" s="38" t="n">
        <v>5641.49</v>
      </c>
      <c r="Q222" s="39"/>
      <c r="R222" s="40" t="n">
        <f>=IF(AND(ISBLANK(Q222), ISBLANK(U222)), "", "7 Günlük Fiyat")</f>
        <v>0.0</v>
      </c>
      <c r="S222" s="41" t="n">
        <f>=IF(OR(Q222="", R222=""), "-", IF(ISNUMBER(SEARCH("7 Günlük", R222)), IF(Q222&lt;=M222, O222, "-"), "-"))</f>
        <v>0.0</v>
      </c>
      <c r="T222" s="42" t="str">
        <f>=IF(ISBLANK(Q222), "", "Hayır")</f>
      </c>
      <c r="U222" s="43"/>
      <c r="V222" s="44" t="inlineStr">
        <is>
          <t>50461ed1-c2c8-4393-967e-55d58a3e2664</t>
        </is>
      </c>
    </row>
    <row r="223">
      <c r="A223" s="23" t="inlineStr">
        <is>
          <t>Toz Ve Nem Alıcı Paspas Iş Yeri Paspası Iç Ve Dış Mekan Paspası Giriş Paspası Kapı Paspası</t>
        </is>
      </c>
      <c r="B223" s="24" t="inlineStr">
        <is>
          <t>780278960</t>
        </is>
      </c>
      <c r="C223" s="25" t="inlineStr">
        <is>
          <t>TOZKONTROL-IYP2-RAMPASIZ-GRI-50100</t>
        </is>
      </c>
      <c r="D223" s="26" t="inlineStr">
        <is>
          <t>TOZKONTROL-IYP2-RAMPASIZ-GRI-50100</t>
        </is>
      </c>
      <c r="E223" s="27" t="inlineStr">
        <is>
          <t>50 x 100</t>
        </is>
      </c>
      <c r="F223" s="28" t="inlineStr">
        <is>
          <t>TOZKONTROL-IYP2-RAMPASIZ</t>
        </is>
      </c>
      <c r="G223" s="29" t="inlineStr">
        <is>
          <t>Kapı Önü Paspası</t>
        </is>
      </c>
      <c r="H223" s="30" t="inlineStr">
        <is>
          <t>Paspas Yap</t>
        </is>
      </c>
      <c r="I223" s="31" t="n">
        <v>92.0</v>
      </c>
      <c r="J223" s="32" t="n">
        <v>947.0</v>
      </c>
      <c r="K223" s="33" t="n">
        <v>768.76</v>
      </c>
      <c r="L223" s="34" t="n">
        <v>22.0</v>
      </c>
      <c r="M223" s="35" t="n">
        <v>582.0</v>
      </c>
      <c r="N223" s="36" t="inlineStr">
        <is>
          <t>25 Ağustos 08.00-1 Eylül 07.59</t>
        </is>
      </c>
      <c r="O223" s="37" t="n">
        <v>15.3</v>
      </c>
      <c r="P223" s="38" t="n">
        <v>768.76</v>
      </c>
      <c r="Q223" s="39"/>
      <c r="R223" s="40" t="n">
        <f>=IF(AND(ISBLANK(Q223), ISBLANK(U223)), "", "7 Günlük Fiyat")</f>
        <v>0.0</v>
      </c>
      <c r="S223" s="41" t="n">
        <f>=IF(OR(Q223="", R223=""), "-", IF(ISNUMBER(SEARCH("7 Günlük", R223)), IF(Q223&lt;=M223, O223, "-"), "-"))</f>
        <v>0.0</v>
      </c>
      <c r="T223" s="42" t="str">
        <f>=IF(ISBLANK(Q223), "", "Hayır")</f>
      </c>
      <c r="U223" s="43"/>
      <c r="V223" s="44" t="inlineStr">
        <is>
          <t>50461ed1-c2c8-4393-967e-55d58a3e2664</t>
        </is>
      </c>
    </row>
    <row r="224">
      <c r="A224" s="23" t="inlineStr">
        <is>
          <t>Toz Ve Nem Alıcı Paspas Iş Yeri Paspası Iç Ve Dış Mekan Paspası Giriş Paspası Kapı Paspası</t>
        </is>
      </c>
      <c r="B224" s="24" t="inlineStr">
        <is>
          <t>780278960</t>
        </is>
      </c>
      <c r="C224" s="25" t="inlineStr">
        <is>
          <t>TOZKONTROL-IYP2-RAMPASIZ-GRI-120650</t>
        </is>
      </c>
      <c r="D224" s="26" t="inlineStr">
        <is>
          <t>TOZKONTROL-IYP2-RAMPASIZ-GRI-120650</t>
        </is>
      </c>
      <c r="E224" s="27" t="inlineStr">
        <is>
          <t>120 x 650</t>
        </is>
      </c>
      <c r="F224" s="28" t="inlineStr">
        <is>
          <t>TOZKONTROL-IYP2-RAMPASIZ</t>
        </is>
      </c>
      <c r="G224" s="29" t="inlineStr">
        <is>
          <t>Kapı Önü Paspası</t>
        </is>
      </c>
      <c r="H224" s="30" t="inlineStr">
        <is>
          <t>Paspas Yap</t>
        </is>
      </c>
      <c r="I224" s="31" t="n">
        <v>93.0</v>
      </c>
      <c r="J224" s="32" t="n">
        <v>10622.0</v>
      </c>
      <c r="K224" s="33" t="n">
        <v>7358.56</v>
      </c>
      <c r="L224" s="34" t="n">
        <v>22.0</v>
      </c>
      <c r="M224" s="35" t="n">
        <v>4819.69</v>
      </c>
      <c r="N224" s="36" t="inlineStr">
        <is>
          <t>25 Ağustos 08.00-1 Eylül 07.59</t>
        </is>
      </c>
      <c r="O224" s="37" t="n">
        <v>10.9</v>
      </c>
      <c r="P224" s="38" t="n">
        <v>7358.56</v>
      </c>
      <c r="Q224" s="39"/>
      <c r="R224" s="40" t="n">
        <f>=IF(AND(ISBLANK(Q224), ISBLANK(U224)), "", "7 Günlük Fiyat")</f>
        <v>0.0</v>
      </c>
      <c r="S224" s="41" t="n">
        <f>=IF(OR(Q224="", R224=""), "-", IF(ISNUMBER(SEARCH("7 Günlük", R224)), IF(Q224&lt;=M224, O224, "-"), "-"))</f>
        <v>0.0</v>
      </c>
      <c r="T224" s="42" t="str">
        <f>=IF(ISBLANK(Q224), "", "Hayır")</f>
      </c>
      <c r="U224" s="43"/>
      <c r="V224" s="44" t="inlineStr">
        <is>
          <t>50461ed1-c2c8-4393-967e-55d58a3e2664</t>
        </is>
      </c>
    </row>
    <row r="225">
      <c r="A225" s="23" t="inlineStr">
        <is>
          <t>Toz Ve Nem Alıcı Paspas Iş Yeri Paspası Iç Ve Dış Mekan Paspası Giriş Paspası Kapı Paspası</t>
        </is>
      </c>
      <c r="B225" s="24" t="inlineStr">
        <is>
          <t>780278960</t>
        </is>
      </c>
      <c r="C225" s="25" t="inlineStr">
        <is>
          <t>TOZKONTROL-IYP2-RAMPASIZ-GRI-80600</t>
        </is>
      </c>
      <c r="D225" s="26" t="inlineStr">
        <is>
          <t>TOZKONTROL-IYP2-RAMPASIZ-GRI-80600</t>
        </is>
      </c>
      <c r="E225" s="27" t="inlineStr">
        <is>
          <t>80 x 600</t>
        </is>
      </c>
      <c r="F225" s="28" t="inlineStr">
        <is>
          <t>TOZKONTROL-IYP2-RAMPASIZ</t>
        </is>
      </c>
      <c r="G225" s="29" t="inlineStr">
        <is>
          <t>Kapı Önü Paspası</t>
        </is>
      </c>
      <c r="H225" s="30" t="inlineStr">
        <is>
          <t>Paspas Yap</t>
        </is>
      </c>
      <c r="I225" s="31" t="n">
        <v>93.0</v>
      </c>
      <c r="J225" s="32" t="n">
        <v>6521.0</v>
      </c>
      <c r="K225" s="33" t="n">
        <v>4436.47</v>
      </c>
      <c r="L225" s="34" t="n">
        <v>22.0</v>
      </c>
      <c r="M225" s="35" t="n">
        <v>2909.82</v>
      </c>
      <c r="N225" s="36" t="inlineStr">
        <is>
          <t>25 Ağustos 08.00-1 Eylül 07.59</t>
        </is>
      </c>
      <c r="O225" s="37" t="n">
        <v>10.6</v>
      </c>
      <c r="P225" s="38" t="n">
        <v>4436.47</v>
      </c>
      <c r="Q225" s="39"/>
      <c r="R225" s="40" t="n">
        <f>=IF(AND(ISBLANK(Q225), ISBLANK(U225)), "", "7 Günlük Fiyat")</f>
        <v>0.0</v>
      </c>
      <c r="S225" s="41" t="n">
        <f>=IF(OR(Q225="", R225=""), "-", IF(ISNUMBER(SEARCH("7 Günlük", R225)), IF(Q225&lt;=M225, O225, "-"), "-"))</f>
        <v>0.0</v>
      </c>
      <c r="T225" s="42" t="str">
        <f>=IF(ISBLANK(Q225), "", "Hayır")</f>
      </c>
      <c r="U225" s="43"/>
      <c r="V225" s="44" t="inlineStr">
        <is>
          <t>50461ed1-c2c8-4393-967e-55d58a3e2664</t>
        </is>
      </c>
    </row>
    <row r="226">
      <c r="A226" s="23" t="inlineStr">
        <is>
          <t>Toz Ve Nem Alıcı Paspas Iş Yeri Paspası Iç Ve Dış Mekan Paspası Giriş Paspası Kapı Paspası</t>
        </is>
      </c>
      <c r="B226" s="24" t="inlineStr">
        <is>
          <t>780278960</t>
        </is>
      </c>
      <c r="C226" s="25" t="inlineStr">
        <is>
          <t>TOZKONTROL-IYP2-RAMPASIZ-GRI-100x650</t>
        </is>
      </c>
      <c r="D226" s="26" t="inlineStr">
        <is>
          <t>TOZKONTROL-IYP2-RAMPASIZ-GRI-100x650</t>
        </is>
      </c>
      <c r="E226" s="27" t="inlineStr">
        <is>
          <t>100 x 650</t>
        </is>
      </c>
      <c r="F226" s="28" t="inlineStr">
        <is>
          <t>TOZKONTROL-IYP2-RAMPASIZ</t>
        </is>
      </c>
      <c r="G226" s="29" t="inlineStr">
        <is>
          <t>Kapı Önü Paspası</t>
        </is>
      </c>
      <c r="H226" s="30" t="inlineStr">
        <is>
          <t>Paspas Yap</t>
        </is>
      </c>
      <c r="I226" s="31" t="n">
        <v>93.0</v>
      </c>
      <c r="J226" s="32" t="n">
        <v>8806.0</v>
      </c>
      <c r="K226" s="33" t="n">
        <v>6147.78</v>
      </c>
      <c r="L226" s="34" t="n">
        <v>22.0</v>
      </c>
      <c r="M226" s="35" t="n">
        <v>4087.74</v>
      </c>
      <c r="N226" s="36" t="inlineStr">
        <is>
          <t>25 Ağustos 08.00-1 Eylül 07.59</t>
        </is>
      </c>
      <c r="O226" s="37" t="n">
        <v>11.1</v>
      </c>
      <c r="P226" s="38" t="n">
        <v>6147.78</v>
      </c>
      <c r="Q226" s="39"/>
      <c r="R226" s="40" t="n">
        <f>=IF(AND(ISBLANK(Q226), ISBLANK(U226)), "", "7 Günlük Fiyat")</f>
        <v>0.0</v>
      </c>
      <c r="S226" s="41" t="n">
        <f>=IF(OR(Q226="", R226=""), "-", IF(ISNUMBER(SEARCH("7 Günlük", R226)), IF(Q226&lt;=M226, O226, "-"), "-"))</f>
        <v>0.0</v>
      </c>
      <c r="T226" s="42" t="str">
        <f>=IF(ISBLANK(Q226), "", "Hayır")</f>
      </c>
      <c r="U226" s="43"/>
      <c r="V226" s="44" t="inlineStr">
        <is>
          <t>50461ed1-c2c8-4393-967e-55d58a3e2664</t>
        </is>
      </c>
    </row>
    <row r="227">
      <c r="A227" s="23" t="inlineStr">
        <is>
          <t>Toz Ve Nem Alıcı Paspas Iş Yeri Paspası Iç Ve Dış Mekan Paspası Giriş Paspası Kapı Paspası</t>
        </is>
      </c>
      <c r="B227" s="24" t="inlineStr">
        <is>
          <t>780278960</t>
        </is>
      </c>
      <c r="C227" s="25" t="inlineStr">
        <is>
          <t>TOZKONTROL-IYP2-RAMPASIZ-GRI-801500</t>
        </is>
      </c>
      <c r="D227" s="26" t="inlineStr">
        <is>
          <t>TOZKONTROL-IYP2-RAMPASIZ-GRI-801500</t>
        </is>
      </c>
      <c r="E227" s="27" t="inlineStr">
        <is>
          <t>80 x 1500</t>
        </is>
      </c>
      <c r="F227" s="28" t="inlineStr">
        <is>
          <t>TOZKONTROL-IYP2-RAMPASIZ</t>
        </is>
      </c>
      <c r="G227" s="29" t="inlineStr">
        <is>
          <t>Kapı Önü Paspası</t>
        </is>
      </c>
      <c r="H227" s="30" t="inlineStr">
        <is>
          <t>Paspas Yap</t>
        </is>
      </c>
      <c r="I227" s="31" t="n">
        <v>93.0</v>
      </c>
      <c r="J227" s="32" t="n">
        <v>16510.0</v>
      </c>
      <c r="K227" s="33" t="n">
        <v>11547.87</v>
      </c>
      <c r="L227" s="34" t="n">
        <v>22.0</v>
      </c>
      <c r="M227" s="35" t="n">
        <v>7775.41</v>
      </c>
      <c r="N227" s="36" t="inlineStr">
        <is>
          <t>25 Ağustos 08.00-1 Eylül 07.59</t>
        </is>
      </c>
      <c r="O227" s="37" t="n">
        <v>11.7</v>
      </c>
      <c r="P227" s="38" t="n">
        <v>11547.87</v>
      </c>
      <c r="Q227" s="39"/>
      <c r="R227" s="40" t="n">
        <f>=IF(AND(ISBLANK(Q227), ISBLANK(U227)), "", "7 Günlük Fiyat")</f>
        <v>0.0</v>
      </c>
      <c r="S227" s="41" t="n">
        <f>=IF(OR(Q227="", R227=""), "-", IF(ISNUMBER(SEARCH("7 Günlük", R227)), IF(Q227&lt;=M227, O227, "-"), "-"))</f>
        <v>0.0</v>
      </c>
      <c r="T227" s="42" t="str">
        <f>=IF(ISBLANK(Q227), "", "Hayır")</f>
      </c>
      <c r="U227" s="43"/>
      <c r="V227" s="44" t="inlineStr">
        <is>
          <t>50461ed1-c2c8-4393-967e-55d58a3e2664</t>
        </is>
      </c>
    </row>
    <row r="228">
      <c r="A228" s="23" t="inlineStr">
        <is>
          <t>Toz Ve Nem Alıcı Paspas Iş Yeri Paspası Iç Ve Dış Mekan Paspası Giriş Paspası Kapı Paspası</t>
        </is>
      </c>
      <c r="B228" s="24" t="inlineStr">
        <is>
          <t>780278960</t>
        </is>
      </c>
      <c r="C228" s="25" t="inlineStr">
        <is>
          <t>TOZKONTROL-IYP2-RAMPASIZ-GRI-50120</t>
        </is>
      </c>
      <c r="D228" s="26" t="inlineStr">
        <is>
          <t>TOZKONTROL-IYP2-RAMPASIZ-GRI-50120</t>
        </is>
      </c>
      <c r="E228" s="27" t="inlineStr">
        <is>
          <t>50 x 120</t>
        </is>
      </c>
      <c r="F228" s="28" t="inlineStr">
        <is>
          <t>TOZKONTROL-IYP2-RAMPASIZ</t>
        </is>
      </c>
      <c r="G228" s="29" t="inlineStr">
        <is>
          <t>Kapı Önü Paspası</t>
        </is>
      </c>
      <c r="H228" s="30" t="inlineStr">
        <is>
          <t>Paspas Yap</t>
        </is>
      </c>
      <c r="I228" s="31" t="n">
        <v>93.0</v>
      </c>
      <c r="J228" s="32" t="n">
        <v>1095.0</v>
      </c>
      <c r="K228" s="33" t="n">
        <v>843.41</v>
      </c>
      <c r="L228" s="34" t="n">
        <v>22.0</v>
      </c>
      <c r="M228" s="35" t="n">
        <v>606.22</v>
      </c>
      <c r="N228" s="36" t="inlineStr">
        <is>
          <t>25 Ağustos 08.00-1 Eylül 07.59</t>
        </is>
      </c>
      <c r="O228" s="37" t="n">
        <v>13.7</v>
      </c>
      <c r="P228" s="38" t="n">
        <v>843.41</v>
      </c>
      <c r="Q228" s="39"/>
      <c r="R228" s="40" t="n">
        <f>=IF(AND(ISBLANK(Q228), ISBLANK(U228)), "", "7 Günlük Fiyat")</f>
        <v>0.0</v>
      </c>
      <c r="S228" s="41" t="n">
        <f>=IF(OR(Q228="", R228=""), "-", IF(ISNUMBER(SEARCH("7 Günlük", R228)), IF(Q228&lt;=M228, O228, "-"), "-"))</f>
        <v>0.0</v>
      </c>
      <c r="T228" s="42" t="str">
        <f>=IF(ISBLANK(Q228), "", "Hayır")</f>
      </c>
      <c r="U228" s="43"/>
      <c r="V228" s="44" t="inlineStr">
        <is>
          <t>50461ed1-c2c8-4393-967e-55d58a3e2664</t>
        </is>
      </c>
    </row>
    <row r="229">
      <c r="A229" s="23" t="inlineStr">
        <is>
          <t>Toz Ve Nem Alıcı Paspas Iş Yeri Paspası Iç Ve Dış Mekan Paspası Giriş Paspası Kapı Paspası</t>
        </is>
      </c>
      <c r="B229" s="24" t="inlineStr">
        <is>
          <t>780278960</t>
        </is>
      </c>
      <c r="C229" s="25" t="inlineStr">
        <is>
          <t>TOZKONTROL-IYP2-RAMPASIZ-GRI-1001300</t>
        </is>
      </c>
      <c r="D229" s="26" t="inlineStr">
        <is>
          <t>TOZKONTROL-IYP2-RAMPASIZ-GRI-1001300</t>
        </is>
      </c>
      <c r="E229" s="27" t="inlineStr">
        <is>
          <t>100 x 1300</t>
        </is>
      </c>
      <c r="F229" s="28" t="inlineStr">
        <is>
          <t>TOZKONTROL-IYP2-RAMPASIZ</t>
        </is>
      </c>
      <c r="G229" s="29" t="inlineStr">
        <is>
          <t>Kapı Önü Paspası</t>
        </is>
      </c>
      <c r="H229" s="30" t="inlineStr">
        <is>
          <t>Paspas Yap</t>
        </is>
      </c>
      <c r="I229" s="31" t="n">
        <v>93.0</v>
      </c>
      <c r="J229" s="32" t="n">
        <v>18018.0</v>
      </c>
      <c r="K229" s="33" t="n">
        <v>12629.15</v>
      </c>
      <c r="L229" s="34" t="n">
        <v>22.0</v>
      </c>
      <c r="M229" s="35" t="n">
        <v>8384.09</v>
      </c>
      <c r="N229" s="36" t="inlineStr">
        <is>
          <t>25 Ağustos 08.00-1 Eylül 07.59</t>
        </is>
      </c>
      <c r="O229" s="37" t="n">
        <v>11.2</v>
      </c>
      <c r="P229" s="38" t="n">
        <v>12629.15</v>
      </c>
      <c r="Q229" s="39"/>
      <c r="R229" s="40" t="n">
        <f>=IF(AND(ISBLANK(Q229), ISBLANK(U229)), "", "7 Günlük Fiyat")</f>
        <v>0.0</v>
      </c>
      <c r="S229" s="41" t="n">
        <f>=IF(OR(Q229="", R229=""), "-", IF(ISNUMBER(SEARCH("7 Günlük", R229)), IF(Q229&lt;=M229, O229, "-"), "-"))</f>
        <v>0.0</v>
      </c>
      <c r="T229" s="42" t="str">
        <f>=IF(ISBLANK(Q229), "", "Hayır")</f>
      </c>
      <c r="U229" s="43"/>
      <c r="V229" s="44" t="inlineStr">
        <is>
          <t>50461ed1-c2c8-4393-967e-55d58a3e2664</t>
        </is>
      </c>
    </row>
    <row r="230">
      <c r="A230" s="23" t="inlineStr">
        <is>
          <t>Toz Ve Nem Alıcı Paspas Iş Yeri Paspası Iç Ve Dış Mekan Paspası Giriş Paspası Kapı Paspası</t>
        </is>
      </c>
      <c r="B230" s="24" t="inlineStr">
        <is>
          <t>780278960</t>
        </is>
      </c>
      <c r="C230" s="25" t="inlineStr">
        <is>
          <t>TOZKONTROL-IYP2-RAMPASIZ-GRI-1201250</t>
        </is>
      </c>
      <c r="D230" s="26" t="inlineStr">
        <is>
          <t>TOZKONTROL-IYP2-RAMPASIZ-GRI-1201250</t>
        </is>
      </c>
      <c r="E230" s="27" t="inlineStr">
        <is>
          <t>120 x 1250</t>
        </is>
      </c>
      <c r="F230" s="28" t="inlineStr">
        <is>
          <t>TOZKONTROL-IYP2-RAMPASIZ</t>
        </is>
      </c>
      <c r="G230" s="29" t="inlineStr">
        <is>
          <t>Kapı Önü Paspası</t>
        </is>
      </c>
      <c r="H230" s="30" t="inlineStr">
        <is>
          <t>Paspas Yap</t>
        </is>
      </c>
      <c r="I230" s="31" t="n">
        <v>93.0</v>
      </c>
      <c r="J230" s="32" t="n">
        <v>20929.0</v>
      </c>
      <c r="K230" s="33" t="n">
        <v>16861.57</v>
      </c>
      <c r="L230" s="34" t="n">
        <v>22.0</v>
      </c>
      <c r="M230" s="35" t="n">
        <v>11391.12</v>
      </c>
      <c r="N230" s="36" t="inlineStr">
        <is>
          <t>25 Ağustos 08.00-1 Eylül 07.59</t>
        </is>
      </c>
      <c r="O230" s="37" t="n">
        <v>12.6</v>
      </c>
      <c r="P230" s="38" t="n">
        <v>16861.57</v>
      </c>
      <c r="Q230" s="39"/>
      <c r="R230" s="40" t="n">
        <f>=IF(AND(ISBLANK(Q230), ISBLANK(U230)), "", "7 Günlük Fiyat")</f>
        <v>0.0</v>
      </c>
      <c r="S230" s="41" t="n">
        <f>=IF(OR(Q230="", R230=""), "-", IF(ISNUMBER(SEARCH("7 Günlük", R230)), IF(Q230&lt;=M230, O230, "-"), "-"))</f>
        <v>0.0</v>
      </c>
      <c r="T230" s="42" t="str">
        <f>=IF(ISBLANK(Q230), "", "Hayır")</f>
      </c>
      <c r="U230" s="43"/>
      <c r="V230" s="44" t="inlineStr">
        <is>
          <t>50461ed1-c2c8-4393-967e-55d58a3e2664</t>
        </is>
      </c>
    </row>
    <row r="231">
      <c r="A231" s="23" t="inlineStr">
        <is>
          <t>Toz Ve Nem Alıcı Paspas Iş Yeri Paspası Iç Ve Dış Mekan Paspası Giriş Paspası Kapı Paspası</t>
        </is>
      </c>
      <c r="B231" s="24" t="inlineStr">
        <is>
          <t>780278960</t>
        </is>
      </c>
      <c r="C231" s="25" t="inlineStr">
        <is>
          <t>TOZKONTROL-IYP2-RAMPASIZ-GRI-120500</t>
        </is>
      </c>
      <c r="D231" s="26" t="inlineStr">
        <is>
          <t>TOZKONTROL-IYP2-RAMPASIZ-GRI-120500</t>
        </is>
      </c>
      <c r="E231" s="27" t="inlineStr">
        <is>
          <t>120 x 500</t>
        </is>
      </c>
      <c r="F231" s="28" t="inlineStr">
        <is>
          <t>TOZKONTROL-IYP2-RAMPASIZ</t>
        </is>
      </c>
      <c r="G231" s="29" t="inlineStr">
        <is>
          <t>Kapı Önü Paspası</t>
        </is>
      </c>
      <c r="H231" s="30" t="inlineStr">
        <is>
          <t>Paspas Yap</t>
        </is>
      </c>
      <c r="I231" s="31" t="n">
        <v>93.0</v>
      </c>
      <c r="J231" s="32" t="n">
        <v>8254.0</v>
      </c>
      <c r="K231" s="33" t="n">
        <v>5772.16</v>
      </c>
      <c r="L231" s="34" t="n">
        <v>22.0</v>
      </c>
      <c r="M231" s="35" t="n">
        <v>3816.21</v>
      </c>
      <c r="N231" s="36" t="inlineStr">
        <is>
          <t>25 Ağustos 08.00-1 Eylül 07.59</t>
        </is>
      </c>
      <c r="O231" s="37" t="n">
        <v>11.2</v>
      </c>
      <c r="P231" s="38" t="n">
        <v>5772.16</v>
      </c>
      <c r="Q231" s="39"/>
      <c r="R231" s="40" t="n">
        <f>=IF(AND(ISBLANK(Q231), ISBLANK(U231)), "", "7 Günlük Fiyat")</f>
        <v>0.0</v>
      </c>
      <c r="S231" s="41" t="n">
        <f>=IF(OR(Q231="", R231=""), "-", IF(ISNUMBER(SEARCH("7 Günlük", R231)), IF(Q231&lt;=M231, O231, "-"), "-"))</f>
        <v>0.0</v>
      </c>
      <c r="T231" s="42" t="str">
        <f>=IF(ISBLANK(Q231), "", "Hayır")</f>
      </c>
      <c r="U231" s="43"/>
      <c r="V231" s="44" t="inlineStr">
        <is>
          <t>50461ed1-c2c8-4393-967e-55d58a3e2664</t>
        </is>
      </c>
    </row>
    <row r="232">
      <c r="A232" s="23" t="inlineStr">
        <is>
          <t>Toz Ve Nem Alıcı Paspas Iş Yeri Paspası Iç Ve Dış Mekan Paspası Giriş Paspası Kapı Paspası</t>
        </is>
      </c>
      <c r="B232" s="24" t="inlineStr">
        <is>
          <t>780278960</t>
        </is>
      </c>
      <c r="C232" s="25" t="inlineStr">
        <is>
          <t>TOZKONTROL-IYP2-RAMPASIZ-GRI-100x450</t>
        </is>
      </c>
      <c r="D232" s="26" t="inlineStr">
        <is>
          <t>TOZKONTROL-IYP2-RAMPASIZ-GRI-100x450</t>
        </is>
      </c>
      <c r="E232" s="27" t="inlineStr">
        <is>
          <t>100 x 450</t>
        </is>
      </c>
      <c r="F232" s="28" t="inlineStr">
        <is>
          <t>TOZKONTROL-IYP2-RAMPASIZ</t>
        </is>
      </c>
      <c r="G232" s="29" t="inlineStr">
        <is>
          <t>Kapı Önü Paspası</t>
        </is>
      </c>
      <c r="H232" s="30" t="inlineStr">
        <is>
          <t>Paspas Yap</t>
        </is>
      </c>
      <c r="I232" s="31" t="n">
        <v>93.0</v>
      </c>
      <c r="J232" s="32" t="n">
        <v>6190.0</v>
      </c>
      <c r="K232" s="33" t="n">
        <v>4258.75</v>
      </c>
      <c r="L232" s="34" t="n">
        <v>22.0</v>
      </c>
      <c r="M232" s="35" t="n">
        <v>2763.36</v>
      </c>
      <c r="N232" s="36" t="inlineStr">
        <is>
          <t>25 Ağustos 08.00-1 Eylül 07.59</t>
        </is>
      </c>
      <c r="O232" s="37" t="n">
        <v>10.5</v>
      </c>
      <c r="P232" s="38" t="n">
        <v>4258.75</v>
      </c>
      <c r="Q232" s="39"/>
      <c r="R232" s="40" t="n">
        <f>=IF(AND(ISBLANK(Q232), ISBLANK(U232)), "", "7 Günlük Fiyat")</f>
        <v>0.0</v>
      </c>
      <c r="S232" s="41" t="n">
        <f>=IF(OR(Q232="", R232=""), "-", IF(ISNUMBER(SEARCH("7 Günlük", R232)), IF(Q232&lt;=M232, O232, "-"), "-"))</f>
        <v>0.0</v>
      </c>
      <c r="T232" s="42" t="str">
        <f>=IF(ISBLANK(Q232), "", "Hayır")</f>
      </c>
      <c r="U232" s="43"/>
      <c r="V232" s="44" t="inlineStr">
        <is>
          <t>50461ed1-c2c8-4393-967e-55d58a3e2664</t>
        </is>
      </c>
    </row>
    <row r="233">
      <c r="A233" s="23" t="inlineStr">
        <is>
          <t>Toz Ve Nem Alıcı Paspas Iş Yeri Paspası Iç Ve Dış Mekan Paspası Giriş Paspası Kapı Paspası</t>
        </is>
      </c>
      <c r="B233" s="24" t="inlineStr">
        <is>
          <t>780278960</t>
        </is>
      </c>
      <c r="C233" s="25" t="inlineStr">
        <is>
          <t>TOZKONTROL-IYP2-RAMPASIZ-GRI-801100</t>
        </is>
      </c>
      <c r="D233" s="26" t="inlineStr">
        <is>
          <t>TOZKONTROL-IYP2-RAMPASIZ-GRI-801100</t>
        </is>
      </c>
      <c r="E233" s="27" t="inlineStr">
        <is>
          <t>80 x 1100</t>
        </is>
      </c>
      <c r="F233" s="28" t="inlineStr">
        <is>
          <t>TOZKONTROL-IYP2-RAMPASIZ</t>
        </is>
      </c>
      <c r="G233" s="29" t="inlineStr">
        <is>
          <t>Kapı Önü Paspası</t>
        </is>
      </c>
      <c r="H233" s="30" t="inlineStr">
        <is>
          <t>Paspas Yap</t>
        </is>
      </c>
      <c r="I233" s="31" t="n">
        <v>93.0</v>
      </c>
      <c r="J233" s="32" t="n">
        <v>11878.0</v>
      </c>
      <c r="K233" s="33" t="n">
        <v>8378.98</v>
      </c>
      <c r="L233" s="34" t="n">
        <v>22.0</v>
      </c>
      <c r="M233" s="35" t="n">
        <v>5468.54</v>
      </c>
      <c r="N233" s="36" t="inlineStr">
        <is>
          <t>25 Ağustos 08.00-1 Eylül 07.59</t>
        </is>
      </c>
      <c r="O233" s="37" t="n">
        <v>10.9</v>
      </c>
      <c r="P233" s="38" t="n">
        <v>8378.98</v>
      </c>
      <c r="Q233" s="39"/>
      <c r="R233" s="40" t="n">
        <f>=IF(AND(ISBLANK(Q233), ISBLANK(U233)), "", "7 Günlük Fiyat")</f>
        <v>0.0</v>
      </c>
      <c r="S233" s="41" t="n">
        <f>=IF(OR(Q233="", R233=""), "-", IF(ISNUMBER(SEARCH("7 Günlük", R233)), IF(Q233&lt;=M233, O233, "-"), "-"))</f>
        <v>0.0</v>
      </c>
      <c r="T233" s="42" t="str">
        <f>=IF(ISBLANK(Q233), "", "Hayır")</f>
      </c>
      <c r="U233" s="43"/>
      <c r="V233" s="44" t="inlineStr">
        <is>
          <t>50461ed1-c2c8-4393-967e-55d58a3e2664</t>
        </is>
      </c>
    </row>
    <row r="234">
      <c r="A234" s="23" t="inlineStr">
        <is>
          <t>Toz Ve Nem Alıcı Paspas Iş Yeri Paspası Iç Ve Dış Mekan Paspası Giriş Paspası Kapı Paspası</t>
        </is>
      </c>
      <c r="B234" s="24" t="inlineStr">
        <is>
          <t>780278960</t>
        </is>
      </c>
      <c r="C234" s="25" t="inlineStr">
        <is>
          <t>TOZKONTROL-IYP2-RAMPASIZ-GRI-1201200</t>
        </is>
      </c>
      <c r="D234" s="26" t="inlineStr">
        <is>
          <t>TOZKONTROL-IYP2-RAMPASIZ-GRI-1201200</t>
        </is>
      </c>
      <c r="E234" s="27" t="inlineStr">
        <is>
          <t>120 x 1200</t>
        </is>
      </c>
      <c r="F234" s="28" t="inlineStr">
        <is>
          <t>TOZKONTROL-IYP2-RAMPASIZ</t>
        </is>
      </c>
      <c r="G234" s="29" t="inlineStr">
        <is>
          <t>Kapı Önü Paspası</t>
        </is>
      </c>
      <c r="H234" s="30" t="inlineStr">
        <is>
          <t>Paspas Yap</t>
        </is>
      </c>
      <c r="I234" s="31" t="n">
        <v>93.0</v>
      </c>
      <c r="J234" s="32" t="n">
        <v>20066.0</v>
      </c>
      <c r="K234" s="33" t="n">
        <v>13953.23</v>
      </c>
      <c r="L234" s="34" t="n">
        <v>22.0</v>
      </c>
      <c r="M234" s="35" t="n">
        <v>9228.86</v>
      </c>
      <c r="N234" s="36" t="inlineStr">
        <is>
          <t>25 Ağustos 08.00-1 Eylül 07.59</t>
        </is>
      </c>
      <c r="O234" s="37" t="n">
        <v>10.9</v>
      </c>
      <c r="P234" s="38" t="n">
        <v>13953.23</v>
      </c>
      <c r="Q234" s="39"/>
      <c r="R234" s="40" t="n">
        <f>=IF(AND(ISBLANK(Q234), ISBLANK(U234)), "", "7 Günlük Fiyat")</f>
        <v>0.0</v>
      </c>
      <c r="S234" s="41" t="n">
        <f>=IF(OR(Q234="", R234=""), "-", IF(ISNUMBER(SEARCH("7 Günlük", R234)), IF(Q234&lt;=M234, O234, "-"), "-"))</f>
        <v>0.0</v>
      </c>
      <c r="T234" s="42" t="str">
        <f>=IF(ISBLANK(Q234), "", "Hayır")</f>
      </c>
      <c r="U234" s="43"/>
      <c r="V234" s="44" t="inlineStr">
        <is>
          <t>50461ed1-c2c8-4393-967e-55d58a3e2664</t>
        </is>
      </c>
    </row>
    <row r="235">
      <c r="A235" s="23" t="inlineStr">
        <is>
          <t>Toz Ve Nem Alıcı Paspas Iş Yeri Paspası Iç Ve Dış Mekan Paspası Giriş Paspası Kapı Paspası</t>
        </is>
      </c>
      <c r="B235" s="24" t="inlineStr">
        <is>
          <t>780278960</t>
        </is>
      </c>
      <c r="C235" s="25" t="inlineStr">
        <is>
          <t>TOZKONTROL-IYP2-RAMPASIZ-GRI-1201450</t>
        </is>
      </c>
      <c r="D235" s="26" t="inlineStr">
        <is>
          <t>TOZKONTROL-IYP2-RAMPASIZ-GRI-1201450</t>
        </is>
      </c>
      <c r="E235" s="27" t="inlineStr">
        <is>
          <t>120 x 1450</t>
        </is>
      </c>
      <c r="F235" s="28" t="inlineStr">
        <is>
          <t>TOZKONTROL-IYP2-RAMPASIZ</t>
        </is>
      </c>
      <c r="G235" s="29" t="inlineStr">
        <is>
          <t>Kapı Önü Paspası</t>
        </is>
      </c>
      <c r="H235" s="30" t="inlineStr">
        <is>
          <t>Paspas Yap</t>
        </is>
      </c>
      <c r="I235" s="31" t="n">
        <v>93.0</v>
      </c>
      <c r="J235" s="32" t="n">
        <v>24283.0</v>
      </c>
      <c r="K235" s="33" t="n">
        <v>16973.79</v>
      </c>
      <c r="L235" s="34" t="n">
        <v>22.0</v>
      </c>
      <c r="M235" s="35" t="n">
        <v>11058.53</v>
      </c>
      <c r="N235" s="36" t="inlineStr">
        <is>
          <t>25 Ağustos 08.00-1 Eylül 07.59</t>
        </is>
      </c>
      <c r="O235" s="37" t="n">
        <v>10.7</v>
      </c>
      <c r="P235" s="38" t="n">
        <v>16973.79</v>
      </c>
      <c r="Q235" s="39"/>
      <c r="R235" s="40" t="n">
        <f>=IF(AND(ISBLANK(Q235), ISBLANK(U235)), "", "7 Günlük Fiyat")</f>
        <v>0.0</v>
      </c>
      <c r="S235" s="41" t="n">
        <f>=IF(OR(Q235="", R235=""), "-", IF(ISNUMBER(SEARCH("7 Günlük", R235)), IF(Q235&lt;=M235, O235, "-"), "-"))</f>
        <v>0.0</v>
      </c>
      <c r="T235" s="42" t="str">
        <f>=IF(ISBLANK(Q235), "", "Hayır")</f>
      </c>
      <c r="U235" s="43"/>
      <c r="V235" s="44" t="inlineStr">
        <is>
          <t>50461ed1-c2c8-4393-967e-55d58a3e2664</t>
        </is>
      </c>
    </row>
    <row r="236">
      <c r="A236" s="23" t="inlineStr">
        <is>
          <t>Toz Ve Nem Alıcı Paspas Iş Yeri Paspası Iç Ve Dış Mekan Paspası Giriş Paspası Kapı Paspası</t>
        </is>
      </c>
      <c r="B236" s="24" t="inlineStr">
        <is>
          <t>780278960</t>
        </is>
      </c>
      <c r="C236" s="25" t="inlineStr">
        <is>
          <t>TOZKONTROL-IYP2-RAMPASIZ-GRI-1001450</t>
        </is>
      </c>
      <c r="D236" s="26" t="inlineStr">
        <is>
          <t>TOZKONTROL-IYP2-RAMPASIZ-GRI-1001450</t>
        </is>
      </c>
      <c r="E236" s="27" t="inlineStr">
        <is>
          <t>100 x 1450</t>
        </is>
      </c>
      <c r="F236" s="28" t="inlineStr">
        <is>
          <t>TOZKONTROL-IYP2-RAMPASIZ</t>
        </is>
      </c>
      <c r="G236" s="29" t="inlineStr">
        <is>
          <t>Kapı Önü Paspası</t>
        </is>
      </c>
      <c r="H236" s="30" t="inlineStr">
        <is>
          <t>Paspas Yap</t>
        </is>
      </c>
      <c r="I236" s="31" t="n">
        <v>93.0</v>
      </c>
      <c r="J236" s="32" t="n">
        <v>20176.0</v>
      </c>
      <c r="K236" s="33" t="n">
        <v>13961.86</v>
      </c>
      <c r="L236" s="34" t="n">
        <v>22.0</v>
      </c>
      <c r="M236" s="35" t="n">
        <v>9200.4</v>
      </c>
      <c r="N236" s="36" t="inlineStr">
        <is>
          <t>25 Ağustos 08.00-1 Eylül 07.59</t>
        </is>
      </c>
      <c r="O236" s="37" t="n">
        <v>10.7</v>
      </c>
      <c r="P236" s="38" t="n">
        <v>13961.86</v>
      </c>
      <c r="Q236" s="39"/>
      <c r="R236" s="40" t="n">
        <f>=IF(AND(ISBLANK(Q236), ISBLANK(U236)), "", "7 Günlük Fiyat")</f>
        <v>0.0</v>
      </c>
      <c r="S236" s="41" t="n">
        <f>=IF(OR(Q236="", R236=""), "-", IF(ISNUMBER(SEARCH("7 Günlük", R236)), IF(Q236&lt;=M236, O236, "-"), "-"))</f>
        <v>0.0</v>
      </c>
      <c r="T236" s="42" t="str">
        <f>=IF(ISBLANK(Q236), "", "Hayır")</f>
      </c>
      <c r="U236" s="43"/>
      <c r="V236" s="44" t="inlineStr">
        <is>
          <t>50461ed1-c2c8-4393-967e-55d58a3e2664</t>
        </is>
      </c>
    </row>
    <row r="237">
      <c r="A237" s="23" t="inlineStr">
        <is>
          <t>Toz Ve Nem Alıcı Paspas Iş Yeri Paspası Iç Ve Dış Mekan Paspası Giriş Paspası Kapı Paspası</t>
        </is>
      </c>
      <c r="B237" s="24" t="inlineStr">
        <is>
          <t>780278960</t>
        </is>
      </c>
      <c r="C237" s="25" t="inlineStr">
        <is>
          <t>TOZKONTROL-IYP2-RAMPASIZ-GRI-120700</t>
        </is>
      </c>
      <c r="D237" s="26" t="inlineStr">
        <is>
          <t>TOZKONTROL-IYP2-RAMPASIZ-GRI-120700</t>
        </is>
      </c>
      <c r="E237" s="27" t="inlineStr">
        <is>
          <t>120 x 700</t>
        </is>
      </c>
      <c r="F237" s="28" t="inlineStr">
        <is>
          <t>TOZKONTROL-IYP2-RAMPASIZ</t>
        </is>
      </c>
      <c r="G237" s="29" t="inlineStr">
        <is>
          <t>Kapı Önü Paspası</t>
        </is>
      </c>
      <c r="H237" s="30" t="inlineStr">
        <is>
          <t>Paspas Yap</t>
        </is>
      </c>
      <c r="I237" s="31" t="n">
        <v>93.0</v>
      </c>
      <c r="J237" s="32" t="n">
        <v>11436.0</v>
      </c>
      <c r="K237" s="33" t="n">
        <v>8055.12</v>
      </c>
      <c r="L237" s="34" t="n">
        <v>22.0</v>
      </c>
      <c r="M237" s="35" t="n">
        <v>5377.28</v>
      </c>
      <c r="N237" s="36" t="inlineStr">
        <is>
          <t>25 Ağustos 08.00-1 Eylül 07.59</t>
        </is>
      </c>
      <c r="O237" s="37" t="n">
        <v>11.4</v>
      </c>
      <c r="P237" s="38" t="n">
        <v>8055.12</v>
      </c>
      <c r="Q237" s="39"/>
      <c r="R237" s="40" t="n">
        <f>=IF(AND(ISBLANK(Q237), ISBLANK(U237)), "", "7 Günlük Fiyat")</f>
        <v>0.0</v>
      </c>
      <c r="S237" s="41" t="n">
        <f>=IF(OR(Q237="", R237=""), "-", IF(ISNUMBER(SEARCH("7 Günlük", R237)), IF(Q237&lt;=M237, O237, "-"), "-"))</f>
        <v>0.0</v>
      </c>
      <c r="T237" s="42" t="str">
        <f>=IF(ISBLANK(Q237), "", "Hayır")</f>
      </c>
      <c r="U237" s="43"/>
      <c r="V237" s="44" t="inlineStr">
        <is>
          <t>50461ed1-c2c8-4393-967e-55d58a3e2664</t>
        </is>
      </c>
    </row>
    <row r="238">
      <c r="A238" s="23" t="inlineStr">
        <is>
          <t>Toz Ve Nem Alıcı Paspas Iş Yeri Paspası Iç Ve Dış Mekan Paspası Giriş Paspası Kapı Paspası</t>
        </is>
      </c>
      <c r="B238" s="24" t="inlineStr">
        <is>
          <t>780278960</t>
        </is>
      </c>
      <c r="C238" s="25" t="inlineStr">
        <is>
          <t>TOZKONTROL-IYP2-RAMPASIZ-GRI-801300</t>
        </is>
      </c>
      <c r="D238" s="26" t="inlineStr">
        <is>
          <t>TOZKONTROL-IYP2-RAMPASIZ-GRI-801300</t>
        </is>
      </c>
      <c r="E238" s="27" t="inlineStr">
        <is>
          <t>80 x 1300</t>
        </is>
      </c>
      <c r="F238" s="28" t="inlineStr">
        <is>
          <t>TOZKONTROL-IYP2-RAMPASIZ</t>
        </is>
      </c>
      <c r="G238" s="29" t="inlineStr">
        <is>
          <t>Kapı Önü Paspası</t>
        </is>
      </c>
      <c r="H238" s="30" t="inlineStr">
        <is>
          <t>Paspas Yap</t>
        </is>
      </c>
      <c r="I238" s="31" t="n">
        <v>93.0</v>
      </c>
      <c r="J238" s="32" t="n">
        <v>14241.0</v>
      </c>
      <c r="K238" s="33" t="n">
        <v>12767.67</v>
      </c>
      <c r="L238" s="34" t="n">
        <v>22.0</v>
      </c>
      <c r="M238" s="35" t="n">
        <v>8319.75</v>
      </c>
      <c r="N238" s="36" t="inlineStr">
        <is>
          <t>25 Ağustos 08.00-1 Eylül 07.59</t>
        </is>
      </c>
      <c r="O238" s="37" t="n">
        <v>13.8</v>
      </c>
      <c r="P238" s="38" t="n">
        <v>12767.67</v>
      </c>
      <c r="Q238" s="39"/>
      <c r="R238" s="40" t="n">
        <f>=IF(AND(ISBLANK(Q238), ISBLANK(U238)), "", "7 Günlük Fiyat")</f>
        <v>0.0</v>
      </c>
      <c r="S238" s="41" t="n">
        <f>=IF(OR(Q238="", R238=""), "-", IF(ISNUMBER(SEARCH("7 Günlük", R238)), IF(Q238&lt;=M238, O238, "-"), "-"))</f>
        <v>0.0</v>
      </c>
      <c r="T238" s="42" t="str">
        <f>=IF(ISBLANK(Q238), "", "Hayır")</f>
      </c>
      <c r="U238" s="43"/>
      <c r="V238" s="44" t="inlineStr">
        <is>
          <t>50461ed1-c2c8-4393-967e-55d58a3e2664</t>
        </is>
      </c>
    </row>
    <row r="239">
      <c r="A239" s="23" t="inlineStr">
        <is>
          <t>Toz Ve Nem Alıcı Paspas Iş Yeri Paspası Iç Ve Dış Mekan Paspası Giriş Paspası Kapı Paspası</t>
        </is>
      </c>
      <c r="B239" s="24" t="inlineStr">
        <is>
          <t>780278960</t>
        </is>
      </c>
      <c r="C239" s="25" t="inlineStr">
        <is>
          <t>TOZKONTROL-IYP2-RAMPASIZ-GRI-100950</t>
        </is>
      </c>
      <c r="D239" s="26" t="inlineStr">
        <is>
          <t>TOZKONTROL-IYP2-RAMPASIZ-GRI-100950</t>
        </is>
      </c>
      <c r="E239" s="27" t="inlineStr">
        <is>
          <t>100 x 950</t>
        </is>
      </c>
      <c r="F239" s="28" t="inlineStr">
        <is>
          <t>TOZKONTROL-IYP2-RAMPASIZ</t>
        </is>
      </c>
      <c r="G239" s="29" t="inlineStr">
        <is>
          <t>Kapı Önü Paspası</t>
        </is>
      </c>
      <c r="H239" s="30" t="inlineStr">
        <is>
          <t>Paspas Yap</t>
        </is>
      </c>
      <c r="I239" s="31" t="n">
        <v>93.0</v>
      </c>
      <c r="J239" s="32" t="n">
        <v>13053.0</v>
      </c>
      <c r="K239" s="33" t="n">
        <v>9232.95</v>
      </c>
      <c r="L239" s="34" t="n">
        <v>22.0</v>
      </c>
      <c r="M239" s="35" t="n">
        <v>6138.97</v>
      </c>
      <c r="N239" s="36" t="inlineStr">
        <is>
          <t>25 Ağustos 08.00-1 Eylül 07.59</t>
        </is>
      </c>
      <c r="O239" s="37" t="n">
        <v>11.4</v>
      </c>
      <c r="P239" s="38" t="n">
        <v>9232.95</v>
      </c>
      <c r="Q239" s="39"/>
      <c r="R239" s="40" t="n">
        <f>=IF(AND(ISBLANK(Q239), ISBLANK(U239)), "", "7 Günlük Fiyat")</f>
        <v>0.0</v>
      </c>
      <c r="S239" s="41" t="n">
        <f>=IF(OR(Q239="", R239=""), "-", IF(ISNUMBER(SEARCH("7 Günlük", R239)), IF(Q239&lt;=M239, O239, "-"), "-"))</f>
        <v>0.0</v>
      </c>
      <c r="T239" s="42" t="str">
        <f>=IF(ISBLANK(Q239), "", "Hayır")</f>
      </c>
      <c r="U239" s="43"/>
      <c r="V239" s="44" t="inlineStr">
        <is>
          <t>50461ed1-c2c8-4393-967e-55d58a3e2664</t>
        </is>
      </c>
    </row>
    <row r="240">
      <c r="A240" s="23" t="inlineStr">
        <is>
          <t>Toz Ve Nem Alıcı Paspas Iş Yeri Paspası Iç Ve Dış Mekan Paspası Giriş Paspası Kapı Paspası</t>
        </is>
      </c>
      <c r="B240" s="24" t="inlineStr">
        <is>
          <t>780278960</t>
        </is>
      </c>
      <c r="C240" s="25" t="inlineStr">
        <is>
          <t>TOZKONTROL-IYP2-RAMPASIZ-GRI-80800</t>
        </is>
      </c>
      <c r="D240" s="26" t="inlineStr">
        <is>
          <t>TOZKONTROL-IYP2-RAMPASIZ-GRI-80800</t>
        </is>
      </c>
      <c r="E240" s="27" t="inlineStr">
        <is>
          <t>80 x 800</t>
        </is>
      </c>
      <c r="F240" s="28" t="inlineStr">
        <is>
          <t>TOZKONTROL-IYP2-RAMPASIZ</t>
        </is>
      </c>
      <c r="G240" s="29" t="inlineStr">
        <is>
          <t>Kapı Önü Paspası</t>
        </is>
      </c>
      <c r="H240" s="30" t="inlineStr">
        <is>
          <t>Paspas Yap</t>
        </is>
      </c>
      <c r="I240" s="31" t="n">
        <v>92.0</v>
      </c>
      <c r="J240" s="32" t="n">
        <v>8696.0</v>
      </c>
      <c r="K240" s="33" t="n">
        <v>6062.49</v>
      </c>
      <c r="L240" s="34" t="n">
        <v>22.0</v>
      </c>
      <c r="M240" s="35" t="n">
        <v>4004.14</v>
      </c>
      <c r="N240" s="36" t="inlineStr">
        <is>
          <t>25 Ağustos 08.00-1 Eylül 07.59</t>
        </is>
      </c>
      <c r="O240" s="37" t="n">
        <v>11.1</v>
      </c>
      <c r="P240" s="38" t="n">
        <v>6062.49</v>
      </c>
      <c r="Q240" s="39"/>
      <c r="R240" s="40" t="n">
        <f>=IF(AND(ISBLANK(Q240), ISBLANK(U240)), "", "7 Günlük Fiyat")</f>
        <v>0.0</v>
      </c>
      <c r="S240" s="41" t="n">
        <f>=IF(OR(Q240="", R240=""), "-", IF(ISNUMBER(SEARCH("7 Günlük", R240)), IF(Q240&lt;=M240, O240, "-"), "-"))</f>
        <v>0.0</v>
      </c>
      <c r="T240" s="42" t="str">
        <f>=IF(ISBLANK(Q240), "", "Hayır")</f>
      </c>
      <c r="U240" s="43"/>
      <c r="V240" s="44" t="inlineStr">
        <is>
          <t>50461ed1-c2c8-4393-967e-55d58a3e2664</t>
        </is>
      </c>
    </row>
    <row r="241">
      <c r="A241" s="23" t="inlineStr">
        <is>
          <t>Toz Ve Nem Alıcı Paspas Iş Yeri Paspası Iç Ve Dış Mekan Paspası Giriş Paspası Kapı Paspası</t>
        </is>
      </c>
      <c r="B241" s="24" t="inlineStr">
        <is>
          <t>780278960</t>
        </is>
      </c>
      <c r="C241" s="25" t="inlineStr">
        <is>
          <t>TOZKONTROL-IYP2-RAMPASIZ-GRI-80950</t>
        </is>
      </c>
      <c r="D241" s="26" t="inlineStr">
        <is>
          <t>TOZKONTROL-IYP2-RAMPASIZ-GRI-80950</t>
        </is>
      </c>
      <c r="E241" s="27" t="inlineStr">
        <is>
          <t>80 x 950</t>
        </is>
      </c>
      <c r="F241" s="28" t="inlineStr">
        <is>
          <t>TOZKONTROL-IYP2-RAMPASIZ</t>
        </is>
      </c>
      <c r="G241" s="29" t="inlineStr">
        <is>
          <t>Kapı Önü Paspası</t>
        </is>
      </c>
      <c r="H241" s="30" t="inlineStr">
        <is>
          <t>Paspas Yap</t>
        </is>
      </c>
      <c r="I241" s="31" t="n">
        <v>93.0</v>
      </c>
      <c r="J241" s="32" t="n">
        <v>10325.0</v>
      </c>
      <c r="K241" s="33" t="n">
        <v>7146.24</v>
      </c>
      <c r="L241" s="34" t="n">
        <v>22.0</v>
      </c>
      <c r="M241" s="35" t="n">
        <v>4678.27</v>
      </c>
      <c r="N241" s="36" t="inlineStr">
        <is>
          <t>25 Ağustos 08.00-1 Eylül 07.59</t>
        </is>
      </c>
      <c r="O241" s="37" t="n">
        <v>10.9</v>
      </c>
      <c r="P241" s="38" t="n">
        <v>7146.24</v>
      </c>
      <c r="Q241" s="39"/>
      <c r="R241" s="40" t="n">
        <f>=IF(AND(ISBLANK(Q241), ISBLANK(U241)), "", "7 Günlük Fiyat")</f>
        <v>0.0</v>
      </c>
      <c r="S241" s="41" t="n">
        <f>=IF(OR(Q241="", R241=""), "-", IF(ISNUMBER(SEARCH("7 Günlük", R241)), IF(Q241&lt;=M241, O241, "-"), "-"))</f>
        <v>0.0</v>
      </c>
      <c r="T241" s="42" t="str">
        <f>=IF(ISBLANK(Q241), "", "Hayır")</f>
      </c>
      <c r="U241" s="43"/>
      <c r="V241" s="44" t="inlineStr">
        <is>
          <t>50461ed1-c2c8-4393-967e-55d58a3e2664</t>
        </is>
      </c>
    </row>
    <row r="242">
      <c r="A242" s="23" t="inlineStr">
        <is>
          <t>Toz Ve Nem Alıcı Paspas Iş Yeri Paspası Iç Ve Dış Mekan Paspası Giriş Paspası Kapı Paspası</t>
        </is>
      </c>
      <c r="B242" s="24" t="inlineStr">
        <is>
          <t>780278960</t>
        </is>
      </c>
      <c r="C242" s="25" t="inlineStr">
        <is>
          <t>TOZKONTROL-IYP2-RAMPASIZ-GRI-120200</t>
        </is>
      </c>
      <c r="D242" s="26" t="inlineStr">
        <is>
          <t>TOZKONTROL-IYP2-RAMPASIZ-GRI-120200</t>
        </is>
      </c>
      <c r="E242" s="27" t="inlineStr">
        <is>
          <t>120 x 200</t>
        </is>
      </c>
      <c r="F242" s="28" t="inlineStr">
        <is>
          <t>TOZKONTROL-IYP2-RAMPASIZ</t>
        </is>
      </c>
      <c r="G242" s="29" t="inlineStr">
        <is>
          <t>Kapı Önü Paspası</t>
        </is>
      </c>
      <c r="H242" s="30" t="inlineStr">
        <is>
          <t>Paspas Yap</t>
        </is>
      </c>
      <c r="I242" s="31" t="n">
        <v>93.0</v>
      </c>
      <c r="J242" s="32" t="n">
        <v>3449.0</v>
      </c>
      <c r="K242" s="33" t="n">
        <v>2520.05</v>
      </c>
      <c r="L242" s="34" t="n">
        <v>21.0</v>
      </c>
      <c r="M242" s="35" t="n">
        <v>1767.52</v>
      </c>
      <c r="N242" s="36" t="inlineStr">
        <is>
          <t>25 Ağustos 08.00-1 Eylül 07.59</t>
        </is>
      </c>
      <c r="O242" s="37" t="n">
        <v>11.8</v>
      </c>
      <c r="P242" s="38" t="n">
        <v>2520.05</v>
      </c>
      <c r="Q242" s="39"/>
      <c r="R242" s="40" t="n">
        <f>=IF(AND(ISBLANK(Q242), ISBLANK(U242)), "", "7 Günlük Fiyat")</f>
        <v>0.0</v>
      </c>
      <c r="S242" s="41" t="n">
        <f>=IF(OR(Q242="", R242=""), "-", IF(ISNUMBER(SEARCH("7 Günlük", R242)), IF(Q242&lt;=M242, O242, "-"), "-"))</f>
        <v>0.0</v>
      </c>
      <c r="T242" s="42" t="str">
        <f>=IF(ISBLANK(Q242), "", "Hayır")</f>
      </c>
      <c r="U242" s="43"/>
      <c r="V242" s="44" t="inlineStr">
        <is>
          <t>50461ed1-c2c8-4393-967e-55d58a3e2664</t>
        </is>
      </c>
    </row>
    <row r="243">
      <c r="A243" s="23" t="inlineStr">
        <is>
          <t>Toz Ve Nem Alıcı Paspas Iş Yeri Paspası Iç Ve Dış Mekan Paspası Giriş Paspası Kapı Paspası</t>
        </is>
      </c>
      <c r="B243" s="24" t="inlineStr">
        <is>
          <t>780278960</t>
        </is>
      </c>
      <c r="C243" s="25" t="inlineStr">
        <is>
          <t>TOZKONTROL-IYP2-RAMPASIZ-GRI-801400</t>
        </is>
      </c>
      <c r="D243" s="26" t="inlineStr">
        <is>
          <t>TOZKONTROL-IYP2-RAMPASIZ-GRI-801400</t>
        </is>
      </c>
      <c r="E243" s="27" t="inlineStr">
        <is>
          <t>80 x 1400</t>
        </is>
      </c>
      <c r="F243" s="28" t="inlineStr">
        <is>
          <t>TOZKONTROL-IYP2-RAMPASIZ</t>
        </is>
      </c>
      <c r="G243" s="29" t="inlineStr">
        <is>
          <t>Kapı Önü Paspası</t>
        </is>
      </c>
      <c r="H243" s="30" t="inlineStr">
        <is>
          <t>Paspas Yap</t>
        </is>
      </c>
      <c r="I243" s="31" t="n">
        <v>93.0</v>
      </c>
      <c r="J243" s="32" t="n">
        <v>15427.0</v>
      </c>
      <c r="K243" s="33" t="n">
        <v>10795.5</v>
      </c>
      <c r="L243" s="34" t="n">
        <v>22.0</v>
      </c>
      <c r="M243" s="35" t="n">
        <v>7010.28</v>
      </c>
      <c r="N243" s="36" t="inlineStr">
        <is>
          <t>25 Ağustos 08.00-1 Eylül 07.59</t>
        </is>
      </c>
      <c r="O243" s="37" t="n">
        <v>10.7</v>
      </c>
      <c r="P243" s="38" t="n">
        <v>10795.5</v>
      </c>
      <c r="Q243" s="39"/>
      <c r="R243" s="40" t="n">
        <f>=IF(AND(ISBLANK(Q243), ISBLANK(U243)), "", "7 Günlük Fiyat")</f>
        <v>0.0</v>
      </c>
      <c r="S243" s="41" t="n">
        <f>=IF(OR(Q243="", R243=""), "-", IF(ISNUMBER(SEARCH("7 Günlük", R243)), IF(Q243&lt;=M243, O243, "-"), "-"))</f>
        <v>0.0</v>
      </c>
      <c r="T243" s="42" t="str">
        <f>=IF(ISBLANK(Q243), "", "Hayır")</f>
      </c>
      <c r="U243" s="43"/>
      <c r="V243" s="44" t="inlineStr">
        <is>
          <t>50461ed1-c2c8-4393-967e-55d58a3e2664</t>
        </is>
      </c>
    </row>
    <row r="244">
      <c r="A244" s="23" t="inlineStr">
        <is>
          <t>Toz Ve Nem Alıcı Paspas Iş Yeri Paspası Iç Ve Dış Mekan Paspası Giriş Paspası Kapı Paspası</t>
        </is>
      </c>
      <c r="B244" s="24" t="inlineStr">
        <is>
          <t>780278960</t>
        </is>
      </c>
      <c r="C244" s="25" t="inlineStr">
        <is>
          <t>TOZKONTROL-IYP2-RAMPASIZ-GRI-801450</t>
        </is>
      </c>
      <c r="D244" s="26" t="inlineStr">
        <is>
          <t>TOZKONTROL-IYP2-RAMPASIZ-GRI-801450</t>
        </is>
      </c>
      <c r="E244" s="27" t="inlineStr">
        <is>
          <t>80 x 1450</t>
        </is>
      </c>
      <c r="F244" s="28" t="inlineStr">
        <is>
          <t>TOZKONTROL-IYP2-RAMPASIZ</t>
        </is>
      </c>
      <c r="G244" s="29" t="inlineStr">
        <is>
          <t>Kapı Önü Paspası</t>
        </is>
      </c>
      <c r="H244" s="30" t="inlineStr">
        <is>
          <t>Paspas Yap</t>
        </is>
      </c>
      <c r="I244" s="31" t="n">
        <v>93.0</v>
      </c>
      <c r="J244" s="32" t="n">
        <v>15968.0</v>
      </c>
      <c r="K244" s="33" t="n">
        <v>11212.04</v>
      </c>
      <c r="L244" s="34" t="n">
        <v>22.0</v>
      </c>
      <c r="M244" s="35" t="n">
        <v>7493.97</v>
      </c>
      <c r="N244" s="36" t="inlineStr">
        <is>
          <t>25 Ağustos 08.00-1 Eylül 07.59</t>
        </is>
      </c>
      <c r="O244" s="37" t="n">
        <v>11.5</v>
      </c>
      <c r="P244" s="38" t="n">
        <v>11212.04</v>
      </c>
      <c r="Q244" s="39"/>
      <c r="R244" s="40" t="n">
        <f>=IF(AND(ISBLANK(Q244), ISBLANK(U244)), "", "7 Günlük Fiyat")</f>
        <v>0.0</v>
      </c>
      <c r="S244" s="41" t="n">
        <f>=IF(OR(Q244="", R244=""), "-", IF(ISNUMBER(SEARCH("7 Günlük", R244)), IF(Q244&lt;=M244, O244, "-"), "-"))</f>
        <v>0.0</v>
      </c>
      <c r="T244" s="42" t="str">
        <f>=IF(ISBLANK(Q244), "", "Hayır")</f>
      </c>
      <c r="U244" s="43"/>
      <c r="V244" s="44" t="inlineStr">
        <is>
          <t>50461ed1-c2c8-4393-967e-55d58a3e2664</t>
        </is>
      </c>
    </row>
    <row r="245">
      <c r="A245" s="23" t="inlineStr">
        <is>
          <t>Toz Ve Nem Alıcı Paspas Iş Yeri Paspası Iç Ve Dış Mekan Paspası Giriş Paspası Kapı Paspası</t>
        </is>
      </c>
      <c r="B245" s="24" t="inlineStr">
        <is>
          <t>780278960</t>
        </is>
      </c>
      <c r="C245" s="25" t="inlineStr">
        <is>
          <t>TOZKONTROL-IYP2-RAMPASIZ-GRI-120150</t>
        </is>
      </c>
      <c r="D245" s="26" t="inlineStr">
        <is>
          <t>TOZKONTROL-IYP2-RAMPASIZ-GRI-120150</t>
        </is>
      </c>
      <c r="E245" s="27" t="inlineStr">
        <is>
          <t>120 x 150</t>
        </is>
      </c>
      <c r="F245" s="28" t="inlineStr">
        <is>
          <t>TOZKONTROL-IYP2-RAMPASIZ</t>
        </is>
      </c>
      <c r="G245" s="29" t="inlineStr">
        <is>
          <t>Kapı Önü Paspası</t>
        </is>
      </c>
      <c r="H245" s="30" t="inlineStr">
        <is>
          <t>Paspas Yap</t>
        </is>
      </c>
      <c r="I245" s="31" t="n">
        <v>93.0</v>
      </c>
      <c r="J245" s="32" t="n">
        <v>2665.0</v>
      </c>
      <c r="K245" s="33" t="n">
        <v>1918.27</v>
      </c>
      <c r="L245" s="34" t="n">
        <v>21.0</v>
      </c>
      <c r="M245" s="35" t="n">
        <v>1365.57</v>
      </c>
      <c r="N245" s="36" t="inlineStr">
        <is>
          <t>25 Ağustos 08.00-1 Eylül 07.59</t>
        </is>
      </c>
      <c r="O245" s="37" t="n">
        <v>11.7</v>
      </c>
      <c r="P245" s="38" t="n">
        <v>1918.27</v>
      </c>
      <c r="Q245" s="39"/>
      <c r="R245" s="40" t="n">
        <f>=IF(AND(ISBLANK(Q245), ISBLANK(U245)), "", "7 Günlük Fiyat")</f>
        <v>0.0</v>
      </c>
      <c r="S245" s="41" t="n">
        <f>=IF(OR(Q245="", R245=""), "-", IF(ISNUMBER(SEARCH("7 Günlük", R245)), IF(Q245&lt;=M245, O245, "-"), "-"))</f>
        <v>0.0</v>
      </c>
      <c r="T245" s="42" t="str">
        <f>=IF(ISBLANK(Q245), "", "Hayır")</f>
      </c>
      <c r="U245" s="43"/>
      <c r="V245" s="44" t="inlineStr">
        <is>
          <t>50461ed1-c2c8-4393-967e-55d58a3e2664</t>
        </is>
      </c>
    </row>
    <row r="246">
      <c r="A246" s="23" t="inlineStr">
        <is>
          <t>Toz Ve Nem Alıcı Paspas Iş Yeri Paspası Iç Ve Dış Mekan Paspası Giriş Paspası Kapı Paspası</t>
        </is>
      </c>
      <c r="B246" s="24" t="inlineStr">
        <is>
          <t>780278960</t>
        </is>
      </c>
      <c r="C246" s="25" t="inlineStr">
        <is>
          <t>TOZKONTROL-IYP2-RAMPASIZ-GRI-100900</t>
        </is>
      </c>
      <c r="D246" s="26" t="inlineStr">
        <is>
          <t>TOZKONTROL-IYP2-RAMPASIZ-GRI-100900</t>
        </is>
      </c>
      <c r="E246" s="27" t="inlineStr">
        <is>
          <t>100 x 900</t>
        </is>
      </c>
      <c r="F246" s="28" t="inlineStr">
        <is>
          <t>TOZKONTROL-IYP2-RAMPASIZ</t>
        </is>
      </c>
      <c r="G246" s="29" t="inlineStr">
        <is>
          <t>Kapı Önü Paspası</t>
        </is>
      </c>
      <c r="H246" s="30" t="inlineStr">
        <is>
          <t>Paspas Yap</t>
        </is>
      </c>
      <c r="I246" s="31" t="n">
        <v>93.0</v>
      </c>
      <c r="J246" s="32" t="n">
        <v>12300.0</v>
      </c>
      <c r="K246" s="33" t="n">
        <v>8641.28</v>
      </c>
      <c r="L246" s="34" t="n">
        <v>22.0</v>
      </c>
      <c r="M246" s="35" t="n">
        <v>5717.95</v>
      </c>
      <c r="N246" s="36" t="inlineStr">
        <is>
          <t>25 Ağustos 08.00-1 Eylül 07.59</t>
        </is>
      </c>
      <c r="O246" s="37" t="n">
        <v>11.2</v>
      </c>
      <c r="P246" s="38" t="n">
        <v>8641.28</v>
      </c>
      <c r="Q246" s="39"/>
      <c r="R246" s="40" t="n">
        <f>=IF(AND(ISBLANK(Q246), ISBLANK(U246)), "", "7 Günlük Fiyat")</f>
        <v>0.0</v>
      </c>
      <c r="S246" s="41" t="n">
        <f>=IF(OR(Q246="", R246=""), "-", IF(ISNUMBER(SEARCH("7 Günlük", R246)), IF(Q246&lt;=M246, O246, "-"), "-"))</f>
        <v>0.0</v>
      </c>
      <c r="T246" s="42" t="str">
        <f>=IF(ISBLANK(Q246), "", "Hayır")</f>
      </c>
      <c r="U246" s="43"/>
      <c r="V246" s="44" t="inlineStr">
        <is>
          <t>50461ed1-c2c8-4393-967e-55d58a3e2664</t>
        </is>
      </c>
    </row>
    <row r="247">
      <c r="A247" s="23" t="inlineStr">
        <is>
          <t>Toz Ve Nem Alıcı Paspas Iş Yeri Paspası Iç Ve Dış Mekan Paspası Giriş Paspası Kapı Paspası</t>
        </is>
      </c>
      <c r="B247" s="24" t="inlineStr">
        <is>
          <t>780278960</t>
        </is>
      </c>
      <c r="C247" s="25" t="inlineStr">
        <is>
          <t>TOZKONTROL-IYP2-RAMPASIZ-GRI-801200</t>
        </is>
      </c>
      <c r="D247" s="26" t="inlineStr">
        <is>
          <t>TOZKONTROL-IYP2-RAMPASIZ-GRI-801200</t>
        </is>
      </c>
      <c r="E247" s="27" t="inlineStr">
        <is>
          <t>80 x 1200</t>
        </is>
      </c>
      <c r="F247" s="28" t="inlineStr">
        <is>
          <t>TOZKONTROL-IYP2-RAMPASIZ</t>
        </is>
      </c>
      <c r="G247" s="29" t="inlineStr">
        <is>
          <t>Kapı Önü Paspası</t>
        </is>
      </c>
      <c r="H247" s="30" t="inlineStr">
        <is>
          <t>Paspas Yap</t>
        </is>
      </c>
      <c r="I247" s="31" t="n">
        <v>93.0</v>
      </c>
      <c r="J247" s="32" t="n">
        <v>13163.0</v>
      </c>
      <c r="K247" s="33" t="n">
        <v>9235.28</v>
      </c>
      <c r="L247" s="34" t="n">
        <v>22.0</v>
      </c>
      <c r="M247" s="35" t="n">
        <v>6043.06</v>
      </c>
      <c r="N247" s="36" t="inlineStr">
        <is>
          <t>25 Ağustos 08.00-1 Eylül 07.59</t>
        </is>
      </c>
      <c r="O247" s="37" t="n">
        <v>11.0</v>
      </c>
      <c r="P247" s="38" t="n">
        <v>9235.28</v>
      </c>
      <c r="Q247" s="39"/>
      <c r="R247" s="40" t="n">
        <f>=IF(AND(ISBLANK(Q247), ISBLANK(U247)), "", "7 Günlük Fiyat")</f>
        <v>0.0</v>
      </c>
      <c r="S247" s="41" t="n">
        <f>=IF(OR(Q247="", R247=""), "-", IF(ISNUMBER(SEARCH("7 Günlük", R247)), IF(Q247&lt;=M247, O247, "-"), "-"))</f>
        <v>0.0</v>
      </c>
      <c r="T247" s="42" t="str">
        <f>=IF(ISBLANK(Q247), "", "Hayır")</f>
      </c>
      <c r="U247" s="43"/>
      <c r="V247" s="44" t="inlineStr">
        <is>
          <t>50461ed1-c2c8-4393-967e-55d58a3e2664</t>
        </is>
      </c>
    </row>
    <row r="248">
      <c r="A248" s="23" t="inlineStr">
        <is>
          <t>Toz Ve Nem Alıcı Paspas Iş Yeri Paspası Iç Ve Dış Mekan Paspası Giriş Paspası Kapı Paspası</t>
        </is>
      </c>
      <c r="B248" s="24" t="inlineStr">
        <is>
          <t>780278960</t>
        </is>
      </c>
      <c r="C248" s="25" t="inlineStr">
        <is>
          <t>TOZKONTROL-IYP2-RAMPASIZ-GRI-80850</t>
        </is>
      </c>
      <c r="D248" s="26" t="inlineStr">
        <is>
          <t>TOZKONTROL-IYP2-RAMPASIZ-GRI-80850</t>
        </is>
      </c>
      <c r="E248" s="27" t="inlineStr">
        <is>
          <t>80 x 850</t>
        </is>
      </c>
      <c r="F248" s="28" t="inlineStr">
        <is>
          <t>TOZKONTROL-IYP2-RAMPASIZ</t>
        </is>
      </c>
      <c r="G248" s="29" t="inlineStr">
        <is>
          <t>Kapı Önü Paspası</t>
        </is>
      </c>
      <c r="H248" s="30" t="inlineStr">
        <is>
          <t>Paspas Yap</t>
        </is>
      </c>
      <c r="I248" s="31" t="n">
        <v>93.0</v>
      </c>
      <c r="J248" s="32" t="n">
        <v>9213.0</v>
      </c>
      <c r="K248" s="33" t="n">
        <v>6423.99</v>
      </c>
      <c r="L248" s="34" t="n">
        <v>22.0</v>
      </c>
      <c r="M248" s="35" t="n">
        <v>4238.47</v>
      </c>
      <c r="N248" s="36" t="inlineStr">
        <is>
          <t>25 Ağustos 08.00-1 Eylül 07.59</t>
        </is>
      </c>
      <c r="O248" s="37" t="n">
        <v>11.1</v>
      </c>
      <c r="P248" s="38" t="n">
        <v>6423.99</v>
      </c>
      <c r="Q248" s="39"/>
      <c r="R248" s="40" t="n">
        <f>=IF(AND(ISBLANK(Q248), ISBLANK(U248)), "", "7 Günlük Fiyat")</f>
        <v>0.0</v>
      </c>
      <c r="S248" s="41" t="n">
        <f>=IF(OR(Q248="", R248=""), "-", IF(ISNUMBER(SEARCH("7 Günlük", R248)), IF(Q248&lt;=M248, O248, "-"), "-"))</f>
        <v>0.0</v>
      </c>
      <c r="T248" s="42" t="str">
        <f>=IF(ISBLANK(Q248), "", "Hayır")</f>
      </c>
      <c r="U248" s="43"/>
      <c r="V248" s="44" t="inlineStr">
        <is>
          <t>50461ed1-c2c8-4393-967e-55d58a3e2664</t>
        </is>
      </c>
    </row>
    <row r="249">
      <c r="A249" s="23" t="inlineStr">
        <is>
          <t>Toz Ve Nem Alıcı Paspas Iş Yeri Paspası Iç Ve Dış Mekan Paspası Giriş Paspası Kapı Paspası</t>
        </is>
      </c>
      <c r="B249" s="24" t="inlineStr">
        <is>
          <t>780278960</t>
        </is>
      </c>
      <c r="C249" s="25" t="inlineStr">
        <is>
          <t>TOZKONTROL-IYP2-RAMPASIZ-GRI-120250</t>
        </is>
      </c>
      <c r="D249" s="26" t="inlineStr">
        <is>
          <t>TOZKONTROL-IYP2-RAMPASIZ-GRI-120250</t>
        </is>
      </c>
      <c r="E249" s="27" t="inlineStr">
        <is>
          <t>120 x 250</t>
        </is>
      </c>
      <c r="F249" s="28" t="inlineStr">
        <is>
          <t>TOZKONTROL-IYP2-RAMPASIZ</t>
        </is>
      </c>
      <c r="G249" s="29" t="inlineStr">
        <is>
          <t>Kapı Önü Paspası</t>
        </is>
      </c>
      <c r="H249" s="30" t="inlineStr">
        <is>
          <t>Paspas Yap</t>
        </is>
      </c>
      <c r="I249" s="31" t="n">
        <v>93.0</v>
      </c>
      <c r="J249" s="32" t="n">
        <v>4191.0</v>
      </c>
      <c r="K249" s="33" t="n">
        <v>2934.19</v>
      </c>
      <c r="L249" s="34" t="n">
        <v>22.0</v>
      </c>
      <c r="M249" s="35" t="n">
        <v>1979.97</v>
      </c>
      <c r="N249" s="36" t="inlineStr">
        <is>
          <t>25 Ağustos 08.00-1 Eylül 07.59</t>
        </is>
      </c>
      <c r="O249" s="37" t="n">
        <v>11.5</v>
      </c>
      <c r="P249" s="38" t="n">
        <v>2934.19</v>
      </c>
      <c r="Q249" s="39"/>
      <c r="R249" s="40" t="n">
        <f>=IF(AND(ISBLANK(Q249), ISBLANK(U249)), "", "7 Günlük Fiyat")</f>
        <v>0.0</v>
      </c>
      <c r="S249" s="41" t="n">
        <f>=IF(OR(Q249="", R249=""), "-", IF(ISNUMBER(SEARCH("7 Günlük", R249)), IF(Q249&lt;=M249, O249, "-"), "-"))</f>
        <v>0.0</v>
      </c>
      <c r="T249" s="42" t="str">
        <f>=IF(ISBLANK(Q249), "", "Hayır")</f>
      </c>
      <c r="U249" s="43"/>
      <c r="V249" s="44" t="inlineStr">
        <is>
          <t>50461ed1-c2c8-4393-967e-55d58a3e2664</t>
        </is>
      </c>
    </row>
    <row r="250">
      <c r="A250" s="23" t="inlineStr">
        <is>
          <t>Toz Ve Nem Alıcı Paspas Iş Yeri Paspası Iç Ve Dış Mekan Paspası Giriş Paspası Kapı Paspası</t>
        </is>
      </c>
      <c r="B250" s="24" t="inlineStr">
        <is>
          <t>780278960</t>
        </is>
      </c>
      <c r="C250" s="25" t="inlineStr">
        <is>
          <t>TOZKONTROL-IYP2-RAMPASIZ-GRI-60x120</t>
        </is>
      </c>
      <c r="D250" s="26" t="inlineStr">
        <is>
          <t>TOZKONTROL-IYP2-RAMPASIZ-GRI-60x120</t>
        </is>
      </c>
      <c r="E250" s="27" t="inlineStr">
        <is>
          <t>60 x 120</t>
        </is>
      </c>
      <c r="F250" s="28" t="inlineStr">
        <is>
          <t>TOZKONTROL-IYP2-RAMPASIZ</t>
        </is>
      </c>
      <c r="G250" s="29" t="inlineStr">
        <is>
          <t>Kapı Önü Paspası</t>
        </is>
      </c>
      <c r="H250" s="30" t="inlineStr">
        <is>
          <t>Paspas Yap</t>
        </is>
      </c>
      <c r="I250" s="31" t="n">
        <v>92.0</v>
      </c>
      <c r="J250" s="32" t="n">
        <v>1264.0</v>
      </c>
      <c r="K250" s="33" t="n">
        <v>964.27</v>
      </c>
      <c r="L250" s="34" t="n">
        <v>22.0</v>
      </c>
      <c r="M250" s="35" t="n">
        <v>722.43</v>
      </c>
      <c r="N250" s="36" t="inlineStr">
        <is>
          <t>25 Ağustos 08.00-1 Eylül 07.59</t>
        </is>
      </c>
      <c r="O250" s="37" t="n">
        <v>15.4</v>
      </c>
      <c r="P250" s="38" t="n">
        <v>964.27</v>
      </c>
      <c r="Q250" s="39"/>
      <c r="R250" s="40" t="n">
        <f>=IF(AND(ISBLANK(Q250), ISBLANK(U250)), "", "7 Günlük Fiyat")</f>
        <v>0.0</v>
      </c>
      <c r="S250" s="41" t="n">
        <f>=IF(OR(Q250="", R250=""), "-", IF(ISNUMBER(SEARCH("7 Günlük", R250)), IF(Q250&lt;=M250, O250, "-"), "-"))</f>
        <v>0.0</v>
      </c>
      <c r="T250" s="42" t="str">
        <f>=IF(ISBLANK(Q250), "", "Hayır")</f>
      </c>
      <c r="U250" s="43"/>
      <c r="V250" s="44" t="inlineStr">
        <is>
          <t>50461ed1-c2c8-4393-967e-55d58a3e2664</t>
        </is>
      </c>
    </row>
    <row r="251">
      <c r="A251" s="23" t="inlineStr">
        <is>
          <t>Toz Ve Nem Alıcı Paspas Iş Yeri Paspası Iç Ve Dış Mekan Paspası Giriş Paspası Kapı Paspası</t>
        </is>
      </c>
      <c r="B251" s="24" t="inlineStr">
        <is>
          <t>780278960</t>
        </is>
      </c>
      <c r="C251" s="25" t="inlineStr">
        <is>
          <t>TOZKONTROL-IYP2-RAMPASIZ-GRI-1001350</t>
        </is>
      </c>
      <c r="D251" s="26" t="inlineStr">
        <is>
          <t>TOZKONTROL-IYP2-RAMPASIZ-GRI-1001350</t>
        </is>
      </c>
      <c r="E251" s="27" t="inlineStr">
        <is>
          <t>100 x 1350</t>
        </is>
      </c>
      <c r="F251" s="28" t="inlineStr">
        <is>
          <t>TOZKONTROL-IYP2-RAMPASIZ</t>
        </is>
      </c>
      <c r="G251" s="29" t="inlineStr">
        <is>
          <t>Kapı Önü Paspası</t>
        </is>
      </c>
      <c r="H251" s="30" t="inlineStr">
        <is>
          <t>Paspas Yap</t>
        </is>
      </c>
      <c r="I251" s="31" t="n">
        <v>93.0</v>
      </c>
      <c r="J251" s="32" t="n">
        <v>18771.0</v>
      </c>
      <c r="K251" s="33" t="n">
        <v>13214.09</v>
      </c>
      <c r="L251" s="34" t="n">
        <v>22.0</v>
      </c>
      <c r="M251" s="35" t="n">
        <v>8810.95</v>
      </c>
      <c r="N251" s="36" t="inlineStr">
        <is>
          <t>25 Ağustos 08.00-1 Eylül 07.59</t>
        </is>
      </c>
      <c r="O251" s="37" t="n">
        <v>12.1</v>
      </c>
      <c r="P251" s="38" t="n">
        <v>13214.09</v>
      </c>
      <c r="Q251" s="39"/>
      <c r="R251" s="40" t="n">
        <f>=IF(AND(ISBLANK(Q251), ISBLANK(U251)), "", "7 Günlük Fiyat")</f>
        <v>0.0</v>
      </c>
      <c r="S251" s="41" t="n">
        <f>=IF(OR(Q251="", R251=""), "-", IF(ISNUMBER(SEARCH("7 Günlük", R251)), IF(Q251&lt;=M251, O251, "-"), "-"))</f>
        <v>0.0</v>
      </c>
      <c r="T251" s="42" t="str">
        <f>=IF(ISBLANK(Q251), "", "Hayır")</f>
      </c>
      <c r="U251" s="43"/>
      <c r="V251" s="44" t="inlineStr">
        <is>
          <t>50461ed1-c2c8-4393-967e-55d58a3e2664</t>
        </is>
      </c>
    </row>
    <row r="252">
      <c r="A252" s="23" t="inlineStr">
        <is>
          <t>Toz Ve Nem Alıcı Paspas Iş Yeri Paspası Iç Ve Dış Mekan Paspası Giriş Paspası Kapı Paspası</t>
        </is>
      </c>
      <c r="B252" s="24" t="inlineStr">
        <is>
          <t>780278960</t>
        </is>
      </c>
      <c r="C252" s="25" t="inlineStr">
        <is>
          <t>TOZKONTROL-IYP2-RAMPASIZ-GRI-80450</t>
        </is>
      </c>
      <c r="D252" s="26" t="inlineStr">
        <is>
          <t>TOZKONTROL-IYP2-RAMPASIZ-GRI-80450</t>
        </is>
      </c>
      <c r="E252" s="27" t="inlineStr">
        <is>
          <t>80 x 450</t>
        </is>
      </c>
      <c r="F252" s="28" t="inlineStr">
        <is>
          <t>TOZKONTROL-IYP2-RAMPASIZ</t>
        </is>
      </c>
      <c r="G252" s="29" t="inlineStr">
        <is>
          <t>Kapı Önü Paspası</t>
        </is>
      </c>
      <c r="H252" s="30" t="inlineStr">
        <is>
          <t>Paspas Yap</t>
        </is>
      </c>
      <c r="I252" s="31" t="n">
        <v>93.0</v>
      </c>
      <c r="J252" s="32" t="n">
        <v>5014.0</v>
      </c>
      <c r="K252" s="33" t="n">
        <v>3448.64</v>
      </c>
      <c r="L252" s="34" t="n">
        <v>22.0</v>
      </c>
      <c r="M252" s="35" t="n">
        <v>2292.78</v>
      </c>
      <c r="N252" s="36" t="inlineStr">
        <is>
          <t>25 Ağustos 08.00-1 Eylül 07.59</t>
        </is>
      </c>
      <c r="O252" s="37" t="n">
        <v>11.0</v>
      </c>
      <c r="P252" s="38" t="n">
        <v>3448.64</v>
      </c>
      <c r="Q252" s="39"/>
      <c r="R252" s="40" t="n">
        <f>=IF(AND(ISBLANK(Q252), ISBLANK(U252)), "", "7 Günlük Fiyat")</f>
        <v>0.0</v>
      </c>
      <c r="S252" s="41" t="n">
        <f>=IF(OR(Q252="", R252=""), "-", IF(ISNUMBER(SEARCH("7 Günlük", R252)), IF(Q252&lt;=M252, O252, "-"), "-"))</f>
        <v>0.0</v>
      </c>
      <c r="T252" s="42" t="str">
        <f>=IF(ISBLANK(Q252), "", "Hayır")</f>
      </c>
      <c r="U252" s="43"/>
      <c r="V252" s="44" t="inlineStr">
        <is>
          <t>50461ed1-c2c8-4393-967e-55d58a3e2664</t>
        </is>
      </c>
    </row>
    <row r="253">
      <c r="A253" s="23" t="inlineStr">
        <is>
          <t>Toz Ve Nem Alıcı Paspas Iş Yeri Paspası Iç Ve Dış Mekan Paspası Giriş Paspası Kapı Paspası</t>
        </is>
      </c>
      <c r="B253" s="24" t="inlineStr">
        <is>
          <t>780278960</t>
        </is>
      </c>
      <c r="C253" s="25" t="inlineStr">
        <is>
          <t>TOZKONTROL-IYP2-RAMPASIZ-GRI-80900</t>
        </is>
      </c>
      <c r="D253" s="26" t="inlineStr">
        <is>
          <t>TOZKONTROL-IYP2-RAMPASIZ-GRI-80900</t>
        </is>
      </c>
      <c r="E253" s="27" t="inlineStr">
        <is>
          <t>80 x 900</t>
        </is>
      </c>
      <c r="F253" s="28" t="inlineStr">
        <is>
          <t>TOZKONTROL-IYP2-RAMPASIZ</t>
        </is>
      </c>
      <c r="G253" s="29" t="inlineStr">
        <is>
          <t>Kapı Önü Paspası</t>
        </is>
      </c>
      <c r="H253" s="30" t="inlineStr">
        <is>
          <t>Paspas Yap</t>
        </is>
      </c>
      <c r="I253" s="31" t="n">
        <v>93.0</v>
      </c>
      <c r="J253" s="32" t="n">
        <v>9731.0</v>
      </c>
      <c r="K253" s="33" t="n">
        <v>6833.64</v>
      </c>
      <c r="L253" s="34" t="n">
        <v>22.0</v>
      </c>
      <c r="M253" s="35" t="n">
        <v>4560.94</v>
      </c>
      <c r="N253" s="36" t="inlineStr">
        <is>
          <t>25 Ağustos 08.00-1 Eylül 07.59</t>
        </is>
      </c>
      <c r="O253" s="37" t="n">
        <v>11.3</v>
      </c>
      <c r="P253" s="38" t="n">
        <v>6833.64</v>
      </c>
      <c r="Q253" s="39"/>
      <c r="R253" s="40" t="n">
        <f>=IF(AND(ISBLANK(Q253), ISBLANK(U253)), "", "7 Günlük Fiyat")</f>
        <v>0.0</v>
      </c>
      <c r="S253" s="41" t="n">
        <f>=IF(OR(Q253="", R253=""), "-", IF(ISNUMBER(SEARCH("7 Günlük", R253)), IF(Q253&lt;=M253, O253, "-"), "-"))</f>
        <v>0.0</v>
      </c>
      <c r="T253" s="42" t="str">
        <f>=IF(ISBLANK(Q253), "", "Hayır")</f>
      </c>
      <c r="U253" s="43"/>
      <c r="V253" s="44" t="inlineStr">
        <is>
          <t>50461ed1-c2c8-4393-967e-55d58a3e2664</t>
        </is>
      </c>
    </row>
    <row r="254">
      <c r="A254" s="23" t="inlineStr">
        <is>
          <t>Toz Ve Nem Alıcı Paspas Iş Yeri Paspası Iç Ve Dış Mekan Paspası Giriş Paspası Kapı Paspası</t>
        </is>
      </c>
      <c r="B254" s="24" t="inlineStr">
        <is>
          <t>780278960</t>
        </is>
      </c>
      <c r="C254" s="25" t="inlineStr">
        <is>
          <t>TOZKONTROL-IYP2-RAMPASIZ-GRI-80x120</t>
        </is>
      </c>
      <c r="D254" s="26" t="inlineStr">
        <is>
          <t>TOZKONTROL-IYP2-RAMPASIZ-GRI-80x120</t>
        </is>
      </c>
      <c r="E254" s="27" t="inlineStr">
        <is>
          <t>80 x 120</t>
        </is>
      </c>
      <c r="F254" s="28" t="inlineStr">
        <is>
          <t>TOZKONTROL-IYP2-RAMPASIZ</t>
        </is>
      </c>
      <c r="G254" s="29" t="inlineStr">
        <is>
          <t>Kapı Önü Paspası</t>
        </is>
      </c>
      <c r="H254" s="30" t="inlineStr">
        <is>
          <t>Paspas Yap</t>
        </is>
      </c>
      <c r="I254" s="31" t="n">
        <v>93.0</v>
      </c>
      <c r="J254" s="32" t="n">
        <v>1571.0</v>
      </c>
      <c r="K254" s="33" t="n">
        <v>1257.93</v>
      </c>
      <c r="L254" s="34" t="n">
        <v>22.0</v>
      </c>
      <c r="M254" s="35" t="n">
        <v>857.47</v>
      </c>
      <c r="N254" s="36" t="inlineStr">
        <is>
          <t>25 Ağustos 08.00-1 Eylül 07.59</t>
        </is>
      </c>
      <c r="O254" s="37" t="n">
        <v>12.6</v>
      </c>
      <c r="P254" s="38" t="n">
        <v>1257.93</v>
      </c>
      <c r="Q254" s="39"/>
      <c r="R254" s="40" t="n">
        <f>=IF(AND(ISBLANK(Q254), ISBLANK(U254)), "", "7 Günlük Fiyat")</f>
        <v>0.0</v>
      </c>
      <c r="S254" s="41" t="n">
        <f>=IF(OR(Q254="", R254=""), "-", IF(ISNUMBER(SEARCH("7 Günlük", R254)), IF(Q254&lt;=M254, O254, "-"), "-"))</f>
        <v>0.0</v>
      </c>
      <c r="T254" s="42" t="str">
        <f>=IF(ISBLANK(Q254), "", "Hayır")</f>
      </c>
      <c r="U254" s="43"/>
      <c r="V254" s="44" t="inlineStr">
        <is>
          <t>50461ed1-c2c8-4393-967e-55d58a3e2664</t>
        </is>
      </c>
    </row>
    <row r="255">
      <c r="A255" s="23" t="inlineStr">
        <is>
          <t>Toz Ve Nem Alıcı Paspas Iş Yeri Paspası Iç Ve Dış Mekan Paspası Giriş Paspası Kapı Paspası</t>
        </is>
      </c>
      <c r="B255" s="24" t="inlineStr">
        <is>
          <t>780278960</t>
        </is>
      </c>
      <c r="C255" s="25" t="inlineStr">
        <is>
          <t>TOZKONTROL-IYP2-RAMPASIZ-GRI-100x300</t>
        </is>
      </c>
      <c r="D255" s="26" t="inlineStr">
        <is>
          <t>TOZKONTROL-IYP2-RAMPASIZ-GRI-100x300</t>
        </is>
      </c>
      <c r="E255" s="27" t="inlineStr">
        <is>
          <t>100 x 300</t>
        </is>
      </c>
      <c r="F255" s="28" t="inlineStr">
        <is>
          <t>TOZKONTROL-IYP2-RAMPASIZ</t>
        </is>
      </c>
      <c r="G255" s="29" t="inlineStr">
        <is>
          <t>Kapı Önü Paspası</t>
        </is>
      </c>
      <c r="H255" s="30" t="inlineStr">
        <is>
          <t>Paspas Yap</t>
        </is>
      </c>
      <c r="I255" s="31" t="n">
        <v>93.0</v>
      </c>
      <c r="J255" s="32" t="n">
        <v>4191.0</v>
      </c>
      <c r="K255" s="33" t="n">
        <v>2881.6</v>
      </c>
      <c r="L255" s="34" t="n">
        <v>22.0</v>
      </c>
      <c r="M255" s="35" t="n">
        <v>1916.95</v>
      </c>
      <c r="N255" s="36" t="inlineStr">
        <is>
          <t>25 Ağustos 08.00-1 Eylül 07.59</t>
        </is>
      </c>
      <c r="O255" s="37" t="n">
        <v>11.3</v>
      </c>
      <c r="P255" s="38" t="n">
        <v>2881.6</v>
      </c>
      <c r="Q255" s="39"/>
      <c r="R255" s="40" t="n">
        <f>=IF(AND(ISBLANK(Q255), ISBLANK(U255)), "", "7 Günlük Fiyat")</f>
        <v>0.0</v>
      </c>
      <c r="S255" s="41" t="n">
        <f>=IF(OR(Q255="", R255=""), "-", IF(ISNUMBER(SEARCH("7 Günlük", R255)), IF(Q255&lt;=M255, O255, "-"), "-"))</f>
        <v>0.0</v>
      </c>
      <c r="T255" s="42" t="str">
        <f>=IF(ISBLANK(Q255), "", "Hayır")</f>
      </c>
      <c r="U255" s="43"/>
      <c r="V255" s="44" t="inlineStr">
        <is>
          <t>50461ed1-c2c8-4393-967e-55d58a3e2664</t>
        </is>
      </c>
    </row>
    <row r="256">
      <c r="A256" s="23" t="inlineStr">
        <is>
          <t>Toz Ve Nem Alıcı Paspas Iş Yeri Paspası Iç Ve Dış Mekan Paspası Giriş Paspası Kapı Paspası</t>
        </is>
      </c>
      <c r="B256" s="24" t="inlineStr">
        <is>
          <t>780278960</t>
        </is>
      </c>
      <c r="C256" s="25" t="inlineStr">
        <is>
          <t>TOZKONTROL-IYP2-RAMPASIZ-GRI-1001400</t>
        </is>
      </c>
      <c r="D256" s="26" t="inlineStr">
        <is>
          <t>TOZKONTROL-IYP2-RAMPASIZ-GRI-1001400</t>
        </is>
      </c>
      <c r="E256" s="27" t="inlineStr">
        <is>
          <t>100 x 1400</t>
        </is>
      </c>
      <c r="F256" s="28" t="inlineStr">
        <is>
          <t>TOZKONTROL-IYP2-RAMPASIZ</t>
        </is>
      </c>
      <c r="G256" s="29" t="inlineStr">
        <is>
          <t>Kapı Önü Paspası</t>
        </is>
      </c>
      <c r="H256" s="30" t="inlineStr">
        <is>
          <t>Paspas Yap</t>
        </is>
      </c>
      <c r="I256" s="31" t="n">
        <v>93.0</v>
      </c>
      <c r="J256" s="32" t="n">
        <v>19423.0</v>
      </c>
      <c r="K256" s="33" t="n">
        <v>13681.03</v>
      </c>
      <c r="L256" s="34" t="n">
        <v>22.0</v>
      </c>
      <c r="M256" s="35" t="n">
        <v>9109.94</v>
      </c>
      <c r="N256" s="36" t="inlineStr">
        <is>
          <t>25 Ağustos 08.00-1 Eylül 07.59</t>
        </is>
      </c>
      <c r="O256" s="37" t="n">
        <v>11.3</v>
      </c>
      <c r="P256" s="38" t="n">
        <v>13681.03</v>
      </c>
      <c r="Q256" s="39"/>
      <c r="R256" s="40" t="n">
        <f>=IF(AND(ISBLANK(Q256), ISBLANK(U256)), "", "7 Günlük Fiyat")</f>
        <v>0.0</v>
      </c>
      <c r="S256" s="41" t="n">
        <f>=IF(OR(Q256="", R256=""), "-", IF(ISNUMBER(SEARCH("7 Günlük", R256)), IF(Q256&lt;=M256, O256, "-"), "-"))</f>
        <v>0.0</v>
      </c>
      <c r="T256" s="42" t="str">
        <f>=IF(ISBLANK(Q256), "", "Hayır")</f>
      </c>
      <c r="U256" s="43"/>
      <c r="V256" s="44" t="inlineStr">
        <is>
          <t>50461ed1-c2c8-4393-967e-55d58a3e2664</t>
        </is>
      </c>
    </row>
    <row r="257">
      <c r="A257" s="23" t="inlineStr">
        <is>
          <t>Toz Ve Nem Alıcı Paspas Iş Yeri Paspası Iç Ve Dış Mekan Paspası Giriş Paspası Kapı Paspası</t>
        </is>
      </c>
      <c r="B257" s="24" t="inlineStr">
        <is>
          <t>780278960</t>
        </is>
      </c>
      <c r="C257" s="25" t="inlineStr">
        <is>
          <t>TOZKONTROL-IYP2-RAMPASIZ-GRI-120400</t>
        </is>
      </c>
      <c r="D257" s="26" t="inlineStr">
        <is>
          <t>TOZKONTROL-IYP2-RAMPASIZ-GRI-120400</t>
        </is>
      </c>
      <c r="E257" s="27" t="inlineStr">
        <is>
          <t>120 x 400</t>
        </is>
      </c>
      <c r="F257" s="28" t="inlineStr">
        <is>
          <t>TOZKONTROL-IYP2-RAMPASIZ</t>
        </is>
      </c>
      <c r="G257" s="29" t="inlineStr">
        <is>
          <t>Kapı Önü Paspası</t>
        </is>
      </c>
      <c r="H257" s="30" t="inlineStr">
        <is>
          <t>Paspas Yap</t>
        </is>
      </c>
      <c r="I257" s="31" t="n">
        <v>93.0</v>
      </c>
      <c r="J257" s="32" t="n">
        <v>6521.0</v>
      </c>
      <c r="K257" s="33" t="n">
        <v>4561.55</v>
      </c>
      <c r="L257" s="34" t="n">
        <v>22.0</v>
      </c>
      <c r="M257" s="35" t="n">
        <v>3051.16</v>
      </c>
      <c r="N257" s="36" t="inlineStr">
        <is>
          <t>25 Ağustos 08.00-1 Eylül 07.59</t>
        </is>
      </c>
      <c r="O257" s="37" t="n">
        <v>11.3</v>
      </c>
      <c r="P257" s="38" t="n">
        <v>4561.55</v>
      </c>
      <c r="Q257" s="39"/>
      <c r="R257" s="40" t="n">
        <f>=IF(AND(ISBLANK(Q257), ISBLANK(U257)), "", "7 Günlük Fiyat")</f>
        <v>0.0</v>
      </c>
      <c r="S257" s="41" t="n">
        <f>=IF(OR(Q257="", R257=""), "-", IF(ISNUMBER(SEARCH("7 Günlük", R257)), IF(Q257&lt;=M257, O257, "-"), "-"))</f>
        <v>0.0</v>
      </c>
      <c r="T257" s="42" t="str">
        <f>=IF(ISBLANK(Q257), "", "Hayır")</f>
      </c>
      <c r="U257" s="43"/>
      <c r="V257" s="44" t="inlineStr">
        <is>
          <t>50461ed1-c2c8-4393-967e-55d58a3e2664</t>
        </is>
      </c>
    </row>
    <row r="258">
      <c r="A258" s="23" t="inlineStr">
        <is>
          <t>Toz Ve Nem Alıcı Paspas Iş Yeri Paspası Iç Ve Dış Mekan Paspası Giriş Paspası Kapı Paspası</t>
        </is>
      </c>
      <c r="B258" s="24" t="inlineStr">
        <is>
          <t>780278960</t>
        </is>
      </c>
      <c r="C258" s="25" t="inlineStr">
        <is>
          <t>TOZKONTROL-IYP2-RAMPASIZ-GRI-1001100</t>
        </is>
      </c>
      <c r="D258" s="26" t="inlineStr">
        <is>
          <t>TOZKONTROL-IYP2-RAMPASIZ-GRI-1001100</t>
        </is>
      </c>
      <c r="E258" s="27" t="inlineStr">
        <is>
          <t>100 x 1100</t>
        </is>
      </c>
      <c r="F258" s="28" t="inlineStr">
        <is>
          <t>TOZKONTROL-IYP2-RAMPASIZ</t>
        </is>
      </c>
      <c r="G258" s="29" t="inlineStr">
        <is>
          <t>Kapı Önü Paspası</t>
        </is>
      </c>
      <c r="H258" s="30" t="inlineStr">
        <is>
          <t>Paspas Yap</t>
        </is>
      </c>
      <c r="I258" s="31" t="n">
        <v>93.0</v>
      </c>
      <c r="J258" s="32" t="n">
        <v>15206.0</v>
      </c>
      <c r="K258" s="33" t="n">
        <v>10728.29</v>
      </c>
      <c r="L258" s="34" t="n">
        <v>22.0</v>
      </c>
      <c r="M258" s="35" t="n">
        <v>7095.38</v>
      </c>
      <c r="N258" s="36" t="inlineStr">
        <is>
          <t>25 Ağustos 08.00-1 Eylül 07.59</t>
        </is>
      </c>
      <c r="O258" s="37" t="n">
        <v>11.3</v>
      </c>
      <c r="P258" s="38" t="n">
        <v>10728.29</v>
      </c>
      <c r="Q258" s="39"/>
      <c r="R258" s="40" t="n">
        <f>=IF(AND(ISBLANK(Q258), ISBLANK(U258)), "", "7 Günlük Fiyat")</f>
        <v>0.0</v>
      </c>
      <c r="S258" s="41" t="n">
        <f>=IF(OR(Q258="", R258=""), "-", IF(ISNUMBER(SEARCH("7 Günlük", R258)), IF(Q258&lt;=M258, O258, "-"), "-"))</f>
        <v>0.0</v>
      </c>
      <c r="T258" s="42" t="str">
        <f>=IF(ISBLANK(Q258), "", "Hayır")</f>
      </c>
      <c r="U258" s="43"/>
      <c r="V258" s="44" t="inlineStr">
        <is>
          <t>50461ed1-c2c8-4393-967e-55d58a3e2664</t>
        </is>
      </c>
    </row>
    <row r="259">
      <c r="A259" s="23" t="inlineStr">
        <is>
          <t>Toz Ve Nem Alıcı Paspas Iş Yeri Paspası Iç Ve Dış Mekan Paspası Giriş Paspası Kapı Paspası</t>
        </is>
      </c>
      <c r="B259" s="24" t="inlineStr">
        <is>
          <t>780278960</t>
        </is>
      </c>
      <c r="C259" s="25" t="inlineStr">
        <is>
          <t>TOZKONTROL-IYP2-RAMPASIZ-GRI-120x180</t>
        </is>
      </c>
      <c r="D259" s="26" t="inlineStr">
        <is>
          <t>TOZKONTROL-IYP2-RAMPASIZ-GRI-120x180</t>
        </is>
      </c>
      <c r="E259" s="27" t="inlineStr">
        <is>
          <t>120 x 180</t>
        </is>
      </c>
      <c r="F259" s="28" t="inlineStr">
        <is>
          <t>TOZKONTROL-IYP2-RAMPASIZ</t>
        </is>
      </c>
      <c r="G259" s="29" t="inlineStr">
        <is>
          <t>Kapı Önü Paspası</t>
        </is>
      </c>
      <c r="H259" s="30" t="inlineStr">
        <is>
          <t>Paspas Yap</t>
        </is>
      </c>
      <c r="I259" s="31" t="n">
        <v>93.0</v>
      </c>
      <c r="J259" s="32" t="n">
        <v>3453.0</v>
      </c>
      <c r="K259" s="33" t="n">
        <v>2429.07</v>
      </c>
      <c r="L259" s="34" t="n">
        <v>22.0</v>
      </c>
      <c r="M259" s="35" t="n">
        <v>1659.6</v>
      </c>
      <c r="N259" s="36" t="inlineStr">
        <is>
          <t>25 Ağustos 08.00-1 Eylül 07.59</t>
        </is>
      </c>
      <c r="O259" s="37" t="n">
        <v>11.7</v>
      </c>
      <c r="P259" s="38" t="n">
        <v>2429.07</v>
      </c>
      <c r="Q259" s="39"/>
      <c r="R259" s="40" t="n">
        <f>=IF(AND(ISBLANK(Q259), ISBLANK(U259)), "", "7 Günlük Fiyat")</f>
        <v>0.0</v>
      </c>
      <c r="S259" s="41" t="n">
        <f>=IF(OR(Q259="", R259=""), "-", IF(ISNUMBER(SEARCH("7 Günlük", R259)), IF(Q259&lt;=M259, O259, "-"), "-"))</f>
        <v>0.0</v>
      </c>
      <c r="T259" s="42" t="str">
        <f>=IF(ISBLANK(Q259), "", "Hayır")</f>
      </c>
      <c r="U259" s="43"/>
      <c r="V259" s="44" t="inlineStr">
        <is>
          <t>50461ed1-c2c8-4393-967e-55d58a3e2664</t>
        </is>
      </c>
    </row>
    <row r="260">
      <c r="A260" s="23" t="inlineStr">
        <is>
          <t>Toz Ve Nem Alıcı Paspas Iş Yeri Paspası Iç Ve Dış Mekan Paspası Giriş Paspası Kapı Paspası</t>
        </is>
      </c>
      <c r="B260" s="24" t="inlineStr">
        <is>
          <t>780278960</t>
        </is>
      </c>
      <c r="C260" s="25" t="inlineStr">
        <is>
          <t>TOZKONTROL-IYP2-RAMPASIZ-GRI-100x400</t>
        </is>
      </c>
      <c r="D260" s="26" t="inlineStr">
        <is>
          <t>TOZKONTROL-IYP2-RAMPASIZ-GRI-100x400</t>
        </is>
      </c>
      <c r="E260" s="27" t="inlineStr">
        <is>
          <t>100 x 400</t>
        </is>
      </c>
      <c r="F260" s="28" t="inlineStr">
        <is>
          <t>TOZKONTROL-IYP2-RAMPASIZ</t>
        </is>
      </c>
      <c r="G260" s="29" t="inlineStr">
        <is>
          <t>Kapı Önü Paspası</t>
        </is>
      </c>
      <c r="H260" s="30" t="inlineStr">
        <is>
          <t>Paspas Yap</t>
        </is>
      </c>
      <c r="I260" s="31" t="n">
        <v>93.0</v>
      </c>
      <c r="J260" s="32" t="n">
        <v>5486.0</v>
      </c>
      <c r="K260" s="33" t="n">
        <v>3818.76</v>
      </c>
      <c r="L260" s="34" t="n">
        <v>22.0</v>
      </c>
      <c r="M260" s="35" t="n">
        <v>2515.91</v>
      </c>
      <c r="N260" s="36" t="inlineStr">
        <is>
          <t>25 Ağustos 08.00-1 Eylül 07.59</t>
        </is>
      </c>
      <c r="O260" s="37" t="n">
        <v>10.8</v>
      </c>
      <c r="P260" s="38" t="n">
        <v>3818.76</v>
      </c>
      <c r="Q260" s="39"/>
      <c r="R260" s="40" t="n">
        <f>=IF(AND(ISBLANK(Q260), ISBLANK(U260)), "", "7 Günlük Fiyat")</f>
        <v>0.0</v>
      </c>
      <c r="S260" s="41" t="n">
        <f>=IF(OR(Q260="", R260=""), "-", IF(ISNUMBER(SEARCH("7 Günlük", R260)), IF(Q260&lt;=M260, O260, "-"), "-"))</f>
        <v>0.0</v>
      </c>
      <c r="T260" s="42" t="str">
        <f>=IF(ISBLANK(Q260), "", "Hayır")</f>
      </c>
      <c r="U260" s="43"/>
      <c r="V260" s="44" t="inlineStr">
        <is>
          <t>50461ed1-c2c8-4393-967e-55d58a3e2664</t>
        </is>
      </c>
    </row>
    <row r="261">
      <c r="A261" s="23" t="inlineStr">
        <is>
          <t>Toz Ve Nem Alıcı Paspas Iş Yeri Paspası Iç Ve Dış Mekan Paspası Giriş Paspası Kapı Paspası</t>
        </is>
      </c>
      <c r="B261" s="24" t="inlineStr">
        <is>
          <t>780278960</t>
        </is>
      </c>
      <c r="C261" s="25" t="inlineStr">
        <is>
          <t>TOZKONTROL-IYP2-RAMPASIZ-GRI-100x250</t>
        </is>
      </c>
      <c r="D261" s="26" t="inlineStr">
        <is>
          <t>TOZKONTROL-IYP2-RAMPASIZ-GRI-100x250</t>
        </is>
      </c>
      <c r="E261" s="27" t="inlineStr">
        <is>
          <t>100 x 250</t>
        </is>
      </c>
      <c r="F261" s="28" t="inlineStr">
        <is>
          <t>TOZKONTROL-IYP2-RAMPASIZ</t>
        </is>
      </c>
      <c r="G261" s="29" t="inlineStr">
        <is>
          <t>Kapı Önü Paspası</t>
        </is>
      </c>
      <c r="H261" s="30" t="inlineStr">
        <is>
          <t>Paspas Yap</t>
        </is>
      </c>
      <c r="I261" s="31" t="n">
        <v>93.0</v>
      </c>
      <c r="J261" s="32" t="n">
        <v>3609.0</v>
      </c>
      <c r="K261" s="33" t="n">
        <v>2554.43</v>
      </c>
      <c r="L261" s="34" t="n">
        <v>22.0</v>
      </c>
      <c r="M261" s="35" t="n">
        <v>1719.18</v>
      </c>
      <c r="N261" s="36" t="inlineStr">
        <is>
          <t>25 Ağustos 08.00-1 Eylül 07.59</t>
        </is>
      </c>
      <c r="O261" s="37" t="n">
        <v>11.4</v>
      </c>
      <c r="P261" s="38" t="n">
        <v>2554.43</v>
      </c>
      <c r="Q261" s="39"/>
      <c r="R261" s="40" t="n">
        <f>=IF(AND(ISBLANK(Q261), ISBLANK(U261)), "", "7 Günlük Fiyat")</f>
        <v>0.0</v>
      </c>
      <c r="S261" s="41" t="n">
        <f>=IF(OR(Q261="", R261=""), "-", IF(ISNUMBER(SEARCH("7 Günlük", R261)), IF(Q261&lt;=M261, O261, "-"), "-"))</f>
        <v>0.0</v>
      </c>
      <c r="T261" s="42" t="str">
        <f>=IF(ISBLANK(Q261), "", "Hayır")</f>
      </c>
      <c r="U261" s="43"/>
      <c r="V261" s="44" t="inlineStr">
        <is>
          <t>50461ed1-c2c8-4393-967e-55d58a3e2664</t>
        </is>
      </c>
    </row>
    <row r="262">
      <c r="A262" s="23" t="inlineStr">
        <is>
          <t>Toz Ve Nem Alıcı Paspas Iş Yeri Paspası Iç Ve Dış Mekan Paspası Giriş Paspası Kapı Paspası</t>
        </is>
      </c>
      <c r="B262" s="24" t="inlineStr">
        <is>
          <t>780278960</t>
        </is>
      </c>
      <c r="C262" s="25" t="inlineStr">
        <is>
          <t>TOZKONTROL-IYP2-RAMPASIZ-GRI-1001500</t>
        </is>
      </c>
      <c r="D262" s="26" t="inlineStr">
        <is>
          <t>TOZKONTROL-IYP2-RAMPASIZ-GRI-1001500</t>
        </is>
      </c>
      <c r="E262" s="27" t="inlineStr">
        <is>
          <t>100 x 1500</t>
        </is>
      </c>
      <c r="F262" s="28" t="inlineStr">
        <is>
          <t>TOZKONTROL-IYP2-RAMPASIZ</t>
        </is>
      </c>
      <c r="G262" s="29" t="inlineStr">
        <is>
          <t>Kapı Önü Paspası</t>
        </is>
      </c>
      <c r="H262" s="30" t="inlineStr">
        <is>
          <t>Paspas Yap</t>
        </is>
      </c>
      <c r="I262" s="31" t="n">
        <v>93.0</v>
      </c>
      <c r="J262" s="32" t="n">
        <v>20929.0</v>
      </c>
      <c r="K262" s="33" t="n">
        <v>14450.47</v>
      </c>
      <c r="L262" s="34" t="n">
        <v>22.0</v>
      </c>
      <c r="M262" s="35" t="n">
        <v>9440.5</v>
      </c>
      <c r="N262" s="36" t="inlineStr">
        <is>
          <t>25 Ağustos 08.00-1 Eylül 07.59</t>
        </is>
      </c>
      <c r="O262" s="37" t="n">
        <v>11.0</v>
      </c>
      <c r="P262" s="38" t="n">
        <v>14450.47</v>
      </c>
      <c r="Q262" s="39"/>
      <c r="R262" s="40" t="n">
        <f>=IF(AND(ISBLANK(Q262), ISBLANK(U262)), "", "7 Günlük Fiyat")</f>
        <v>0.0</v>
      </c>
      <c r="S262" s="41" t="n">
        <f>=IF(OR(Q262="", R262=""), "-", IF(ISNUMBER(SEARCH("7 Günlük", R262)), IF(Q262&lt;=M262, O262, "-"), "-"))</f>
        <v>0.0</v>
      </c>
      <c r="T262" s="42" t="str">
        <f>=IF(ISBLANK(Q262), "", "Hayır")</f>
      </c>
      <c r="U262" s="43"/>
      <c r="V262" s="44" t="inlineStr">
        <is>
          <t>50461ed1-c2c8-4393-967e-55d58a3e2664</t>
        </is>
      </c>
    </row>
    <row r="263">
      <c r="A263" s="23" t="inlineStr">
        <is>
          <t>Toz Ve Nem Alıcı Paspas Iş Yeri Paspası Iç Ve Dış Mekan Paspası Giriş Paspası Kapı Paspası</t>
        </is>
      </c>
      <c r="B263" s="24" t="inlineStr">
        <is>
          <t>780278960</t>
        </is>
      </c>
      <c r="C263" s="25" t="inlineStr">
        <is>
          <t>TOZKONTROL-IYP2-RAMPASIZ-GRI-801350</t>
        </is>
      </c>
      <c r="D263" s="26" t="inlineStr">
        <is>
          <t>TOZKONTROL-IYP2-RAMPASIZ-GRI-801350</t>
        </is>
      </c>
      <c r="E263" s="27" t="inlineStr">
        <is>
          <t>80 x 1350</t>
        </is>
      </c>
      <c r="F263" s="28" t="inlineStr">
        <is>
          <t>TOZKONTROL-IYP2-RAMPASIZ</t>
        </is>
      </c>
      <c r="G263" s="29" t="inlineStr">
        <is>
          <t>Kapı Önü Paspası</t>
        </is>
      </c>
      <c r="H263" s="30" t="inlineStr">
        <is>
          <t>Paspas Yap</t>
        </is>
      </c>
      <c r="I263" s="31" t="n">
        <v>93.0</v>
      </c>
      <c r="J263" s="32" t="n">
        <v>14949.0</v>
      </c>
      <c r="K263" s="33" t="n">
        <v>10397.64</v>
      </c>
      <c r="L263" s="34" t="n">
        <v>22.0</v>
      </c>
      <c r="M263" s="35" t="n">
        <v>6856.21</v>
      </c>
      <c r="N263" s="36" t="inlineStr">
        <is>
          <t>25 Ağustos 08.00-1 Eylül 07.59</t>
        </is>
      </c>
      <c r="O263" s="37" t="n">
        <v>11.1</v>
      </c>
      <c r="P263" s="38" t="n">
        <v>10397.64</v>
      </c>
      <c r="Q263" s="39"/>
      <c r="R263" s="40" t="n">
        <f>=IF(AND(ISBLANK(Q263), ISBLANK(U263)), "", "7 Günlük Fiyat")</f>
        <v>0.0</v>
      </c>
      <c r="S263" s="41" t="n">
        <f>=IF(OR(Q263="", R263=""), "-", IF(ISNUMBER(SEARCH("7 Günlük", R263)), IF(Q263&lt;=M263, O263, "-"), "-"))</f>
        <v>0.0</v>
      </c>
      <c r="T263" s="42" t="str">
        <f>=IF(ISBLANK(Q263), "", "Hayır")</f>
      </c>
      <c r="U263" s="43"/>
      <c r="V263" s="44" t="inlineStr">
        <is>
          <t>50461ed1-c2c8-4393-967e-55d58a3e2664</t>
        </is>
      </c>
    </row>
    <row r="264">
      <c r="A264" s="23" t="inlineStr">
        <is>
          <t>Toz Ve Nem Alıcı Paspas Iş Yeri Paspası Iç Ve Dış Mekan Paspası Giriş Paspası Kapı Paspası</t>
        </is>
      </c>
      <c r="B264" s="24" t="inlineStr">
        <is>
          <t>780278960</t>
        </is>
      </c>
      <c r="C264" s="25" t="inlineStr">
        <is>
          <t>TOZKONTROL-IYP2-RAMPASIZ-GRI-1001250</t>
        </is>
      </c>
      <c r="D264" s="26" t="inlineStr">
        <is>
          <t>TOZKONTROL-IYP2-RAMPASIZ-GRI-1001250</t>
        </is>
      </c>
      <c r="E264" s="27" t="inlineStr">
        <is>
          <t>100 x 1250</t>
        </is>
      </c>
      <c r="F264" s="28" t="inlineStr">
        <is>
          <t>TOZKONTROL-IYP2-RAMPASIZ</t>
        </is>
      </c>
      <c r="G264" s="29" t="inlineStr">
        <is>
          <t>Kapı Önü Paspası</t>
        </is>
      </c>
      <c r="H264" s="30" t="inlineStr">
        <is>
          <t>Paspas Yap</t>
        </is>
      </c>
      <c r="I264" s="31" t="n">
        <v>93.0</v>
      </c>
      <c r="J264" s="32" t="n">
        <v>17364.0</v>
      </c>
      <c r="K264" s="33" t="n">
        <v>12163.21</v>
      </c>
      <c r="L264" s="34" t="n">
        <v>22.0</v>
      </c>
      <c r="M264" s="35" t="n">
        <v>8044.94</v>
      </c>
      <c r="N264" s="36" t="inlineStr">
        <is>
          <t>25 Ağustos 08.00-1 Eylül 07.59</t>
        </is>
      </c>
      <c r="O264" s="37" t="n">
        <v>11.2</v>
      </c>
      <c r="P264" s="38" t="n">
        <v>12163.21</v>
      </c>
      <c r="Q264" s="39"/>
      <c r="R264" s="40" t="n">
        <f>=IF(AND(ISBLANK(Q264), ISBLANK(U264)), "", "7 Günlük Fiyat")</f>
        <v>0.0</v>
      </c>
      <c r="S264" s="41" t="n">
        <f>=IF(OR(Q264="", R264=""), "-", IF(ISNUMBER(SEARCH("7 Günlük", R264)), IF(Q264&lt;=M264, O264, "-"), "-"))</f>
        <v>0.0</v>
      </c>
      <c r="T264" s="42" t="str">
        <f>=IF(ISBLANK(Q264), "", "Hayır")</f>
      </c>
      <c r="U264" s="43"/>
      <c r="V264" s="44" t="inlineStr">
        <is>
          <t>50461ed1-c2c8-4393-967e-55d58a3e2664</t>
        </is>
      </c>
    </row>
    <row r="265">
      <c r="A265" s="23" t="inlineStr">
        <is>
          <t>Toz Ve Nem Alıcı Paspas Iş Yeri Paspası Iç Ve Dış Mekan Paspası Giriş Paspası Kapı Paspası</t>
        </is>
      </c>
      <c r="B265" s="24" t="inlineStr">
        <is>
          <t>780278960</t>
        </is>
      </c>
      <c r="C265" s="25" t="inlineStr">
        <is>
          <t>TOZKONTROL-IYP2-RAMPASIZ-GRI-120450</t>
        </is>
      </c>
      <c r="D265" s="26" t="inlineStr">
        <is>
          <t>TOZKONTROL-IYP2-RAMPASIZ-GRI-120450</t>
        </is>
      </c>
      <c r="E265" s="27" t="inlineStr">
        <is>
          <t>120 x 450</t>
        </is>
      </c>
      <c r="F265" s="28" t="inlineStr">
        <is>
          <t>TOZKONTROL-IYP2-RAMPASIZ</t>
        </is>
      </c>
      <c r="G265" s="29" t="inlineStr">
        <is>
          <t>Kapı Önü Paspası</t>
        </is>
      </c>
      <c r="H265" s="30" t="inlineStr">
        <is>
          <t>Paspas Yap</t>
        </is>
      </c>
      <c r="I265" s="31" t="n">
        <v>93.0</v>
      </c>
      <c r="J265" s="32" t="n">
        <v>7379.0</v>
      </c>
      <c r="K265" s="33" t="n">
        <v>5219.64</v>
      </c>
      <c r="L265" s="34" t="n">
        <v>22.0</v>
      </c>
      <c r="M265" s="35" t="n">
        <v>3511.27</v>
      </c>
      <c r="N265" s="36" t="inlineStr">
        <is>
          <t>25 Ağustos 08.00-1 Eylül 07.59</t>
        </is>
      </c>
      <c r="O265" s="37" t="n">
        <v>11.5</v>
      </c>
      <c r="P265" s="38" t="n">
        <v>5219.64</v>
      </c>
      <c r="Q265" s="39"/>
      <c r="R265" s="40" t="n">
        <f>=IF(AND(ISBLANK(Q265), ISBLANK(U265)), "", "7 Günlük Fiyat")</f>
        <v>0.0</v>
      </c>
      <c r="S265" s="41" t="n">
        <f>=IF(OR(Q265="", R265=""), "-", IF(ISNUMBER(SEARCH("7 Günlük", R265)), IF(Q265&lt;=M265, O265, "-"), "-"))</f>
        <v>0.0</v>
      </c>
      <c r="T265" s="42" t="str">
        <f>=IF(ISBLANK(Q265), "", "Hayır")</f>
      </c>
      <c r="U265" s="43"/>
      <c r="V265" s="44" t="inlineStr">
        <is>
          <t>50461ed1-c2c8-4393-967e-55d58a3e2664</t>
        </is>
      </c>
    </row>
    <row r="266">
      <c r="A266" s="23" t="inlineStr">
        <is>
          <t>Toz Ve Nem Alıcı Paspas Iş Yeri Paspası Iç Ve Dış Mekan Paspası Giriş Paspası Kapı Paspası</t>
        </is>
      </c>
      <c r="B266" s="24" t="inlineStr">
        <is>
          <t>780278960</t>
        </is>
      </c>
      <c r="C266" s="25" t="inlineStr">
        <is>
          <t>TOZKONTROL-IYP2-RAMPASIZ-GRI-801050</t>
        </is>
      </c>
      <c r="D266" s="26" t="inlineStr">
        <is>
          <t>TOZKONTROL-IYP2-RAMPASIZ-GRI-801050</t>
        </is>
      </c>
      <c r="E266" s="27" t="inlineStr">
        <is>
          <t>80 x 1050</t>
        </is>
      </c>
      <c r="F266" s="28" t="inlineStr">
        <is>
          <t>TOZKONTROL-IYP2-RAMPASIZ</t>
        </is>
      </c>
      <c r="G266" s="29" t="inlineStr">
        <is>
          <t>Kapı Önü Paspası</t>
        </is>
      </c>
      <c r="H266" s="30" t="inlineStr">
        <is>
          <t>Paspas Yap</t>
        </is>
      </c>
      <c r="I266" s="31" t="n">
        <v>93.0</v>
      </c>
      <c r="J266" s="32" t="n">
        <v>11436.0</v>
      </c>
      <c r="K266" s="33" t="n">
        <v>8002.92</v>
      </c>
      <c r="L266" s="34" t="n">
        <v>22.0</v>
      </c>
      <c r="M266" s="35" t="n">
        <v>5197.87</v>
      </c>
      <c r="N266" s="36" t="inlineStr">
        <is>
          <t>25 Ağustos 08.00-1 Eylül 07.59</t>
        </is>
      </c>
      <c r="O266" s="37" t="n">
        <v>10.8</v>
      </c>
      <c r="P266" s="38" t="n">
        <v>8002.92</v>
      </c>
      <c r="Q266" s="39"/>
      <c r="R266" s="40" t="n">
        <f>=IF(AND(ISBLANK(Q266), ISBLANK(U266)), "", "7 Günlük Fiyat")</f>
        <v>0.0</v>
      </c>
      <c r="S266" s="41" t="n">
        <f>=IF(OR(Q266="", R266=""), "-", IF(ISNUMBER(SEARCH("7 Günlük", R266)), IF(Q266&lt;=M266, O266, "-"), "-"))</f>
        <v>0.0</v>
      </c>
      <c r="T266" s="42" t="str">
        <f>=IF(ISBLANK(Q266), "", "Hayır")</f>
      </c>
      <c r="U266" s="43"/>
      <c r="V266" s="44" t="inlineStr">
        <is>
          <t>50461ed1-c2c8-4393-967e-55d58a3e2664</t>
        </is>
      </c>
    </row>
    <row r="267">
      <c r="A267" s="23" t="inlineStr">
        <is>
          <t>Toz Ve Nem Alıcı Paspas Iş Yeri Paspası Iç Ve Dış Mekan Paspası Giriş Paspası Kapı Paspası</t>
        </is>
      </c>
      <c r="B267" s="24" t="inlineStr">
        <is>
          <t>780278960</t>
        </is>
      </c>
      <c r="C267" s="25" t="inlineStr">
        <is>
          <t>TOZKONTROL-IYP2-RAMPASIZ-GRI-120800</t>
        </is>
      </c>
      <c r="D267" s="26" t="inlineStr">
        <is>
          <t>TOZKONTROL-IYP2-RAMPASIZ-GRI-120800</t>
        </is>
      </c>
      <c r="E267" s="27" t="inlineStr">
        <is>
          <t>120 x 800</t>
        </is>
      </c>
      <c r="F267" s="28" t="inlineStr">
        <is>
          <t>TOZKONTROL-IYP2-RAMPASIZ</t>
        </is>
      </c>
      <c r="G267" s="29" t="inlineStr">
        <is>
          <t>Kapı Önü Paspası</t>
        </is>
      </c>
      <c r="H267" s="30" t="inlineStr">
        <is>
          <t>Paspas Yap</t>
        </is>
      </c>
      <c r="I267" s="31" t="n">
        <v>93.0</v>
      </c>
      <c r="J267" s="32" t="n">
        <v>13163.0</v>
      </c>
      <c r="K267" s="33" t="n">
        <v>9254.08</v>
      </c>
      <c r="L267" s="34" t="n">
        <v>22.0</v>
      </c>
      <c r="M267" s="35" t="n">
        <v>6154.13</v>
      </c>
      <c r="N267" s="36" t="inlineStr">
        <is>
          <t>25 Ağustos 08.00-1 Eylül 07.59</t>
        </is>
      </c>
      <c r="O267" s="37" t="n">
        <v>11.3</v>
      </c>
      <c r="P267" s="38" t="n">
        <v>9254.08</v>
      </c>
      <c r="Q267" s="39"/>
      <c r="R267" s="40" t="n">
        <f>=IF(AND(ISBLANK(Q267), ISBLANK(U267)), "", "7 Günlük Fiyat")</f>
        <v>0.0</v>
      </c>
      <c r="S267" s="41" t="n">
        <f>=IF(OR(Q267="", R267=""), "-", IF(ISNUMBER(SEARCH("7 Günlük", R267)), IF(Q267&lt;=M267, O267, "-"), "-"))</f>
        <v>0.0</v>
      </c>
      <c r="T267" s="42" t="str">
        <f>=IF(ISBLANK(Q267), "", "Hayır")</f>
      </c>
      <c r="U267" s="43"/>
      <c r="V267" s="44" t="inlineStr">
        <is>
          <t>50461ed1-c2c8-4393-967e-55d58a3e2664</t>
        </is>
      </c>
    </row>
    <row r="268">
      <c r="A268" s="23" t="inlineStr">
        <is>
          <t>Toz Ve Nem Alıcı Paspas Iş Yeri Paspası Iç Ve Dış Mekan Paspası Giriş Paspası Kapı Paspası</t>
        </is>
      </c>
      <c r="B268" s="24" t="inlineStr">
        <is>
          <t>780278960</t>
        </is>
      </c>
      <c r="C268" s="25" t="inlineStr">
        <is>
          <t>TOZKONTROL-IYP2-RAMPASIZ-GRI-40x60</t>
        </is>
      </c>
      <c r="D268" s="26" t="inlineStr">
        <is>
          <t>TOZKONTROL-IYP2-RAMPASIZ-GRI-40x60</t>
        </is>
      </c>
      <c r="E268" s="27" t="inlineStr">
        <is>
          <t>40 x 60</t>
        </is>
      </c>
      <c r="F268" s="28" t="inlineStr">
        <is>
          <t>TOZKONTROL-IYP2-RAMPASIZ</t>
        </is>
      </c>
      <c r="G268" s="29" t="inlineStr">
        <is>
          <t>Kapı Önü Paspası</t>
        </is>
      </c>
      <c r="H268" s="30" t="inlineStr">
        <is>
          <t>Paspas Yap</t>
        </is>
      </c>
      <c r="I268" s="31" t="n">
        <v>92.0</v>
      </c>
      <c r="J268" s="32" t="n">
        <v>549.0</v>
      </c>
      <c r="K268" s="33" t="n">
        <v>485.0</v>
      </c>
      <c r="L268" s="34" t="n">
        <v>22.0</v>
      </c>
      <c r="M268" s="35" t="n">
        <v>400.59</v>
      </c>
      <c r="N268" s="36" t="inlineStr">
        <is>
          <t>25 Ağustos 08.00-1 Eylül 07.59</t>
        </is>
      </c>
      <c r="O268" s="37" t="n">
        <v>17.7</v>
      </c>
      <c r="P268" s="38" t="n">
        <v>485.0</v>
      </c>
      <c r="Q268" s="39"/>
      <c r="R268" s="40" t="n">
        <f>=IF(AND(ISBLANK(Q268), ISBLANK(U268)), "", "7 Günlük Fiyat")</f>
        <v>0.0</v>
      </c>
      <c r="S268" s="41" t="n">
        <f>=IF(OR(Q268="", R268=""), "-", IF(ISNUMBER(SEARCH("7 Günlük", R268)), IF(Q268&lt;=M268, O268, "-"), "-"))</f>
        <v>0.0</v>
      </c>
      <c r="T268" s="42" t="str">
        <f>=IF(ISBLANK(Q268), "", "Hayır")</f>
      </c>
      <c r="U268" s="43"/>
      <c r="V268" s="44" t="inlineStr">
        <is>
          <t>50461ed1-c2c8-4393-967e-55d58a3e2664</t>
        </is>
      </c>
    </row>
    <row r="269">
      <c r="A269" s="23" t="inlineStr">
        <is>
          <t>Toz Ve Nem Alıcı Paspas Iş Yeri Paspası Iç Ve Dış Mekan Paspası Giriş Paspası Kapı Paspası</t>
        </is>
      </c>
      <c r="B269" s="24" t="inlineStr">
        <is>
          <t>780278960</t>
        </is>
      </c>
      <c r="C269" s="25" t="inlineStr">
        <is>
          <t>TOZKONTROL-IYP2-RAMPASIZ-GRI-100x150</t>
        </is>
      </c>
      <c r="D269" s="26" t="inlineStr">
        <is>
          <t>TOZKONTROL-IYP2-RAMPASIZ-GRI-100x150</t>
        </is>
      </c>
      <c r="E269" s="27" t="inlineStr">
        <is>
          <t>100 x 150</t>
        </is>
      </c>
      <c r="F269" s="28" t="inlineStr">
        <is>
          <t>TOZKONTROL-IYP2-RAMPASIZ</t>
        </is>
      </c>
      <c r="G269" s="29" t="inlineStr">
        <is>
          <t>Kapı Önü Paspası</t>
        </is>
      </c>
      <c r="H269" s="30" t="inlineStr">
        <is>
          <t>Paspas Yap</t>
        </is>
      </c>
      <c r="I269" s="31" t="n">
        <v>93.0</v>
      </c>
      <c r="J269" s="32" t="n">
        <v>2299.0</v>
      </c>
      <c r="K269" s="33" t="n">
        <v>1709.15</v>
      </c>
      <c r="L269" s="34" t="n">
        <v>22.0</v>
      </c>
      <c r="M269" s="35" t="n">
        <v>1176.32</v>
      </c>
      <c r="N269" s="36" t="inlineStr">
        <is>
          <t>25 Ağustos 08.00-1 Eylül 07.59</t>
        </is>
      </c>
      <c r="O269" s="37" t="n">
        <v>12.8</v>
      </c>
      <c r="P269" s="38" t="n">
        <v>1709.15</v>
      </c>
      <c r="Q269" s="39"/>
      <c r="R269" s="40" t="n">
        <f>=IF(AND(ISBLANK(Q269), ISBLANK(U269)), "", "7 Günlük Fiyat")</f>
        <v>0.0</v>
      </c>
      <c r="S269" s="41" t="n">
        <f>=IF(OR(Q269="", R269=""), "-", IF(ISNUMBER(SEARCH("7 Günlük", R269)), IF(Q269&lt;=M269, O269, "-"), "-"))</f>
        <v>0.0</v>
      </c>
      <c r="T269" s="42" t="str">
        <f>=IF(ISBLANK(Q269), "", "Hayır")</f>
      </c>
      <c r="U269" s="43"/>
      <c r="V269" s="44" t="inlineStr">
        <is>
          <t>50461ed1-c2c8-4393-967e-55d58a3e2664</t>
        </is>
      </c>
    </row>
    <row r="270">
      <c r="A270" s="23" t="inlineStr">
        <is>
          <t>Toz Ve Nem Alıcı Paspas Iş Yeri Paspası Iç Ve Dış Mekan Paspası Giriş Paspası Kapı Paspası</t>
        </is>
      </c>
      <c r="B270" s="24" t="inlineStr">
        <is>
          <t>780278960</t>
        </is>
      </c>
      <c r="C270" s="25" t="inlineStr">
        <is>
          <t>TOZKONTROL-IYP2-RAMPASIZ-GRI-80250</t>
        </is>
      </c>
      <c r="D270" s="26" t="inlineStr">
        <is>
          <t>TOZKONTROL-IYP2-RAMPASIZ-GRI-80250</t>
        </is>
      </c>
      <c r="E270" s="27" t="inlineStr">
        <is>
          <t>80 x 250</t>
        </is>
      </c>
      <c r="F270" s="28" t="inlineStr">
        <is>
          <t>TOZKONTROL-IYP2-RAMPASIZ</t>
        </is>
      </c>
      <c r="G270" s="29" t="inlineStr">
        <is>
          <t>Kapı Önü Paspası</t>
        </is>
      </c>
      <c r="H270" s="30" t="inlineStr">
        <is>
          <t>Paspas Yap</t>
        </is>
      </c>
      <c r="I270" s="31" t="n">
        <v>93.0</v>
      </c>
      <c r="J270" s="32" t="n">
        <v>2886.0</v>
      </c>
      <c r="K270" s="33" t="n">
        <v>2013.67</v>
      </c>
      <c r="L270" s="34" t="n">
        <v>22.0</v>
      </c>
      <c r="M270" s="35" t="n">
        <v>1364.96</v>
      </c>
      <c r="N270" s="36" t="inlineStr">
        <is>
          <t>25 Ağustos 08.00-1 Eylül 07.59</t>
        </is>
      </c>
      <c r="O270" s="37" t="n">
        <v>11.4</v>
      </c>
      <c r="P270" s="38" t="n">
        <v>2013.67</v>
      </c>
      <c r="Q270" s="39"/>
      <c r="R270" s="40" t="n">
        <f>=IF(AND(ISBLANK(Q270), ISBLANK(U270)), "", "7 Günlük Fiyat")</f>
        <v>0.0</v>
      </c>
      <c r="S270" s="41" t="n">
        <f>=IF(OR(Q270="", R270=""), "-", IF(ISNUMBER(SEARCH("7 Günlük", R270)), IF(Q270&lt;=M270, O270, "-"), "-"))</f>
        <v>0.0</v>
      </c>
      <c r="T270" s="42" t="str">
        <f>=IF(ISBLANK(Q270), "", "Hayır")</f>
      </c>
      <c r="U270" s="43"/>
      <c r="V270" s="44" t="inlineStr">
        <is>
          <t>50461ed1-c2c8-4393-967e-55d58a3e2664</t>
        </is>
      </c>
    </row>
    <row r="271">
      <c r="A271" s="23" t="inlineStr">
        <is>
          <t>Toz Ve Nem Alıcı Paspas Iş Yeri Paspası Iç Ve Dış Mekan Paspası Giriş Paspası Kapı Paspası</t>
        </is>
      </c>
      <c r="B271" s="24" t="inlineStr">
        <is>
          <t>780278960</t>
        </is>
      </c>
      <c r="C271" s="25" t="inlineStr">
        <is>
          <t>TOZKONTROL-IYP2-RAMPASIZ-GRI-100x800</t>
        </is>
      </c>
      <c r="D271" s="26" t="inlineStr">
        <is>
          <t>TOZKONTROL-IYP2-RAMPASIZ-GRI-100x800</t>
        </is>
      </c>
      <c r="E271" s="27" t="inlineStr">
        <is>
          <t>100 x 800</t>
        </is>
      </c>
      <c r="F271" s="28" t="inlineStr">
        <is>
          <t>TOZKONTROL-IYP2-RAMPASIZ</t>
        </is>
      </c>
      <c r="G271" s="29" t="inlineStr">
        <is>
          <t>Kapı Önü Paspası</t>
        </is>
      </c>
      <c r="H271" s="30" t="inlineStr">
        <is>
          <t>Paspas Yap</t>
        </is>
      </c>
      <c r="I271" s="31" t="n">
        <v>93.0</v>
      </c>
      <c r="J271" s="32" t="n">
        <v>10919.0</v>
      </c>
      <c r="K271" s="33" t="n">
        <v>7737.99</v>
      </c>
      <c r="L271" s="34" t="n">
        <v>22.0</v>
      </c>
      <c r="M271" s="35" t="n">
        <v>5315.64</v>
      </c>
      <c r="N271" s="36" t="inlineStr">
        <is>
          <t>25 Ağustos 08.00-1 Eylül 07.59</t>
        </is>
      </c>
      <c r="O271" s="37" t="n">
        <v>12.0</v>
      </c>
      <c r="P271" s="38" t="n">
        <v>7737.99</v>
      </c>
      <c r="Q271" s="39"/>
      <c r="R271" s="40" t="n">
        <f>=IF(AND(ISBLANK(Q271), ISBLANK(U271)), "", "7 Günlük Fiyat")</f>
        <v>0.0</v>
      </c>
      <c r="S271" s="41" t="n">
        <f>=IF(OR(Q271="", R271=""), "-", IF(ISNUMBER(SEARCH("7 Günlük", R271)), IF(Q271&lt;=M271, O271, "-"), "-"))</f>
        <v>0.0</v>
      </c>
      <c r="T271" s="42" t="str">
        <f>=IF(ISBLANK(Q271), "", "Hayır")</f>
      </c>
      <c r="U271" s="43"/>
      <c r="V271" s="44" t="inlineStr">
        <is>
          <t>50461ed1-c2c8-4393-967e-55d58a3e2664</t>
        </is>
      </c>
    </row>
    <row r="272">
      <c r="A272" s="23" t="inlineStr">
        <is>
          <t>Toz Ve Nem Alıcı Paspas Iş Yeri Paspası Iç Ve Dış Mekan Paspası Giriş Paspası Kapı Paspası</t>
        </is>
      </c>
      <c r="B272" s="24" t="inlineStr">
        <is>
          <t>780278960</t>
        </is>
      </c>
      <c r="C272" s="25" t="inlineStr">
        <is>
          <t>TOZKONTROL-IYP2-RAMPASIZ-GRI-1201100</t>
        </is>
      </c>
      <c r="D272" s="26" t="inlineStr">
        <is>
          <t>TOZKONTROL-IYP2-RAMPASIZ-GRI-1201100</t>
        </is>
      </c>
      <c r="E272" s="27" t="inlineStr">
        <is>
          <t>120 x 1100</t>
        </is>
      </c>
      <c r="F272" s="28" t="inlineStr">
        <is>
          <t>TOZKONTROL-IYP2-RAMPASIZ</t>
        </is>
      </c>
      <c r="G272" s="29" t="inlineStr">
        <is>
          <t>Kapı Önü Paspası</t>
        </is>
      </c>
      <c r="H272" s="30" t="inlineStr">
        <is>
          <t>Paspas Yap</t>
        </is>
      </c>
      <c r="I272" s="31" t="n">
        <v>93.0</v>
      </c>
      <c r="J272" s="32" t="n">
        <v>18338.0</v>
      </c>
      <c r="K272" s="33" t="n">
        <v>12822.41</v>
      </c>
      <c r="L272" s="34" t="n">
        <v>22.0</v>
      </c>
      <c r="M272" s="35" t="n">
        <v>8498.81</v>
      </c>
      <c r="N272" s="36" t="inlineStr">
        <is>
          <t>25 Ağustos 08.00-1 Eylül 07.59</t>
        </is>
      </c>
      <c r="O272" s="37" t="n">
        <v>11.2</v>
      </c>
      <c r="P272" s="38" t="n">
        <v>12822.41</v>
      </c>
      <c r="Q272" s="39"/>
      <c r="R272" s="40" t="n">
        <f>=IF(AND(ISBLANK(Q272), ISBLANK(U272)), "", "7 Günlük Fiyat")</f>
        <v>0.0</v>
      </c>
      <c r="S272" s="41" t="n">
        <f>=IF(OR(Q272="", R272=""), "-", IF(ISNUMBER(SEARCH("7 Günlük", R272)), IF(Q272&lt;=M272, O272, "-"), "-"))</f>
        <v>0.0</v>
      </c>
      <c r="T272" s="42" t="str">
        <f>=IF(ISBLANK(Q272), "", "Hayır")</f>
      </c>
      <c r="U272" s="43"/>
      <c r="V272" s="44" t="inlineStr">
        <is>
          <t>50461ed1-c2c8-4393-967e-55d58a3e2664</t>
        </is>
      </c>
    </row>
    <row r="273">
      <c r="A273" s="23" t="inlineStr">
        <is>
          <t>Toz Ve Nem Alıcı Paspas Iş Yeri Paspası Iç Ve Dış Mekan Paspası Giriş Paspası Kapı Paspası</t>
        </is>
      </c>
      <c r="B273" s="24" t="inlineStr">
        <is>
          <t>780278960</t>
        </is>
      </c>
      <c r="C273" s="25" t="inlineStr">
        <is>
          <t>TOZKONTROL-IYP2-RAMPASIZ-GRI-120550</t>
        </is>
      </c>
      <c r="D273" s="26" t="inlineStr">
        <is>
          <t>TOZKONTROL-IYP2-RAMPASIZ-GRI-120550</t>
        </is>
      </c>
      <c r="E273" s="27" t="inlineStr">
        <is>
          <t>120 x 550</t>
        </is>
      </c>
      <c r="F273" s="28" t="inlineStr">
        <is>
          <t>TOZKONTROL-IYP2-RAMPASIZ</t>
        </is>
      </c>
      <c r="G273" s="29" t="inlineStr">
        <is>
          <t>Kapı Önü Paspası</t>
        </is>
      </c>
      <c r="H273" s="30" t="inlineStr">
        <is>
          <t>Paspas Yap</t>
        </is>
      </c>
      <c r="I273" s="31" t="n">
        <v>93.0</v>
      </c>
      <c r="J273" s="32" t="n">
        <v>8992.0</v>
      </c>
      <c r="K273" s="33" t="n">
        <v>6281.33</v>
      </c>
      <c r="L273" s="34" t="n">
        <v>22.0</v>
      </c>
      <c r="M273" s="35" t="n">
        <v>4150.26</v>
      </c>
      <c r="N273" s="36" t="inlineStr">
        <is>
          <t>25 Ağustos 08.00-1 Eylül 07.59</t>
        </is>
      </c>
      <c r="O273" s="37" t="n">
        <v>11.1</v>
      </c>
      <c r="P273" s="38" t="n">
        <v>6281.33</v>
      </c>
      <c r="Q273" s="39"/>
      <c r="R273" s="40" t="n">
        <f>=IF(AND(ISBLANK(Q273), ISBLANK(U273)), "", "7 Günlük Fiyat")</f>
        <v>0.0</v>
      </c>
      <c r="S273" s="41" t="n">
        <f>=IF(OR(Q273="", R273=""), "-", IF(ISNUMBER(SEARCH("7 Günlük", R273)), IF(Q273&lt;=M273, O273, "-"), "-"))</f>
        <v>0.0</v>
      </c>
      <c r="T273" s="42" t="str">
        <f>=IF(ISBLANK(Q273), "", "Hayır")</f>
      </c>
      <c r="U273" s="43"/>
      <c r="V273" s="44" t="inlineStr">
        <is>
          <t>50461ed1-c2c8-4393-967e-55d58a3e2664</t>
        </is>
      </c>
    </row>
    <row r="274">
      <c r="A274" s="23" t="inlineStr">
        <is>
          <t>Toz Ve Nem Alıcı Paspas Iş Yeri Paspası Iç Ve Dış Mekan Paspası Giriş Paspası Kapı Paspası</t>
        </is>
      </c>
      <c r="B274" s="24" t="inlineStr">
        <is>
          <t>780278960</t>
        </is>
      </c>
      <c r="C274" s="25" t="inlineStr">
        <is>
          <t>TOZKONTROL-IYP2-RAMPASIZ-GRI-100x350</t>
        </is>
      </c>
      <c r="D274" s="26" t="inlineStr">
        <is>
          <t>TOZKONTROL-IYP2-RAMPASIZ-GRI-100x350</t>
        </is>
      </c>
      <c r="E274" s="27" t="inlineStr">
        <is>
          <t>100 x 350</t>
        </is>
      </c>
      <c r="F274" s="28" t="inlineStr">
        <is>
          <t>TOZKONTROL-IYP2-RAMPASIZ</t>
        </is>
      </c>
      <c r="G274" s="29" t="inlineStr">
        <is>
          <t>Kapı Önü Paspası</t>
        </is>
      </c>
      <c r="H274" s="30" t="inlineStr">
        <is>
          <t>Paspas Yap</t>
        </is>
      </c>
      <c r="I274" s="31" t="n">
        <v>93.0</v>
      </c>
      <c r="J274" s="32" t="n">
        <v>4904.0</v>
      </c>
      <c r="K274" s="33" t="n">
        <v>3418.92</v>
      </c>
      <c r="L274" s="34" t="n">
        <v>22.0</v>
      </c>
      <c r="M274" s="35" t="n">
        <v>2275.24</v>
      </c>
      <c r="N274" s="36" t="inlineStr">
        <is>
          <t>25 Ağustos 08.00-1 Eylül 07.59</t>
        </is>
      </c>
      <c r="O274" s="37" t="n">
        <v>11.2</v>
      </c>
      <c r="P274" s="38" t="n">
        <v>3418.92</v>
      </c>
      <c r="Q274" s="39"/>
      <c r="R274" s="40" t="n">
        <f>=IF(AND(ISBLANK(Q274), ISBLANK(U274)), "", "7 Günlük Fiyat")</f>
        <v>0.0</v>
      </c>
      <c r="S274" s="41" t="n">
        <f>=IF(OR(Q274="", R274=""), "-", IF(ISNUMBER(SEARCH("7 Günlük", R274)), IF(Q274&lt;=M274, O274, "-"), "-"))</f>
        <v>0.0</v>
      </c>
      <c r="T274" s="42" t="str">
        <f>=IF(ISBLANK(Q274), "", "Hayır")</f>
      </c>
      <c r="U274" s="43"/>
      <c r="V274" s="44" t="inlineStr">
        <is>
          <t>50461ed1-c2c8-4393-967e-55d58a3e2664</t>
        </is>
      </c>
    </row>
    <row r="275">
      <c r="A275" s="23" t="inlineStr">
        <is>
          <t>Toz Ve Nem Alıcı Paspas Iş Yeri Paspası Iç Ve Dış Mekan Paspası Giriş Paspası Kapı Paspası</t>
        </is>
      </c>
      <c r="B275" s="24" t="inlineStr">
        <is>
          <t>780278960</t>
        </is>
      </c>
      <c r="C275" s="25" t="inlineStr">
        <is>
          <t>TOZKONTROL-IYP2-RAMPASIZ-GRI-120750</t>
        </is>
      </c>
      <c r="D275" s="26" t="inlineStr">
        <is>
          <t>TOZKONTROL-IYP2-RAMPASIZ-GRI-120750</t>
        </is>
      </c>
      <c r="E275" s="27" t="inlineStr">
        <is>
          <t>120 x 750</t>
        </is>
      </c>
      <c r="F275" s="28" t="inlineStr">
        <is>
          <t>TOZKONTROL-IYP2-RAMPASIZ</t>
        </is>
      </c>
      <c r="G275" s="29" t="inlineStr">
        <is>
          <t>Kapı Önü Paspası</t>
        </is>
      </c>
      <c r="H275" s="30" t="inlineStr">
        <is>
          <t>Paspas Yap</t>
        </is>
      </c>
      <c r="I275" s="31" t="n">
        <v>93.0</v>
      </c>
      <c r="J275" s="32" t="n">
        <v>12300.0</v>
      </c>
      <c r="K275" s="33" t="n">
        <v>8655.91</v>
      </c>
      <c r="L275" s="34" t="n">
        <v>22.0</v>
      </c>
      <c r="M275" s="35" t="n">
        <v>5734.04</v>
      </c>
      <c r="N275" s="36" t="inlineStr">
        <is>
          <t>25 Ağustos 08.00-1 Eylül 07.59</t>
        </is>
      </c>
      <c r="O275" s="37" t="n">
        <v>11.3</v>
      </c>
      <c r="P275" s="38" t="n">
        <v>8655.91</v>
      </c>
      <c r="Q275" s="39"/>
      <c r="R275" s="40" t="n">
        <f>=IF(AND(ISBLANK(Q275), ISBLANK(U275)), "", "7 Günlük Fiyat")</f>
        <v>0.0</v>
      </c>
      <c r="S275" s="41" t="n">
        <f>=IF(OR(Q275="", R275=""), "-", IF(ISNUMBER(SEARCH("7 Günlük", R275)), IF(Q275&lt;=M275, O275, "-"), "-"))</f>
        <v>0.0</v>
      </c>
      <c r="T275" s="42" t="str">
        <f>=IF(ISBLANK(Q275), "", "Hayır")</f>
      </c>
      <c r="U275" s="43"/>
      <c r="V275" s="44" t="inlineStr">
        <is>
          <t>50461ed1-c2c8-4393-967e-55d58a3e2664</t>
        </is>
      </c>
    </row>
    <row r="276">
      <c r="A276" s="23" t="inlineStr">
        <is>
          <t>Toz Ve Nem Alıcı Paspas Iş Yeri Paspası Iç Ve Dış Mekan Paspası Giriş Paspası Kapı Paspası</t>
        </is>
      </c>
      <c r="B276" s="24" t="inlineStr">
        <is>
          <t>780278960</t>
        </is>
      </c>
      <c r="C276" s="25" t="inlineStr">
        <is>
          <t>TOZKONTROL-IYP2-RAMPASIZ-GRI-80x100</t>
        </is>
      </c>
      <c r="D276" s="26" t="inlineStr">
        <is>
          <t>TOZKONTROL-IYP2-RAMPASIZ-GRI-80x100</t>
        </is>
      </c>
      <c r="E276" s="27" t="inlineStr">
        <is>
          <t>80 x 100</t>
        </is>
      </c>
      <c r="F276" s="28" t="inlineStr">
        <is>
          <t>TOZKONTROL-IYP2-RAMPASIZ</t>
        </is>
      </c>
      <c r="G276" s="29" t="inlineStr">
        <is>
          <t>Kapı Önü Paspası</t>
        </is>
      </c>
      <c r="H276" s="30" t="inlineStr">
        <is>
          <t>Paspas Yap</t>
        </is>
      </c>
      <c r="I276" s="31" t="n">
        <v>93.0</v>
      </c>
      <c r="J276" s="32" t="n">
        <v>1355.0</v>
      </c>
      <c r="K276" s="33" t="n">
        <v>1018.97</v>
      </c>
      <c r="L276" s="34" t="n">
        <v>21.1</v>
      </c>
      <c r="M276" s="35" t="n">
        <v>729.08</v>
      </c>
      <c r="N276" s="36" t="inlineStr">
        <is>
          <t>25 Ağustos 08.00-1 Eylül 07.59</t>
        </is>
      </c>
      <c r="O276" s="37" t="n">
        <v>12.6</v>
      </c>
      <c r="P276" s="38" t="n">
        <v>1018.97</v>
      </c>
      <c r="Q276" s="39"/>
      <c r="R276" s="40" t="n">
        <f>=IF(AND(ISBLANK(Q276), ISBLANK(U276)), "", "7 Günlük Fiyat")</f>
        <v>0.0</v>
      </c>
      <c r="S276" s="41" t="n">
        <f>=IF(OR(Q276="", R276=""), "-", IF(ISNUMBER(SEARCH("7 Günlük", R276)), IF(Q276&lt;=M276, O276, "-"), "-"))</f>
        <v>0.0</v>
      </c>
      <c r="T276" s="42" t="str">
        <f>=IF(ISBLANK(Q276), "", "Hayır")</f>
      </c>
      <c r="U276" s="43"/>
      <c r="V276" s="44" t="inlineStr">
        <is>
          <t>50461ed1-c2c8-4393-967e-55d58a3e2664</t>
        </is>
      </c>
    </row>
    <row r="277">
      <c r="A277" s="23" t="inlineStr">
        <is>
          <t>Toz Ve Nem Alıcı Paspas Iş Yeri Paspası Iç Ve Dış Mekan Paspası Giriş Paspası Kapı Paspası</t>
        </is>
      </c>
      <c r="B277" s="24" t="inlineStr">
        <is>
          <t>780278960</t>
        </is>
      </c>
      <c r="C277" s="25" t="inlineStr">
        <is>
          <t>TOZKONTROL-IYP2-RAMPASIZ-GRI-80200</t>
        </is>
      </c>
      <c r="D277" s="26" t="inlineStr">
        <is>
          <t>TOZKONTROL-IYP2-RAMPASIZ-GRI-80200</t>
        </is>
      </c>
      <c r="E277" s="27" t="inlineStr">
        <is>
          <t>80 x 200</t>
        </is>
      </c>
      <c r="F277" s="28" t="inlineStr">
        <is>
          <t>TOZKONTROL-IYP2-RAMPASIZ</t>
        </is>
      </c>
      <c r="G277" s="29" t="inlineStr">
        <is>
          <t>Kapı Önü Paspası</t>
        </is>
      </c>
      <c r="H277" s="30" t="inlineStr">
        <is>
          <t>Paspas Yap</t>
        </is>
      </c>
      <c r="I277" s="31" t="n">
        <v>93.0</v>
      </c>
      <c r="J277" s="32" t="n">
        <v>2390.0</v>
      </c>
      <c r="K277" s="33" t="n">
        <v>1724.36</v>
      </c>
      <c r="L277" s="34" t="n">
        <v>22.0</v>
      </c>
      <c r="M277" s="35" t="n">
        <v>1161.31</v>
      </c>
      <c r="N277" s="36" t="inlineStr">
        <is>
          <t>25 Ağustos 08.00-1 Eylül 07.59</t>
        </is>
      </c>
      <c r="O277" s="37" t="n">
        <v>11.9</v>
      </c>
      <c r="P277" s="38" t="n">
        <v>1724.36</v>
      </c>
      <c r="Q277" s="39"/>
      <c r="R277" s="40" t="n">
        <f>=IF(AND(ISBLANK(Q277), ISBLANK(U277)), "", "7 Günlük Fiyat")</f>
        <v>0.0</v>
      </c>
      <c r="S277" s="41" t="n">
        <f>=IF(OR(Q277="", R277=""), "-", IF(ISNUMBER(SEARCH("7 Günlük", R277)), IF(Q277&lt;=M277, O277, "-"), "-"))</f>
        <v>0.0</v>
      </c>
      <c r="T277" s="42" t="str">
        <f>=IF(ISBLANK(Q277), "", "Hayır")</f>
      </c>
      <c r="U277" s="43"/>
      <c r="V277" s="44" t="inlineStr">
        <is>
          <t>50461ed1-c2c8-4393-967e-55d58a3e2664</t>
        </is>
      </c>
    </row>
    <row r="278">
      <c r="A278" s="23" t="inlineStr">
        <is>
          <t>Toz Ve Nem Alıcı Paspas Iş Yeri Paspası Iç Ve Dış Mekan Paspası Giriş Paspası Kapı Paspası</t>
        </is>
      </c>
      <c r="B278" s="24" t="inlineStr">
        <is>
          <t>780278960</t>
        </is>
      </c>
      <c r="C278" s="25" t="inlineStr">
        <is>
          <t>TOZKONTROL-IYP2-RAMPASIZ-GRI-80150</t>
        </is>
      </c>
      <c r="D278" s="26" t="inlineStr">
        <is>
          <t>TOZKONTROL-IYP2-RAMPASIZ-GRI-80150</t>
        </is>
      </c>
      <c r="E278" s="27" t="inlineStr">
        <is>
          <t>80 x 150</t>
        </is>
      </c>
      <c r="F278" s="28" t="inlineStr">
        <is>
          <t>TOZKONTROL-IYP2-RAMPASIZ</t>
        </is>
      </c>
      <c r="G278" s="29" t="inlineStr">
        <is>
          <t>Kapı Önü Paspası</t>
        </is>
      </c>
      <c r="H278" s="30" t="inlineStr">
        <is>
          <t>Paspas Yap</t>
        </is>
      </c>
      <c r="I278" s="31" t="n">
        <v>93.0</v>
      </c>
      <c r="J278" s="32" t="n">
        <v>1949.0</v>
      </c>
      <c r="K278" s="33" t="n">
        <v>1445.18</v>
      </c>
      <c r="L278" s="34" t="n">
        <v>21.0</v>
      </c>
      <c r="M278" s="35" t="n">
        <v>1025.28</v>
      </c>
      <c r="N278" s="36" t="inlineStr">
        <is>
          <t>25 Ağustos 08.00-1 Eylül 07.59</t>
        </is>
      </c>
      <c r="O278" s="37" t="n">
        <v>12.3</v>
      </c>
      <c r="P278" s="38" t="n">
        <v>1445.18</v>
      </c>
      <c r="Q278" s="39"/>
      <c r="R278" s="40" t="n">
        <f>=IF(AND(ISBLANK(Q278), ISBLANK(U278)), "", "7 Günlük Fiyat")</f>
        <v>0.0</v>
      </c>
      <c r="S278" s="41" t="n">
        <f>=IF(OR(Q278="", R278=""), "-", IF(ISNUMBER(SEARCH("7 Günlük", R278)), IF(Q278&lt;=M278, O278, "-"), "-"))</f>
        <v>0.0</v>
      </c>
      <c r="T278" s="42" t="str">
        <f>=IF(ISBLANK(Q278), "", "Hayır")</f>
      </c>
      <c r="U278" s="43"/>
      <c r="V278" s="44" t="inlineStr">
        <is>
          <t>50461ed1-c2c8-4393-967e-55d58a3e2664</t>
        </is>
      </c>
    </row>
    <row r="279">
      <c r="A279" s="23" t="inlineStr">
        <is>
          <t>Toz Ve Nem Alıcı Paspas Iş Yeri Paspası Iç Ve Dış Mekan Paspası Giriş Paspası Kapı Paspası</t>
        </is>
      </c>
      <c r="B279" s="24" t="inlineStr">
        <is>
          <t>780278960</t>
        </is>
      </c>
      <c r="C279" s="25" t="inlineStr">
        <is>
          <t>TOZKONTROL-IYP2-RAMPASIZ-GRI-40x70</t>
        </is>
      </c>
      <c r="D279" s="26" t="inlineStr">
        <is>
          <t>TOZKONTROL-IYP2-RAMPASIZ-GRI-40x70</t>
        </is>
      </c>
      <c r="E279" s="27" t="inlineStr">
        <is>
          <t>40 x 70</t>
        </is>
      </c>
      <c r="F279" s="28" t="inlineStr">
        <is>
          <t>TOZKONTROL-IYP2-RAMPASIZ</t>
        </is>
      </c>
      <c r="G279" s="29" t="inlineStr">
        <is>
          <t>Kapı Önü Paspası</t>
        </is>
      </c>
      <c r="H279" s="30" t="inlineStr">
        <is>
          <t>Paspas Yap</t>
        </is>
      </c>
      <c r="I279" s="31" t="n">
        <v>90.0</v>
      </c>
      <c r="J279" s="32" t="n">
        <v>669.0</v>
      </c>
      <c r="K279" s="33" t="n">
        <v>550.33</v>
      </c>
      <c r="L279" s="34" t="n">
        <v>22.0</v>
      </c>
      <c r="M279" s="35" t="n">
        <v>403.44</v>
      </c>
      <c r="N279" s="36" t="inlineStr">
        <is>
          <t>25 Ağustos 08.00-1 Eylül 07.59</t>
        </is>
      </c>
      <c r="O279" s="37" t="n">
        <v>15.0</v>
      </c>
      <c r="P279" s="38" t="n">
        <v>550.33</v>
      </c>
      <c r="Q279" s="39"/>
      <c r="R279" s="40" t="n">
        <f>=IF(AND(ISBLANK(Q279), ISBLANK(U279)), "", "7 Günlük Fiyat")</f>
        <v>0.0</v>
      </c>
      <c r="S279" s="41" t="n">
        <f>=IF(OR(Q279="", R279=""), "-", IF(ISNUMBER(SEARCH("7 Günlük", R279)), IF(Q279&lt;=M279, O279, "-"), "-"))</f>
        <v>0.0</v>
      </c>
      <c r="T279" s="42" t="str">
        <f>=IF(ISBLANK(Q279), "", "Hayır")</f>
      </c>
      <c r="U279" s="43"/>
      <c r="V279" s="44" t="inlineStr">
        <is>
          <t>50461ed1-c2c8-4393-967e-55d58a3e2664</t>
        </is>
      </c>
    </row>
    <row r="280">
      <c r="A280" s="23" t="inlineStr">
        <is>
          <t>Toz Ve Nem Alıcı Paspas Iş Yeri Paspası Iç Ve Dış Mekan Paspası Giriş Paspası Kapı Paspası</t>
        </is>
      </c>
      <c r="B280" s="24" t="inlineStr">
        <is>
          <t>780278960</t>
        </is>
      </c>
      <c r="C280" s="25" t="inlineStr">
        <is>
          <t>TOZKONTROL-IYP2-RAMPASIZ-GRI-120350</t>
        </is>
      </c>
      <c r="D280" s="26" t="inlineStr">
        <is>
          <t>TOZKONTROL-IYP2-RAMPASIZ-GRI-120350</t>
        </is>
      </c>
      <c r="E280" s="27" t="inlineStr">
        <is>
          <t>120 x 350</t>
        </is>
      </c>
      <c r="F280" s="28" t="inlineStr">
        <is>
          <t>TOZKONTROL-IYP2-RAMPASIZ</t>
        </is>
      </c>
      <c r="G280" s="29" t="inlineStr">
        <is>
          <t>Kapı Önü Paspası</t>
        </is>
      </c>
      <c r="H280" s="30" t="inlineStr">
        <is>
          <t>Paspas Yap</t>
        </is>
      </c>
      <c r="I280" s="31" t="n">
        <v>93.0</v>
      </c>
      <c r="J280" s="32" t="n">
        <v>5762.0</v>
      </c>
      <c r="K280" s="33" t="n">
        <v>4064.34</v>
      </c>
      <c r="L280" s="34" t="n">
        <v>22.0</v>
      </c>
      <c r="M280" s="35" t="n">
        <v>2813.28</v>
      </c>
      <c r="N280" s="36" t="inlineStr">
        <is>
          <t>25 Ağustos 08.00-1 Eylül 07.59</t>
        </is>
      </c>
      <c r="O280" s="37" t="n">
        <v>13.1</v>
      </c>
      <c r="P280" s="38" t="n">
        <v>4064.34</v>
      </c>
      <c r="Q280" s="39"/>
      <c r="R280" s="40" t="n">
        <f>=IF(AND(ISBLANK(Q280), ISBLANK(U280)), "", "7 Günlük Fiyat")</f>
        <v>0.0</v>
      </c>
      <c r="S280" s="41" t="n">
        <f>=IF(OR(Q280="", R280=""), "-", IF(ISNUMBER(SEARCH("7 Günlük", R280)), IF(Q280&lt;=M280, O280, "-"), "-"))</f>
        <v>0.0</v>
      </c>
      <c r="T280" s="42" t="str">
        <f>=IF(ISBLANK(Q280), "", "Hayır")</f>
      </c>
      <c r="U280" s="43"/>
      <c r="V280" s="44" t="inlineStr">
        <is>
          <t>50461ed1-c2c8-4393-967e-55d58a3e2664</t>
        </is>
      </c>
    </row>
    <row r="281">
      <c r="A281" s="23" t="inlineStr">
        <is>
          <t>Toz Ve Nem Alıcı Paspas Iş Yeri Paspası Iç Ve Dış Mekan Paspası Giriş Paspası Kapı Paspası</t>
        </is>
      </c>
      <c r="B281" s="24" t="inlineStr">
        <is>
          <t>780278960</t>
        </is>
      </c>
      <c r="C281" s="25" t="inlineStr">
        <is>
          <t>TOZKONTROL-IYP2-RAMPASIZ-GRI-801000</t>
        </is>
      </c>
      <c r="D281" s="26" t="inlineStr">
        <is>
          <t>TOZKONTROL-IYP2-RAMPASIZ-GRI-801000</t>
        </is>
      </c>
      <c r="E281" s="27" t="inlineStr">
        <is>
          <t>80 x 1000</t>
        </is>
      </c>
      <c r="F281" s="28" t="inlineStr">
        <is>
          <t>TOZKONTROL-IYP2-RAMPASIZ</t>
        </is>
      </c>
      <c r="G281" s="29" t="inlineStr">
        <is>
          <t>Kapı Önü Paspası</t>
        </is>
      </c>
      <c r="H281" s="30" t="inlineStr">
        <is>
          <t>Paspas Yap</t>
        </is>
      </c>
      <c r="I281" s="31" t="n">
        <v>93.0</v>
      </c>
      <c r="J281" s="32" t="n">
        <v>10919.0</v>
      </c>
      <c r="K281" s="33" t="n">
        <v>7704.88</v>
      </c>
      <c r="L281" s="34" t="n">
        <v>22.0</v>
      </c>
      <c r="M281" s="35" t="n">
        <v>5153.87</v>
      </c>
      <c r="N281" s="36" t="inlineStr">
        <is>
          <t>25 Ağustos 08.00-1 Eylül 07.59</t>
        </is>
      </c>
      <c r="O281" s="37" t="n">
        <v>11.4</v>
      </c>
      <c r="P281" s="38" t="n">
        <v>7704.88</v>
      </c>
      <c r="Q281" s="39"/>
      <c r="R281" s="40" t="n">
        <f>=IF(AND(ISBLANK(Q281), ISBLANK(U281)), "", "7 Günlük Fiyat")</f>
        <v>0.0</v>
      </c>
      <c r="S281" s="41" t="n">
        <f>=IF(OR(Q281="", R281=""), "-", IF(ISNUMBER(SEARCH("7 Günlük", R281)), IF(Q281&lt;=M281, O281, "-"), "-"))</f>
        <v>0.0</v>
      </c>
      <c r="T281" s="42" t="str">
        <f>=IF(ISBLANK(Q281), "", "Hayır")</f>
      </c>
      <c r="U281" s="43"/>
      <c r="V281" s="44" t="inlineStr">
        <is>
          <t>50461ed1-c2c8-4393-967e-55d58a3e2664</t>
        </is>
      </c>
    </row>
    <row r="282">
      <c r="A282" s="23" t="inlineStr">
        <is>
          <t>Toz Ve Nem Alıcı Paspas Iş Yeri Paspası Iç Ve Dış Mekan Paspası Giriş Paspası Kapı Paspası</t>
        </is>
      </c>
      <c r="B282" s="24" t="inlineStr">
        <is>
          <t>780278960</t>
        </is>
      </c>
      <c r="C282" s="25" t="inlineStr">
        <is>
          <t>TOZKONTROL-IYP2-RAMPASIZ-GRI-801150</t>
        </is>
      </c>
      <c r="D282" s="26" t="inlineStr">
        <is>
          <t>TOZKONTROL-IYP2-RAMPASIZ-GRI-801150</t>
        </is>
      </c>
      <c r="E282" s="27" t="inlineStr">
        <is>
          <t>80 x 1150</t>
        </is>
      </c>
      <c r="F282" s="28" t="inlineStr">
        <is>
          <t>TOZKONTROL-IYP2-RAMPASIZ</t>
        </is>
      </c>
      <c r="G282" s="29" t="inlineStr">
        <is>
          <t>Kapı Önü Paspası</t>
        </is>
      </c>
      <c r="H282" s="30" t="inlineStr">
        <is>
          <t>Paspas Yap</t>
        </is>
      </c>
      <c r="I282" s="31" t="n">
        <v>93.0</v>
      </c>
      <c r="J282" s="32" t="n">
        <v>12521.0</v>
      </c>
      <c r="K282" s="33" t="n">
        <v>8853.67</v>
      </c>
      <c r="L282" s="34" t="n">
        <v>22.0</v>
      </c>
      <c r="M282" s="35" t="n">
        <v>5805.51</v>
      </c>
      <c r="N282" s="36" t="inlineStr">
        <is>
          <t>25 Ağustos 08.00-1 Eylül 07.59</t>
        </is>
      </c>
      <c r="O282" s="37" t="n">
        <v>11.0</v>
      </c>
      <c r="P282" s="38" t="n">
        <v>8853.67</v>
      </c>
      <c r="Q282" s="39"/>
      <c r="R282" s="40" t="n">
        <f>=IF(AND(ISBLANK(Q282), ISBLANK(U282)), "", "7 Günlük Fiyat")</f>
        <v>0.0</v>
      </c>
      <c r="S282" s="41" t="n">
        <f>=IF(OR(Q282="", R282=""), "-", IF(ISNUMBER(SEARCH("7 Günlük", R282)), IF(Q282&lt;=M282, O282, "-"), "-"))</f>
        <v>0.0</v>
      </c>
      <c r="T282" s="42" t="str">
        <f>=IF(ISBLANK(Q282), "", "Hayır")</f>
      </c>
      <c r="U282" s="43"/>
      <c r="V282" s="44" t="inlineStr">
        <is>
          <t>50461ed1-c2c8-4393-967e-55d58a3e2664</t>
        </is>
      </c>
    </row>
    <row r="283">
      <c r="A283" s="23" t="inlineStr">
        <is>
          <t>Toz Ve Nem Alıcı Paspas Iş Yeri Paspası Iç Ve Dış Mekan Paspası Giriş Paspası Kapı Paspası</t>
        </is>
      </c>
      <c r="B283" s="24" t="inlineStr">
        <is>
          <t>780278960</t>
        </is>
      </c>
      <c r="C283" s="25" t="inlineStr">
        <is>
          <t>TOZKONTROL-IYP2-RAMPASIZ-GRI-50x90</t>
        </is>
      </c>
      <c r="D283" s="26" t="inlineStr">
        <is>
          <t>TOZKONTROL-IYP2-RAMPASIZ-GRI-50x90</t>
        </is>
      </c>
      <c r="E283" s="27" t="inlineStr">
        <is>
          <t>50 x 90</t>
        </is>
      </c>
      <c r="F283" s="28" t="inlineStr">
        <is>
          <t>TOZKONTROL-IYP2-RAMPASIZ</t>
        </is>
      </c>
      <c r="G283" s="29" t="inlineStr">
        <is>
          <t>Kapı Önü Paspası</t>
        </is>
      </c>
      <c r="H283" s="30" t="inlineStr">
        <is>
          <t>Paspas Yap</t>
        </is>
      </c>
      <c r="I283" s="31" t="n">
        <v>92.0</v>
      </c>
      <c r="J283" s="32" t="n">
        <v>889.0</v>
      </c>
      <c r="K283" s="33" t="n">
        <v>797.95</v>
      </c>
      <c r="L283" s="34" t="n">
        <v>22.0</v>
      </c>
      <c r="M283" s="35" t="n">
        <v>534.77</v>
      </c>
      <c r="N283" s="36" t="inlineStr">
        <is>
          <t>25 Ağustos 08.00-1 Eylül 07.59</t>
        </is>
      </c>
      <c r="O283" s="37" t="n">
        <v>14.1</v>
      </c>
      <c r="P283" s="38" t="n">
        <v>797.95</v>
      </c>
      <c r="Q283" s="39"/>
      <c r="R283" s="40" t="n">
        <f>=IF(AND(ISBLANK(Q283), ISBLANK(U283)), "", "7 Günlük Fiyat")</f>
        <v>0.0</v>
      </c>
      <c r="S283" s="41" t="n">
        <f>=IF(OR(Q283="", R283=""), "-", IF(ISNUMBER(SEARCH("7 Günlük", R283)), IF(Q283&lt;=M283, O283, "-"), "-"))</f>
        <v>0.0</v>
      </c>
      <c r="T283" s="42" t="str">
        <f>=IF(ISBLANK(Q283), "", "Hayır")</f>
      </c>
      <c r="U283" s="43"/>
      <c r="V283" s="44" t="inlineStr">
        <is>
          <t>50461ed1-c2c8-4393-967e-55d58a3e2664</t>
        </is>
      </c>
    </row>
    <row r="284">
      <c r="A284" s="23" t="inlineStr">
        <is>
          <t>Toz Ve Nem Alıcı Paspas Iş Yeri Paspası Iç Ve Dış Mekan Paspası Giriş Paspası Kapı Paspası</t>
        </is>
      </c>
      <c r="B284" s="24" t="inlineStr">
        <is>
          <t>780278960</t>
        </is>
      </c>
      <c r="C284" s="25" t="inlineStr">
        <is>
          <t>TOZKONTROL-IYP2-RAMPASIZ-GRI-120850</t>
        </is>
      </c>
      <c r="D284" s="26" t="inlineStr">
        <is>
          <t>TOZKONTROL-IYP2-RAMPASIZ-GRI-120850</t>
        </is>
      </c>
      <c r="E284" s="27" t="inlineStr">
        <is>
          <t>120 x 850</t>
        </is>
      </c>
      <c r="F284" s="28" t="inlineStr">
        <is>
          <t>TOZKONTROL-IYP2-RAMPASIZ</t>
        </is>
      </c>
      <c r="G284" s="29" t="inlineStr">
        <is>
          <t>Kapı Önü Paspası</t>
        </is>
      </c>
      <c r="H284" s="30" t="inlineStr">
        <is>
          <t>Paspas Yap</t>
        </is>
      </c>
      <c r="I284" s="31" t="n">
        <v>93.0</v>
      </c>
      <c r="J284" s="32" t="n">
        <v>14121.0</v>
      </c>
      <c r="K284" s="33" t="n">
        <v>9981.57</v>
      </c>
      <c r="L284" s="34" t="n">
        <v>22.0</v>
      </c>
      <c r="M284" s="35" t="n">
        <v>6673.23</v>
      </c>
      <c r="N284" s="36" t="inlineStr">
        <is>
          <t>25 Ağustos 08.00-1 Eylül 07.59</t>
        </is>
      </c>
      <c r="O284" s="37" t="n">
        <v>11.5</v>
      </c>
      <c r="P284" s="38" t="n">
        <v>9981.57</v>
      </c>
      <c r="Q284" s="39"/>
      <c r="R284" s="40" t="n">
        <f>=IF(AND(ISBLANK(Q284), ISBLANK(U284)), "", "7 Günlük Fiyat")</f>
        <v>0.0</v>
      </c>
      <c r="S284" s="41" t="n">
        <f>=IF(OR(Q284="", R284=""), "-", IF(ISNUMBER(SEARCH("7 Günlük", R284)), IF(Q284&lt;=M284, O284, "-"), "-"))</f>
        <v>0.0</v>
      </c>
      <c r="T284" s="42" t="str">
        <f>=IF(ISBLANK(Q284), "", "Hayır")</f>
      </c>
      <c r="U284" s="43"/>
      <c r="V284" s="44" t="inlineStr">
        <is>
          <t>50461ed1-c2c8-4393-967e-55d58a3e2664</t>
        </is>
      </c>
    </row>
    <row r="285">
      <c r="A285" s="23" t="inlineStr">
        <is>
          <t>Toz Ve Nem Alıcı Paspas Iş Yeri Paspası Iç Ve Dış Mekan Paspası Giriş Paspası Kapı Paspası</t>
        </is>
      </c>
      <c r="B285" s="24" t="inlineStr">
        <is>
          <t>780278960</t>
        </is>
      </c>
      <c r="C285" s="25" t="inlineStr">
        <is>
          <t>TOZKONTROL-IYP2-RAMPASIZ-GRI-80400</t>
        </is>
      </c>
      <c r="D285" s="26" t="inlineStr">
        <is>
          <t>TOZKONTROL-IYP2-RAMPASIZ-GRI-80400</t>
        </is>
      </c>
      <c r="E285" s="27" t="inlineStr">
        <is>
          <t>80 x 400</t>
        </is>
      </c>
      <c r="F285" s="28" t="inlineStr">
        <is>
          <t>TOZKONTROL-IYP2-RAMPASIZ</t>
        </is>
      </c>
      <c r="G285" s="29" t="inlineStr">
        <is>
          <t>Kapı Önü Paspası</t>
        </is>
      </c>
      <c r="H285" s="30" t="inlineStr">
        <is>
          <t>Paspas Yap</t>
        </is>
      </c>
      <c r="I285" s="31" t="n">
        <v>93.0</v>
      </c>
      <c r="J285" s="32" t="n">
        <v>4506.0</v>
      </c>
      <c r="K285" s="33" t="n">
        <v>3122.3</v>
      </c>
      <c r="L285" s="34" t="n">
        <v>22.0</v>
      </c>
      <c r="M285" s="35" t="n">
        <v>2089.19</v>
      </c>
      <c r="N285" s="36" t="inlineStr">
        <is>
          <t>25 Ağustos 08.00-1 Eylül 07.59</t>
        </is>
      </c>
      <c r="O285" s="37" t="n">
        <v>11.2</v>
      </c>
      <c r="P285" s="38" t="n">
        <v>3122.3</v>
      </c>
      <c r="Q285" s="39"/>
      <c r="R285" s="40" t="n">
        <f>=IF(AND(ISBLANK(Q285), ISBLANK(U285)), "", "7 Günlük Fiyat")</f>
        <v>0.0</v>
      </c>
      <c r="S285" s="41" t="n">
        <f>=IF(OR(Q285="", R285=""), "-", IF(ISNUMBER(SEARCH("7 Günlük", R285)), IF(Q285&lt;=M285, O285, "-"), "-"))</f>
        <v>0.0</v>
      </c>
      <c r="T285" s="42" t="str">
        <f>=IF(ISBLANK(Q285), "", "Hayır")</f>
      </c>
      <c r="U285" s="43"/>
      <c r="V285" s="44" t="inlineStr">
        <is>
          <t>50461ed1-c2c8-4393-967e-55d58a3e2664</t>
        </is>
      </c>
    </row>
    <row r="286">
      <c r="A286" s="23" t="inlineStr">
        <is>
          <t>Toz Ve Nem Alıcı Paspas Iş Yeri Paspası Iç Ve Dış Mekan Paspası Giriş Paspası Kapı Paspası</t>
        </is>
      </c>
      <c r="B286" s="24" t="inlineStr">
        <is>
          <t>780278960</t>
        </is>
      </c>
      <c r="C286" s="25" t="inlineStr">
        <is>
          <t>TOZKONTROL-IYP2-RAMPASIZ-GRI-1201000</t>
        </is>
      </c>
      <c r="D286" s="26" t="inlineStr">
        <is>
          <t>TOZKONTROL-IYP2-RAMPASIZ-GRI-1201000</t>
        </is>
      </c>
      <c r="E286" s="27" t="inlineStr">
        <is>
          <t>120 x 1000</t>
        </is>
      </c>
      <c r="F286" s="28" t="inlineStr">
        <is>
          <t>TOZKONTROL-IYP2-RAMPASIZ</t>
        </is>
      </c>
      <c r="G286" s="29" t="inlineStr">
        <is>
          <t>Kapı Önü Paspası</t>
        </is>
      </c>
      <c r="H286" s="30" t="inlineStr">
        <is>
          <t>Paspas Yap</t>
        </is>
      </c>
      <c r="I286" s="31" t="n">
        <v>93.0</v>
      </c>
      <c r="J286" s="32" t="n">
        <v>16611.0</v>
      </c>
      <c r="K286" s="33" t="n">
        <v>11759.09</v>
      </c>
      <c r="L286" s="34" t="n">
        <v>22.0</v>
      </c>
      <c r="M286" s="35" t="n">
        <v>7807.76</v>
      </c>
      <c r="N286" s="36" t="inlineStr">
        <is>
          <t>25 Ağustos 08.00-1 Eylül 07.59</t>
        </is>
      </c>
      <c r="O286" s="37" t="n">
        <v>11.4</v>
      </c>
      <c r="P286" s="38" t="n">
        <v>11759.09</v>
      </c>
      <c r="Q286" s="39"/>
      <c r="R286" s="40" t="n">
        <f>=IF(AND(ISBLANK(Q286), ISBLANK(U286)), "", "7 Günlük Fiyat")</f>
        <v>0.0</v>
      </c>
      <c r="S286" s="41" t="n">
        <f>=IF(OR(Q286="", R286=""), "-", IF(ISNUMBER(SEARCH("7 Günlük", R286)), IF(Q286&lt;=M286, O286, "-"), "-"))</f>
        <v>0.0</v>
      </c>
      <c r="T286" s="42" t="str">
        <f>=IF(ISBLANK(Q286), "", "Hayır")</f>
      </c>
      <c r="U286" s="43"/>
      <c r="V286" s="44" t="inlineStr">
        <is>
          <t>50461ed1-c2c8-4393-967e-55d58a3e2664</t>
        </is>
      </c>
    </row>
    <row r="287">
      <c r="A287" s="23" t="inlineStr">
        <is>
          <t>Toz Ve Nem Alıcı Paspas Iş Yeri Paspası Iç Ve Dış Mekan Paspası Giriş Paspası Kapı Paspası</t>
        </is>
      </c>
      <c r="B287" s="24" t="inlineStr">
        <is>
          <t>780278960</t>
        </is>
      </c>
      <c r="C287" s="25" t="inlineStr">
        <is>
          <t>TOZKONTROL-IYP2-RAMPASIZ-GRI-100x500</t>
        </is>
      </c>
      <c r="D287" s="26" t="inlineStr">
        <is>
          <t>TOZKONTROL-IYP2-RAMPASIZ-GRI-100x500</t>
        </is>
      </c>
      <c r="E287" s="27" t="inlineStr">
        <is>
          <t>100 x 500</t>
        </is>
      </c>
      <c r="F287" s="28" t="inlineStr">
        <is>
          <t>TOZKONTROL-IYP2-RAMPASIZ</t>
        </is>
      </c>
      <c r="G287" s="29" t="inlineStr">
        <is>
          <t>Kapı Önü Paspası</t>
        </is>
      </c>
      <c r="H287" s="30" t="inlineStr">
        <is>
          <t>Paspas Yap</t>
        </is>
      </c>
      <c r="I287" s="31" t="n">
        <v>93.0</v>
      </c>
      <c r="J287" s="32" t="n">
        <v>6788.0</v>
      </c>
      <c r="K287" s="33" t="n">
        <v>4697.67</v>
      </c>
      <c r="L287" s="34" t="n">
        <v>22.0</v>
      </c>
      <c r="M287" s="35" t="n">
        <v>3125.98</v>
      </c>
      <c r="N287" s="36" t="inlineStr">
        <is>
          <t>25 Ağustos 08.00-1 Eylül 07.59</t>
        </is>
      </c>
      <c r="O287" s="37" t="n">
        <v>11.1</v>
      </c>
      <c r="P287" s="38" t="n">
        <v>4697.67</v>
      </c>
      <c r="Q287" s="39"/>
      <c r="R287" s="40" t="n">
        <f>=IF(AND(ISBLANK(Q287), ISBLANK(U287)), "", "7 Günlük Fiyat")</f>
        <v>0.0</v>
      </c>
      <c r="S287" s="41" t="n">
        <f>=IF(OR(Q287="", R287=""), "-", IF(ISNUMBER(SEARCH("7 Günlük", R287)), IF(Q287&lt;=M287, O287, "-"), "-"))</f>
        <v>0.0</v>
      </c>
      <c r="T287" s="42" t="str">
        <f>=IF(ISBLANK(Q287), "", "Hayır")</f>
      </c>
      <c r="U287" s="43"/>
      <c r="V287" s="44" t="inlineStr">
        <is>
          <t>50461ed1-c2c8-4393-967e-55d58a3e2664</t>
        </is>
      </c>
    </row>
    <row r="288">
      <c r="A288" s="23" t="inlineStr">
        <is>
          <t>Toz Ve Nem Alıcı Paspas Iş Yeri Paspası Iç Ve Dış Mekan Paspası Giriş Paspası Kapı Paspası</t>
        </is>
      </c>
      <c r="B288" s="24" t="inlineStr">
        <is>
          <t>780278960</t>
        </is>
      </c>
      <c r="C288" s="25" t="inlineStr">
        <is>
          <t>TOZKONTROL-IYP2-RAMPASIZ-GRI-1201350</t>
        </is>
      </c>
      <c r="D288" s="26" t="inlineStr">
        <is>
          <t>TOZKONTROL-IYP2-RAMPASIZ-GRI-1201350</t>
        </is>
      </c>
      <c r="E288" s="27" t="inlineStr">
        <is>
          <t>120 x 1350</t>
        </is>
      </c>
      <c r="F288" s="28" t="inlineStr">
        <is>
          <t>TOZKONTROL-IYP2-RAMPASIZ</t>
        </is>
      </c>
      <c r="G288" s="29" t="inlineStr">
        <is>
          <t>Kapı Önü Paspası</t>
        </is>
      </c>
      <c r="H288" s="30" t="inlineStr">
        <is>
          <t>Paspas Yap</t>
        </is>
      </c>
      <c r="I288" s="31" t="n">
        <v>93.0</v>
      </c>
      <c r="J288" s="32" t="n">
        <v>22657.0</v>
      </c>
      <c r="K288" s="33" t="n">
        <v>18079.13</v>
      </c>
      <c r="L288" s="34" t="n">
        <v>22.0</v>
      </c>
      <c r="M288" s="35" t="n">
        <v>11987.18</v>
      </c>
      <c r="N288" s="36" t="inlineStr">
        <is>
          <t>25 Ağustos 08.00-1 Eylül 07.59</t>
        </is>
      </c>
      <c r="O288" s="37" t="n">
        <v>12.2</v>
      </c>
      <c r="P288" s="38" t="n">
        <v>18079.13</v>
      </c>
      <c r="Q288" s="39"/>
      <c r="R288" s="40" t="n">
        <f>=IF(AND(ISBLANK(Q288), ISBLANK(U288)), "", "7 Günlük Fiyat")</f>
        <v>0.0</v>
      </c>
      <c r="S288" s="41" t="n">
        <f>=IF(OR(Q288="", R288=""), "-", IF(ISNUMBER(SEARCH("7 Günlük", R288)), IF(Q288&lt;=M288, O288, "-"), "-"))</f>
        <v>0.0</v>
      </c>
      <c r="T288" s="42" t="str">
        <f>=IF(ISBLANK(Q288), "", "Hayır")</f>
      </c>
      <c r="U288" s="43"/>
      <c r="V288" s="44" t="inlineStr">
        <is>
          <t>50461ed1-c2c8-4393-967e-55d58a3e2664</t>
        </is>
      </c>
    </row>
    <row r="289">
      <c r="A289" s="23" t="inlineStr">
        <is>
          <t>Toz Ve Nem Alıcı Paspas Iş Yeri Paspası Iç Ve Dış Mekan Paspası Giriş Paspası Kapı Paspası</t>
        </is>
      </c>
      <c r="B289" s="24" t="inlineStr">
        <is>
          <t>780278960</t>
        </is>
      </c>
      <c r="C289" s="25" t="inlineStr">
        <is>
          <t>TOZKONTROL-IYP2-RAMPASIZ-GRI-100x200</t>
        </is>
      </c>
      <c r="D289" s="26" t="inlineStr">
        <is>
          <t>TOZKONTROL-IYP2-RAMPASIZ-GRI-100x200</t>
        </is>
      </c>
      <c r="E289" s="27" t="inlineStr">
        <is>
          <t>100 x 200</t>
        </is>
      </c>
      <c r="F289" s="28" t="inlineStr">
        <is>
          <t>TOZKONTROL-IYP2-RAMPASIZ</t>
        </is>
      </c>
      <c r="G289" s="29" t="inlineStr">
        <is>
          <t>Kapı Önü Paspası</t>
        </is>
      </c>
      <c r="H289" s="30" t="inlineStr">
        <is>
          <t>Paspas Yap</t>
        </is>
      </c>
      <c r="I289" s="31" t="n">
        <v>93.0</v>
      </c>
      <c r="J289" s="32" t="n">
        <v>2886.0</v>
      </c>
      <c r="K289" s="33" t="n">
        <v>2014.75</v>
      </c>
      <c r="L289" s="34" t="n">
        <v>22.0</v>
      </c>
      <c r="M289" s="35" t="n">
        <v>1370.48</v>
      </c>
      <c r="N289" s="36" t="inlineStr">
        <is>
          <t>25 Ağustos 08.00-1 Eylül 07.59</t>
        </is>
      </c>
      <c r="O289" s="37" t="n">
        <v>11.7</v>
      </c>
      <c r="P289" s="38" t="n">
        <v>2014.75</v>
      </c>
      <c r="Q289" s="39"/>
      <c r="R289" s="40" t="n">
        <f>=IF(AND(ISBLANK(Q289), ISBLANK(U289)), "", "7 Günlük Fiyat")</f>
        <v>0.0</v>
      </c>
      <c r="S289" s="41" t="n">
        <f>=IF(OR(Q289="", R289=""), "-", IF(ISNUMBER(SEARCH("7 Günlük", R289)), IF(Q289&lt;=M289, O289, "-"), "-"))</f>
        <v>0.0</v>
      </c>
      <c r="T289" s="42" t="str">
        <f>=IF(ISBLANK(Q289), "", "Hayır")</f>
      </c>
      <c r="U289" s="43"/>
      <c r="V289" s="44" t="inlineStr">
        <is>
          <t>50461ed1-c2c8-4393-967e-55d58a3e2664</t>
        </is>
      </c>
    </row>
    <row r="290">
      <c r="A290" s="23" t="inlineStr">
        <is>
          <t>Toz Ve Nem Alıcı Paspas Iş Yeri Paspası Iç Ve Dış Mekan Paspası Giriş Paspası Kapı Paspası</t>
        </is>
      </c>
      <c r="B290" s="24" t="inlineStr">
        <is>
          <t>780278960</t>
        </is>
      </c>
      <c r="C290" s="25" t="inlineStr">
        <is>
          <t>TOZKONTROL-IYP2-RAMPASIZ-GRI-80750</t>
        </is>
      </c>
      <c r="D290" s="26" t="inlineStr">
        <is>
          <t>TOZKONTROL-IYP2-RAMPASIZ-GRI-80750</t>
        </is>
      </c>
      <c r="E290" s="27" t="inlineStr">
        <is>
          <t>80 x 750</t>
        </is>
      </c>
      <c r="F290" s="28" t="inlineStr">
        <is>
          <t>TOZKONTROL-IYP2-RAMPASIZ</t>
        </is>
      </c>
      <c r="G290" s="29" t="inlineStr">
        <is>
          <t>Kapı Önü Paspası</t>
        </is>
      </c>
      <c r="H290" s="30" t="inlineStr">
        <is>
          <t>Paspas Yap</t>
        </is>
      </c>
      <c r="I290" s="31" t="n">
        <v>93.0</v>
      </c>
      <c r="J290" s="32" t="n">
        <v>8116.0</v>
      </c>
      <c r="K290" s="33" t="n">
        <v>5737.96</v>
      </c>
      <c r="L290" s="34" t="n">
        <v>22.0</v>
      </c>
      <c r="M290" s="35" t="n">
        <v>3853.56</v>
      </c>
      <c r="N290" s="36" t="inlineStr">
        <is>
          <t>25 Ağustos 08.00-1 Eylül 07.59</t>
        </is>
      </c>
      <c r="O290" s="37" t="n">
        <v>11.5</v>
      </c>
      <c r="P290" s="38" t="n">
        <v>5737.96</v>
      </c>
      <c r="Q290" s="39"/>
      <c r="R290" s="40" t="n">
        <f>=IF(AND(ISBLANK(Q290), ISBLANK(U290)), "", "7 Günlük Fiyat")</f>
        <v>0.0</v>
      </c>
      <c r="S290" s="41" t="n">
        <f>=IF(OR(Q290="", R290=""), "-", IF(ISNUMBER(SEARCH("7 Günlük", R290)), IF(Q290&lt;=M290, O290, "-"), "-"))</f>
        <v>0.0</v>
      </c>
      <c r="T290" s="42" t="str">
        <f>=IF(ISBLANK(Q290), "", "Hayır")</f>
      </c>
      <c r="U290" s="43"/>
      <c r="V290" s="44" t="inlineStr">
        <is>
          <t>50461ed1-c2c8-4393-967e-55d58a3e2664</t>
        </is>
      </c>
    </row>
    <row r="291">
      <c r="A291" s="23" t="inlineStr">
        <is>
          <t>Toz Ve Nem Alıcı Paspas Iş Yeri Paspası Iç Ve Dış Mekan Paspası Giriş Paspası Kapı Paspası</t>
        </is>
      </c>
      <c r="B291" s="24" t="inlineStr">
        <is>
          <t>780278960</t>
        </is>
      </c>
      <c r="C291" s="25" t="inlineStr">
        <is>
          <t>TOZKONTROL-IYP2-RAMPASIZ-GRI-100850</t>
        </is>
      </c>
      <c r="D291" s="26" t="inlineStr">
        <is>
          <t>TOZKONTROL-IYP2-RAMPASIZ-GRI-100850</t>
        </is>
      </c>
      <c r="E291" s="27" t="inlineStr">
        <is>
          <t>100 x 850</t>
        </is>
      </c>
      <c r="F291" s="28" t="inlineStr">
        <is>
          <t>TOZKONTROL-IYP2-RAMPASIZ</t>
        </is>
      </c>
      <c r="G291" s="29" t="inlineStr">
        <is>
          <t>Kapı Önü Paspası</t>
        </is>
      </c>
      <c r="H291" s="30" t="inlineStr">
        <is>
          <t>Paspas Yap</t>
        </is>
      </c>
      <c r="I291" s="31" t="n">
        <v>93.0</v>
      </c>
      <c r="J291" s="32" t="n">
        <v>11546.0</v>
      </c>
      <c r="K291" s="33" t="n">
        <v>8044.46</v>
      </c>
      <c r="L291" s="34" t="n">
        <v>22.0</v>
      </c>
      <c r="M291" s="35" t="n">
        <v>5336.07</v>
      </c>
      <c r="N291" s="36" t="inlineStr">
        <is>
          <t>25 Ağustos 08.00-1 Eylül 07.59</t>
        </is>
      </c>
      <c r="O291" s="37" t="n">
        <v>11.2</v>
      </c>
      <c r="P291" s="38" t="n">
        <v>8044.46</v>
      </c>
      <c r="Q291" s="39"/>
      <c r="R291" s="40" t="n">
        <f>=IF(AND(ISBLANK(Q291), ISBLANK(U291)), "", "7 Günlük Fiyat")</f>
        <v>0.0</v>
      </c>
      <c r="S291" s="41" t="n">
        <f>=IF(OR(Q291="", R291=""), "-", IF(ISNUMBER(SEARCH("7 Günlük", R291)), IF(Q291&lt;=M291, O291, "-"), "-"))</f>
        <v>0.0</v>
      </c>
      <c r="T291" s="42" t="str">
        <f>=IF(ISBLANK(Q291), "", "Hayır")</f>
      </c>
      <c r="U291" s="43"/>
      <c r="V291" s="44" t="inlineStr">
        <is>
          <t>50461ed1-c2c8-4393-967e-55d58a3e2664</t>
        </is>
      </c>
    </row>
    <row r="292">
      <c r="A292" s="23" t="inlineStr">
        <is>
          <t>Toz Ve Nem Alıcı Paspas Iş Yeri Paspası Iç Ve Dış Mekan Paspası Giriş Paspası Kapı Paspası</t>
        </is>
      </c>
      <c r="B292" s="24" t="inlineStr">
        <is>
          <t>780278960</t>
        </is>
      </c>
      <c r="C292" s="25" t="inlineStr">
        <is>
          <t>TOZKONTROL-IYP2-RAMPASIZ-GRI-100120</t>
        </is>
      </c>
      <c r="D292" s="26" t="inlineStr">
        <is>
          <t>TOZKONTROL-IYP2-RAMPASIZ-GRI-100120</t>
        </is>
      </c>
      <c r="E292" s="27" t="inlineStr">
        <is>
          <t>100 x 120</t>
        </is>
      </c>
      <c r="F292" s="28" t="inlineStr">
        <is>
          <t>TOZKONTROL-IYP2-RAMPASIZ</t>
        </is>
      </c>
      <c r="G292" s="29" t="inlineStr">
        <is>
          <t>Kapı Önü Paspası</t>
        </is>
      </c>
      <c r="H292" s="30" t="inlineStr">
        <is>
          <t>Paspas Yap</t>
        </is>
      </c>
      <c r="I292" s="31" t="n">
        <v>93.0</v>
      </c>
      <c r="J292" s="32" t="n">
        <v>1949.0</v>
      </c>
      <c r="K292" s="33" t="n">
        <v>1390.87</v>
      </c>
      <c r="L292" s="34" t="n">
        <v>22.0</v>
      </c>
      <c r="M292" s="35" t="n">
        <v>947.35</v>
      </c>
      <c r="N292" s="36" t="inlineStr">
        <is>
          <t>25 Ağustos 08.00-1 Eylül 07.59</t>
        </is>
      </c>
      <c r="O292" s="37" t="n">
        <v>12.2</v>
      </c>
      <c r="P292" s="38" t="n">
        <v>1390.87</v>
      </c>
      <c r="Q292" s="39"/>
      <c r="R292" s="40" t="n">
        <f>=IF(AND(ISBLANK(Q292), ISBLANK(U292)), "", "7 Günlük Fiyat")</f>
        <v>0.0</v>
      </c>
      <c r="S292" s="41" t="n">
        <f>=IF(OR(Q292="", R292=""), "-", IF(ISNUMBER(SEARCH("7 Günlük", R292)), IF(Q292&lt;=M292, O292, "-"), "-"))</f>
        <v>0.0</v>
      </c>
      <c r="T292" s="42" t="str">
        <f>=IF(ISBLANK(Q292), "", "Hayır")</f>
      </c>
      <c r="U292" s="43"/>
      <c r="V292" s="44" t="inlineStr">
        <is>
          <t>50461ed1-c2c8-4393-967e-55d58a3e2664</t>
        </is>
      </c>
    </row>
    <row r="293">
      <c r="A293" s="23" t="inlineStr">
        <is>
          <t>Toz Ve Nem Alıcı Paspas Iş Yeri Paspası Iç Ve Dış Mekan Paspası Giriş Paspası Kapı Paspası</t>
        </is>
      </c>
      <c r="B293" s="24" t="inlineStr">
        <is>
          <t>780278960</t>
        </is>
      </c>
      <c r="C293" s="25" t="inlineStr">
        <is>
          <t>TOZKONTROL-IYP2-RAMPASIZ-GRI-1201150</t>
        </is>
      </c>
      <c r="D293" s="26" t="inlineStr">
        <is>
          <t>TOZKONTROL-IYP2-RAMPASIZ-GRI-1201150</t>
        </is>
      </c>
      <c r="E293" s="27" t="inlineStr">
        <is>
          <t>120 x 1150</t>
        </is>
      </c>
      <c r="F293" s="28" t="inlineStr">
        <is>
          <t>TOZKONTROL-IYP2-RAMPASIZ</t>
        </is>
      </c>
      <c r="G293" s="29" t="inlineStr">
        <is>
          <t>Kapı Önü Paspası</t>
        </is>
      </c>
      <c r="H293" s="30" t="inlineStr">
        <is>
          <t>Paspas Yap</t>
        </is>
      </c>
      <c r="I293" s="31" t="n">
        <v>93.0</v>
      </c>
      <c r="J293" s="32" t="n">
        <v>19202.0</v>
      </c>
      <c r="K293" s="33" t="n">
        <v>13242.9</v>
      </c>
      <c r="L293" s="34" t="n">
        <v>22.0</v>
      </c>
      <c r="M293" s="35" t="n">
        <v>8615.85</v>
      </c>
      <c r="N293" s="36" t="inlineStr">
        <is>
          <t>25 Ağustos 08.00-1 Eylül 07.59</t>
        </is>
      </c>
      <c r="O293" s="37" t="n">
        <v>10.4</v>
      </c>
      <c r="P293" s="38" t="n">
        <v>13242.9</v>
      </c>
      <c r="Q293" s="39"/>
      <c r="R293" s="40" t="n">
        <f>=IF(AND(ISBLANK(Q293), ISBLANK(U293)), "", "7 Günlük Fiyat")</f>
        <v>0.0</v>
      </c>
      <c r="S293" s="41" t="n">
        <f>=IF(OR(Q293="", R293=""), "-", IF(ISNUMBER(SEARCH("7 Günlük", R293)), IF(Q293&lt;=M293, O293, "-"), "-"))</f>
        <v>0.0</v>
      </c>
      <c r="T293" s="42" t="str">
        <f>=IF(ISBLANK(Q293), "", "Hayır")</f>
      </c>
      <c r="U293" s="43"/>
      <c r="V293" s="44" t="inlineStr">
        <is>
          <t>50461ed1-c2c8-4393-967e-55d58a3e2664</t>
        </is>
      </c>
    </row>
    <row r="294">
      <c r="A294" s="23" t="inlineStr">
        <is>
          <t>Kelebekli Ve Çiçekli Kapı Önü Paspası Koko Paspas Ev Giriş Paspası Kapı Paspası Kıl Paspas</t>
        </is>
      </c>
      <c r="B294" s="24" t="inlineStr">
        <is>
          <t>130618113</t>
        </is>
      </c>
      <c r="C294" s="25" t="inlineStr">
        <is>
          <t>ST48-5090</t>
        </is>
      </c>
      <c r="D294" s="26" t="inlineStr">
        <is>
          <t>KOKO--50x90--ST48</t>
        </is>
      </c>
      <c r="E294" s="27" t="inlineStr">
        <is>
          <t>50 x 90</t>
        </is>
      </c>
      <c r="F294" s="28" t="inlineStr">
        <is>
          <t>ST48</t>
        </is>
      </c>
      <c r="G294" s="29" t="inlineStr">
        <is>
          <t>Kapı Önü Paspası</t>
        </is>
      </c>
      <c r="H294" s="30" t="inlineStr">
        <is>
          <t>Paspas Yap</t>
        </is>
      </c>
      <c r="I294" s="31" t="n">
        <v>87.0</v>
      </c>
      <c r="J294" s="32" t="n">
        <v>2199.0</v>
      </c>
      <c r="K294" s="33" t="n">
        <v>1871.35</v>
      </c>
      <c r="L294" s="34" t="n">
        <v>22.0</v>
      </c>
      <c r="M294" s="35" t="n">
        <v>1058.27</v>
      </c>
      <c r="N294" s="36" t="inlineStr">
        <is>
          <t>25 Ağustos 08.00-1 Eylül 07.59</t>
        </is>
      </c>
      <c r="O294" s="37" t="n">
        <v>10.9</v>
      </c>
      <c r="P294" s="38" t="n">
        <v>1871.35</v>
      </c>
      <c r="Q294" s="39"/>
      <c r="R294" s="40" t="n">
        <f>=IF(AND(ISBLANK(Q294), ISBLANK(U294)), "", "7 Günlük Fiyat")</f>
        <v>0.0</v>
      </c>
      <c r="S294" s="41" t="n">
        <f>=IF(OR(Q294="", R294=""), "-", IF(ISNUMBER(SEARCH("7 Günlük", R294)), IF(Q294&lt;=M294, O294, "-"), "-"))</f>
        <v>0.0</v>
      </c>
      <c r="T294" s="42" t="str">
        <f>=IF(ISBLANK(Q294), "", "Hayır")</f>
      </c>
      <c r="U294" s="43"/>
      <c r="V294" s="44" t="inlineStr">
        <is>
          <t>50461ed1-c2c8-4393-967e-55d58a3e2664</t>
        </is>
      </c>
    </row>
    <row r="295">
      <c r="A295" s="23" t="inlineStr">
        <is>
          <t>Kelebekli Ve Çiçekli Kapı Önü Paspası Koko Paspas Ev Giriş Paspası Kapı Paspası Kıl Paspas</t>
        </is>
      </c>
      <c r="B295" s="24" t="inlineStr">
        <is>
          <t>130618113</t>
        </is>
      </c>
      <c r="C295" s="25" t="inlineStr">
        <is>
          <t>ST48-4060</t>
        </is>
      </c>
      <c r="D295" s="26" t="inlineStr">
        <is>
          <t>KOKO--40x60--ST48</t>
        </is>
      </c>
      <c r="E295" s="27" t="inlineStr">
        <is>
          <t>40 x 60</t>
        </is>
      </c>
      <c r="F295" s="28" t="inlineStr">
        <is>
          <t>ST48</t>
        </is>
      </c>
      <c r="G295" s="29" t="inlineStr">
        <is>
          <t>Kapı Önü Paspası</t>
        </is>
      </c>
      <c r="H295" s="30" t="inlineStr">
        <is>
          <t>Paspas Yap</t>
        </is>
      </c>
      <c r="I295" s="31" t="n">
        <v>90.0</v>
      </c>
      <c r="J295" s="32" t="n">
        <v>988.0</v>
      </c>
      <c r="K295" s="33" t="n">
        <v>988.0</v>
      </c>
      <c r="L295" s="34" t="n">
        <v>22.0</v>
      </c>
      <c r="M295" s="35" t="n">
        <v>615.75</v>
      </c>
      <c r="N295" s="36" t="inlineStr">
        <is>
          <t>25 Ağustos 08.00-1 Eylül 07.59</t>
        </is>
      </c>
      <c r="O295" s="37" t="n">
        <v>14.9</v>
      </c>
      <c r="P295" s="38" t="n">
        <v>988.0</v>
      </c>
      <c r="Q295" s="39"/>
      <c r="R295" s="40" t="n">
        <f>=IF(AND(ISBLANK(Q295), ISBLANK(U295)), "", "7 Günlük Fiyat")</f>
        <v>0.0</v>
      </c>
      <c r="S295" s="41" t="n">
        <f>=IF(OR(Q295="", R295=""), "-", IF(ISNUMBER(SEARCH("7 Günlük", R295)), IF(Q295&lt;=M295, O295, "-"), "-"))</f>
        <v>0.0</v>
      </c>
      <c r="T295" s="42" t="str">
        <f>=IF(ISBLANK(Q295), "", "Hayır")</f>
      </c>
      <c r="U295" s="43"/>
      <c r="V295" s="44" t="inlineStr">
        <is>
          <t>50461ed1-c2c8-4393-967e-55d58a3e2664</t>
        </is>
      </c>
    </row>
    <row r="296">
      <c r="A296" s="23" t="inlineStr">
        <is>
          <t>Kelebekli Ve Çiçekli Kapı Önü Paspası Koko Paspas Ev Giriş Paspası Kapı Paspası Kıl Paspas</t>
        </is>
      </c>
      <c r="B296" s="24" t="inlineStr">
        <is>
          <t>130618113</t>
        </is>
      </c>
      <c r="C296" s="25" t="inlineStr">
        <is>
          <t>ST48-4070</t>
        </is>
      </c>
      <c r="D296" s="26" t="inlineStr">
        <is>
          <t>KOKO--40x70--ST48</t>
        </is>
      </c>
      <c r="E296" s="27" t="inlineStr">
        <is>
          <t>40 x 70</t>
        </is>
      </c>
      <c r="F296" s="28" t="inlineStr">
        <is>
          <t>ST48</t>
        </is>
      </c>
      <c r="G296" s="29" t="inlineStr">
        <is>
          <t>Kapı Önü Paspası</t>
        </is>
      </c>
      <c r="H296" s="30" t="inlineStr">
        <is>
          <t>Paspas Yap</t>
        </is>
      </c>
      <c r="I296" s="31" t="n">
        <v>83.0</v>
      </c>
      <c r="J296" s="32" t="n">
        <v>1506.0</v>
      </c>
      <c r="K296" s="33" t="n">
        <v>1113.8</v>
      </c>
      <c r="L296" s="34" t="n">
        <v>22.0</v>
      </c>
      <c r="M296" s="35" t="n">
        <v>716.06</v>
      </c>
      <c r="N296" s="36" t="inlineStr">
        <is>
          <t>25 Ağustos 08.00-1 Eylül 07.59</t>
        </is>
      </c>
      <c r="O296" s="37" t="n">
        <v>10.1</v>
      </c>
      <c r="P296" s="38" t="n">
        <v>1113.8</v>
      </c>
      <c r="Q296" s="39"/>
      <c r="R296" s="40" t="n">
        <f>=IF(AND(ISBLANK(Q296), ISBLANK(U296)), "", "7 Günlük Fiyat")</f>
        <v>0.0</v>
      </c>
      <c r="S296" s="41" t="n">
        <f>=IF(OR(Q296="", R296=""), "-", IF(ISNUMBER(SEARCH("7 Günlük", R296)), IF(Q296&lt;=M296, O296, "-"), "-"))</f>
        <v>0.0</v>
      </c>
      <c r="T296" s="42" t="str">
        <f>=IF(ISBLANK(Q296), "", "Hayır")</f>
      </c>
      <c r="U296" s="43"/>
      <c r="V296" s="44" t="inlineStr">
        <is>
          <t>50461ed1-c2c8-4393-967e-55d58a3e2664</t>
        </is>
      </c>
    </row>
    <row r="297">
      <c r="A297" s="23" t="inlineStr">
        <is>
          <t>Kelebekli Ve Çiçekli Kapı Önü Paspası Koko Paspas Ev Giriş Paspası Kapı Paspası Kıl Paspas</t>
        </is>
      </c>
      <c r="B297" s="24" t="inlineStr">
        <is>
          <t>130618113</t>
        </is>
      </c>
      <c r="C297" s="25" t="inlineStr">
        <is>
          <t>ST48-3360</t>
        </is>
      </c>
      <c r="D297" s="26" t="inlineStr">
        <is>
          <t>KOKO--33x60--ST48</t>
        </is>
      </c>
      <c r="E297" s="27" t="inlineStr">
        <is>
          <t>33 x 60</t>
        </is>
      </c>
      <c r="F297" s="28" t="inlineStr">
        <is>
          <t>ST48</t>
        </is>
      </c>
      <c r="G297" s="29" t="inlineStr">
        <is>
          <t>Kapı Önü Paspası</t>
        </is>
      </c>
      <c r="H297" s="30" t="inlineStr">
        <is>
          <t>Paspas Yap</t>
        </is>
      </c>
      <c r="I297" s="31" t="n">
        <v>92.0</v>
      </c>
      <c r="J297" s="32" t="n">
        <v>799.0</v>
      </c>
      <c r="K297" s="33" t="n">
        <v>799.0</v>
      </c>
      <c r="L297" s="34" t="n">
        <v>22.0</v>
      </c>
      <c r="M297" s="35" t="n">
        <v>487.47</v>
      </c>
      <c r="N297" s="36" t="inlineStr">
        <is>
          <t>25 Ağustos 08.00-1 Eylül 07.59</t>
        </is>
      </c>
      <c r="O297" s="37" t="n">
        <v>12.8</v>
      </c>
      <c r="P297" s="38" t="n">
        <v>799.0</v>
      </c>
      <c r="Q297" s="39"/>
      <c r="R297" s="40" t="n">
        <f>=IF(AND(ISBLANK(Q297), ISBLANK(U297)), "", "7 Günlük Fiyat")</f>
        <v>0.0</v>
      </c>
      <c r="S297" s="41" t="n">
        <f>=IF(OR(Q297="", R297=""), "-", IF(ISNUMBER(SEARCH("7 Günlük", R297)), IF(Q297&lt;=M297, O297, "-"), "-"))</f>
        <v>0.0</v>
      </c>
      <c r="T297" s="42" t="str">
        <f>=IF(ISBLANK(Q297), "", "Hayır")</f>
      </c>
      <c r="U297" s="43"/>
      <c r="V297" s="44" t="inlineStr">
        <is>
          <t>50461ed1-c2c8-4393-967e-55d58a3e2664</t>
        </is>
      </c>
    </row>
    <row r="298">
      <c r="A298" s="23" t="inlineStr">
        <is>
          <t>Rampalı Giriş Paspası Toz Ve Nem Alıcı Su Emici Kaymaz Paspas Apartman Dükkan Iş Yeri Paspası</t>
        </is>
      </c>
      <c r="B298" s="24" t="inlineStr">
        <is>
          <t>769993791</t>
        </is>
      </c>
      <c r="C298" s="25" t="inlineStr">
        <is>
          <t>TOZKONTROL-IYP1-KIRMIZI-100700</t>
        </is>
      </c>
      <c r="D298" s="26" t="inlineStr">
        <is>
          <t>TOZKONTROL-IYP1-KIRMIZI-100700</t>
        </is>
      </c>
      <c r="E298" s="27" t="inlineStr">
        <is>
          <t>100 x 700</t>
        </is>
      </c>
      <c r="F298" s="28" t="inlineStr">
        <is>
          <t>TOZKONTROL-IYP1</t>
        </is>
      </c>
      <c r="G298" s="29" t="inlineStr">
        <is>
          <t>Kapı Önü Paspası</t>
        </is>
      </c>
      <c r="H298" s="30" t="inlineStr">
        <is>
          <t>Paspas Yap</t>
        </is>
      </c>
      <c r="I298" s="31" t="n">
        <v>93.0</v>
      </c>
      <c r="J298" s="32" t="n">
        <v>12074.0</v>
      </c>
      <c r="K298" s="33" t="n">
        <v>10742.14</v>
      </c>
      <c r="L298" s="34" t="n">
        <v>22.0</v>
      </c>
      <c r="M298" s="35" t="n">
        <v>6903.31</v>
      </c>
      <c r="N298" s="36" t="inlineStr">
        <is>
          <t>25 Ağustos 08.00-1 Eylül 07.59</t>
        </is>
      </c>
      <c r="O298" s="37" t="n">
        <v>12.6</v>
      </c>
      <c r="P298" s="38" t="n">
        <v>10742.14</v>
      </c>
      <c r="Q298" s="39"/>
      <c r="R298" s="40" t="n">
        <f>=IF(AND(ISBLANK(Q298), ISBLANK(U298)), "", "7 Günlük Fiyat")</f>
        <v>0.0</v>
      </c>
      <c r="S298" s="41" t="n">
        <f>=IF(OR(Q298="", R298=""), "-", IF(ISNUMBER(SEARCH("7 Günlük", R298)), IF(Q298&lt;=M298, O298, "-"), "-"))</f>
        <v>0.0</v>
      </c>
      <c r="T298" s="42" t="str">
        <f>=IF(ISBLANK(Q298), "", "Hayır")</f>
      </c>
      <c r="U298" s="43"/>
      <c r="V298" s="44" t="inlineStr">
        <is>
          <t>50461ed1-c2c8-4393-967e-55d58a3e2664</t>
        </is>
      </c>
    </row>
    <row r="299">
      <c r="A299" s="23" t="inlineStr">
        <is>
          <t>Rampalı Giriş Paspası Toz Ve Nem Alıcı Su Emici Kaymaz Paspas Apartman Dükkan Iş Yeri Paspası</t>
        </is>
      </c>
      <c r="B299" s="24" t="inlineStr">
        <is>
          <t>769993791</t>
        </is>
      </c>
      <c r="C299" s="25" t="inlineStr">
        <is>
          <t>TOZKONTROL-IYP1-KIRMIZI-1001350</t>
        </is>
      </c>
      <c r="D299" s="26" t="inlineStr">
        <is>
          <t>TOZKONTROL-IYP1-KIRMIZI-1001350</t>
        </is>
      </c>
      <c r="E299" s="27" t="inlineStr">
        <is>
          <t>100 x 1350</t>
        </is>
      </c>
      <c r="F299" s="28" t="inlineStr">
        <is>
          <t>TOZKONTROL-IYP1</t>
        </is>
      </c>
      <c r="G299" s="29" t="inlineStr">
        <is>
          <t>Kapı Önü Paspası</t>
        </is>
      </c>
      <c r="H299" s="30" t="inlineStr">
        <is>
          <t>Paspas Yap</t>
        </is>
      </c>
      <c r="I299" s="31" t="n">
        <v>93.0</v>
      </c>
      <c r="J299" s="32" t="n">
        <v>24752.0</v>
      </c>
      <c r="K299" s="33" t="n">
        <v>22792.64</v>
      </c>
      <c r="L299" s="34" t="n">
        <v>22.0</v>
      </c>
      <c r="M299" s="35" t="n">
        <v>15715.55</v>
      </c>
      <c r="N299" s="36" t="inlineStr">
        <is>
          <t>25 Ağustos 08.00-1 Eylül 07.59</t>
        </is>
      </c>
      <c r="O299" s="37" t="n">
        <v>14.7</v>
      </c>
      <c r="P299" s="38" t="n">
        <v>22792.64</v>
      </c>
      <c r="Q299" s="39"/>
      <c r="R299" s="40" t="n">
        <f>=IF(AND(ISBLANK(Q299), ISBLANK(U299)), "", "7 Günlük Fiyat")</f>
        <v>0.0</v>
      </c>
      <c r="S299" s="41" t="n">
        <f>=IF(OR(Q299="", R299=""), "-", IF(ISNUMBER(SEARCH("7 Günlük", R299)), IF(Q299&lt;=M299, O299, "-"), "-"))</f>
        <v>0.0</v>
      </c>
      <c r="T299" s="42" t="str">
        <f>=IF(ISBLANK(Q299), "", "Hayır")</f>
      </c>
      <c r="U299" s="43"/>
      <c r="V299" s="44" t="inlineStr">
        <is>
          <t>50461ed1-c2c8-4393-967e-55d58a3e2664</t>
        </is>
      </c>
    </row>
    <row r="300">
      <c r="A300" s="23" t="inlineStr">
        <is>
          <t>Rampalı Giriş Paspası Toz Ve Nem Alıcı Su Emici Kaymaz Paspas Apartman Dükkan Iş Yeri Paspası</t>
        </is>
      </c>
      <c r="B300" s="24" t="inlineStr">
        <is>
          <t>769993791</t>
        </is>
      </c>
      <c r="C300" s="25" t="inlineStr">
        <is>
          <t>TOZKONTROL-IYP1-KIRMIZI-120300</t>
        </is>
      </c>
      <c r="D300" s="26" t="inlineStr">
        <is>
          <t>TOZKONTROL-IYP1-KIRMIZI-120300</t>
        </is>
      </c>
      <c r="E300" s="27" t="inlineStr">
        <is>
          <t>120 x 300</t>
        </is>
      </c>
      <c r="F300" s="28" t="inlineStr">
        <is>
          <t>TOZKONTROL-IYP1</t>
        </is>
      </c>
      <c r="G300" s="29" t="inlineStr">
        <is>
          <t>Kapı Önü Paspası</t>
        </is>
      </c>
      <c r="H300" s="30" t="inlineStr">
        <is>
          <t>Paspas Yap</t>
        </is>
      </c>
      <c r="I300" s="31" t="n">
        <v>93.0</v>
      </c>
      <c r="J300" s="32" t="n">
        <v>6557.0</v>
      </c>
      <c r="K300" s="33" t="n">
        <v>5337.12</v>
      </c>
      <c r="L300" s="34" t="n">
        <v>22.0</v>
      </c>
      <c r="M300" s="35" t="n">
        <v>3525.27</v>
      </c>
      <c r="N300" s="36" t="inlineStr">
        <is>
          <t>25 Ağustos 08.00-1 Eylül 07.59</t>
        </is>
      </c>
      <c r="O300" s="37" t="n">
        <v>13.0</v>
      </c>
      <c r="P300" s="38" t="n">
        <v>5337.12</v>
      </c>
      <c r="Q300" s="39"/>
      <c r="R300" s="40" t="n">
        <f>=IF(AND(ISBLANK(Q300), ISBLANK(U300)), "", "7 Günlük Fiyat")</f>
        <v>0.0</v>
      </c>
      <c r="S300" s="41" t="n">
        <f>=IF(OR(Q300="", R300=""), "-", IF(ISNUMBER(SEARCH("7 Günlük", R300)), IF(Q300&lt;=M300, O300, "-"), "-"))</f>
        <v>0.0</v>
      </c>
      <c r="T300" s="42" t="str">
        <f>=IF(ISBLANK(Q300), "", "Hayır")</f>
      </c>
      <c r="U300" s="43"/>
      <c r="V300" s="44" t="inlineStr">
        <is>
          <t>50461ed1-c2c8-4393-967e-55d58a3e2664</t>
        </is>
      </c>
    </row>
    <row r="301">
      <c r="A301" s="23" t="inlineStr">
        <is>
          <t>Rampalı Giriş Paspası Toz Ve Nem Alıcı Su Emici Kaymaz Paspas Apartman Dükkan Iş Yeri Paspası</t>
        </is>
      </c>
      <c r="B301" s="24" t="inlineStr">
        <is>
          <t>769993791</t>
        </is>
      </c>
      <c r="C301" s="25" t="inlineStr">
        <is>
          <t>TOZKONTROL-IYP1-KIRMIZI-1001400</t>
        </is>
      </c>
      <c r="D301" s="26" t="inlineStr">
        <is>
          <t>TOZKONTROL-IYP1-KIRMIZI-1001400</t>
        </is>
      </c>
      <c r="E301" s="27" t="inlineStr">
        <is>
          <t>100 x 1400</t>
        </is>
      </c>
      <c r="F301" s="28" t="inlineStr">
        <is>
          <t>TOZKONTROL-IYP1</t>
        </is>
      </c>
      <c r="G301" s="29" t="inlineStr">
        <is>
          <t>Kapı Önü Paspası</t>
        </is>
      </c>
      <c r="H301" s="30" t="inlineStr">
        <is>
          <t>Paspas Yap</t>
        </is>
      </c>
      <c r="I301" s="31" t="n">
        <v>93.0</v>
      </c>
      <c r="J301" s="32" t="n">
        <v>25490.0</v>
      </c>
      <c r="K301" s="33" t="n">
        <v>23422.86</v>
      </c>
      <c r="L301" s="34" t="n">
        <v>22.0</v>
      </c>
      <c r="M301" s="35" t="n">
        <v>16062.88</v>
      </c>
      <c r="N301" s="36" t="inlineStr">
        <is>
          <t>25 Ağustos 08.00-1 Eylül 07.59</t>
        </is>
      </c>
      <c r="O301" s="37" t="n">
        <v>14.6</v>
      </c>
      <c r="P301" s="38" t="n">
        <v>23422.86</v>
      </c>
      <c r="Q301" s="39"/>
      <c r="R301" s="40" t="n">
        <f>=IF(AND(ISBLANK(Q301), ISBLANK(U301)), "", "7 Günlük Fiyat")</f>
        <v>0.0</v>
      </c>
      <c r="S301" s="41" t="n">
        <f>=IF(OR(Q301="", R301=""), "-", IF(ISNUMBER(SEARCH("7 Günlük", R301)), IF(Q301&lt;=M301, O301, "-"), "-"))</f>
        <v>0.0</v>
      </c>
      <c r="T301" s="42" t="str">
        <f>=IF(ISBLANK(Q301), "", "Hayır")</f>
      </c>
      <c r="U301" s="43"/>
      <c r="V301" s="44" t="inlineStr">
        <is>
          <t>50461ed1-c2c8-4393-967e-55d58a3e2664</t>
        </is>
      </c>
    </row>
    <row r="302">
      <c r="A302" s="23" t="inlineStr">
        <is>
          <t>Rampalı Giriş Paspası Toz Ve Nem Alıcı Su Emici Kaymaz Paspas Apartman Dükkan Iş Yeri Paspası</t>
        </is>
      </c>
      <c r="B302" s="24" t="inlineStr">
        <is>
          <t>769993791</t>
        </is>
      </c>
      <c r="C302" s="25" t="inlineStr">
        <is>
          <t>TOZKONTROL-IYP1-KIRMIZI-80250</t>
        </is>
      </c>
      <c r="D302" s="26" t="inlineStr">
        <is>
          <t>TOZKONTROL-IYP1-KIRMIZI-80250</t>
        </is>
      </c>
      <c r="E302" s="27" t="inlineStr">
        <is>
          <t>80 x 250</t>
        </is>
      </c>
      <c r="F302" s="28" t="inlineStr">
        <is>
          <t>TOZKONTROL-IYP1</t>
        </is>
      </c>
      <c r="G302" s="29" t="inlineStr">
        <is>
          <t>Kapı Önü Paspası</t>
        </is>
      </c>
      <c r="H302" s="30" t="inlineStr">
        <is>
          <t>Paspas Yap</t>
        </is>
      </c>
      <c r="I302" s="31" t="n">
        <v>93.0</v>
      </c>
      <c r="J302" s="32" t="n">
        <v>3729.0</v>
      </c>
      <c r="K302" s="33" t="n">
        <v>3298.19</v>
      </c>
      <c r="L302" s="34" t="n">
        <v>22.0</v>
      </c>
      <c r="M302" s="35" t="n">
        <v>2695.8</v>
      </c>
      <c r="N302" s="36" t="inlineStr">
        <is>
          <t>25 Ağustos 08.00-1 Eylül 07.59</t>
        </is>
      </c>
      <c r="O302" s="37" t="n">
        <v>17.0</v>
      </c>
      <c r="P302" s="38" t="n">
        <v>3298.19</v>
      </c>
      <c r="Q302" s="39"/>
      <c r="R302" s="40" t="n">
        <f>=IF(AND(ISBLANK(Q302), ISBLANK(U302)), "", "7 Günlük Fiyat")</f>
        <v>0.0</v>
      </c>
      <c r="S302" s="41" t="n">
        <f>=IF(OR(Q302="", R302=""), "-", IF(ISNUMBER(SEARCH("7 Günlük", R302)), IF(Q302&lt;=M302, O302, "-"), "-"))</f>
        <v>0.0</v>
      </c>
      <c r="T302" s="42" t="str">
        <f>=IF(ISBLANK(Q302), "", "Hayır")</f>
      </c>
      <c r="U302" s="43"/>
      <c r="V302" s="44" t="inlineStr">
        <is>
          <t>50461ed1-c2c8-4393-967e-55d58a3e2664</t>
        </is>
      </c>
    </row>
    <row r="303">
      <c r="A303" s="23" t="inlineStr">
        <is>
          <t>Rampalı Giriş Paspası Toz Ve Nem Alıcı Su Emici Kaymaz Paspas Apartman Dükkan Iş Yeri Paspası</t>
        </is>
      </c>
      <c r="B303" s="24" t="inlineStr">
        <is>
          <t>769993791</t>
        </is>
      </c>
      <c r="C303" s="25" t="inlineStr">
        <is>
          <t>TOZKONTROL-IYP1-KIRMIZI-120600</t>
        </is>
      </c>
      <c r="D303" s="26" t="inlineStr">
        <is>
          <t>TOZKONTROL-IYP1-KIRMIZI-120600</t>
        </is>
      </c>
      <c r="E303" s="27" t="inlineStr">
        <is>
          <t>120 x 600</t>
        </is>
      </c>
      <c r="F303" s="28" t="inlineStr">
        <is>
          <t>TOZKONTROL-IYP1</t>
        </is>
      </c>
      <c r="G303" s="29" t="inlineStr">
        <is>
          <t>Kapı Önü Paspası</t>
        </is>
      </c>
      <c r="H303" s="30" t="inlineStr">
        <is>
          <t>Paspas Yap</t>
        </is>
      </c>
      <c r="I303" s="31" t="n">
        <v>93.0</v>
      </c>
      <c r="J303" s="32" t="n">
        <v>12542.0</v>
      </c>
      <c r="K303" s="33" t="n">
        <v>11600.11</v>
      </c>
      <c r="L303" s="34" t="n">
        <v>22.0</v>
      </c>
      <c r="M303" s="35" t="n">
        <v>7785.37</v>
      </c>
      <c r="N303" s="36" t="inlineStr">
        <is>
          <t>25 Ağustos 08.00-1 Eylül 07.59</t>
        </is>
      </c>
      <c r="O303" s="37" t="n">
        <v>14.5</v>
      </c>
      <c r="P303" s="38" t="n">
        <v>11600.11</v>
      </c>
      <c r="Q303" s="39"/>
      <c r="R303" s="40" t="n">
        <f>=IF(AND(ISBLANK(Q303), ISBLANK(U303)), "", "7 Günlük Fiyat")</f>
        <v>0.0</v>
      </c>
      <c r="S303" s="41" t="n">
        <f>=IF(OR(Q303="", R303=""), "-", IF(ISNUMBER(SEARCH("7 Günlük", R303)), IF(Q303&lt;=M303, O303, "-"), "-"))</f>
        <v>0.0</v>
      </c>
      <c r="T303" s="42" t="str">
        <f>=IF(ISBLANK(Q303), "", "Hayır")</f>
      </c>
      <c r="U303" s="43"/>
      <c r="V303" s="44" t="inlineStr">
        <is>
          <t>50461ed1-c2c8-4393-967e-55d58a3e2664</t>
        </is>
      </c>
    </row>
    <row r="304">
      <c r="A304" s="23" t="inlineStr">
        <is>
          <t>Rampalı Giriş Paspası Toz Ve Nem Alıcı Su Emici Kaymaz Paspas Apartman Dükkan Iş Yeri Paspası</t>
        </is>
      </c>
      <c r="B304" s="24" t="inlineStr">
        <is>
          <t>769993791</t>
        </is>
      </c>
      <c r="C304" s="25" t="inlineStr">
        <is>
          <t>TOZKONTROL-IYP1-KIRMIZI-60100</t>
        </is>
      </c>
      <c r="D304" s="26" t="inlineStr">
        <is>
          <t>TOZKONTROL-IYP1-KIRMIZI-60100</t>
        </is>
      </c>
      <c r="E304" s="27" t="inlineStr">
        <is>
          <t>60 x 100</t>
        </is>
      </c>
      <c r="F304" s="28" t="inlineStr">
        <is>
          <t>TOZKONTROL-IYP1</t>
        </is>
      </c>
      <c r="G304" s="29" t="inlineStr">
        <is>
          <t>Kapı Önü Paspası</t>
        </is>
      </c>
      <c r="H304" s="30" t="inlineStr">
        <is>
          <t>Paspas Yap</t>
        </is>
      </c>
      <c r="I304" s="31" t="n">
        <v>89.0</v>
      </c>
      <c r="J304" s="32" t="n">
        <v>1599.0</v>
      </c>
      <c r="K304" s="33" t="n">
        <v>1390.35</v>
      </c>
      <c r="L304" s="34" t="n">
        <v>21.4</v>
      </c>
      <c r="M304" s="35" t="n">
        <v>1119.03</v>
      </c>
      <c r="N304" s="36" t="inlineStr">
        <is>
          <t>25 Ağustos 08.00-1 Eylül 07.59</t>
        </is>
      </c>
      <c r="O304" s="37" t="n">
        <v>16.3</v>
      </c>
      <c r="P304" s="38" t="n">
        <v>1390.35</v>
      </c>
      <c r="Q304" s="39"/>
      <c r="R304" s="40" t="n">
        <f>=IF(AND(ISBLANK(Q304), ISBLANK(U304)), "", "7 Günlük Fiyat")</f>
        <v>0.0</v>
      </c>
      <c r="S304" s="41" t="n">
        <f>=IF(OR(Q304="", R304=""), "-", IF(ISNUMBER(SEARCH("7 Günlük", R304)), IF(Q304&lt;=M304, O304, "-"), "-"))</f>
        <v>0.0</v>
      </c>
      <c r="T304" s="42" t="str">
        <f>=IF(ISBLANK(Q304), "", "Hayır")</f>
      </c>
      <c r="U304" s="43"/>
      <c r="V304" s="44" t="inlineStr">
        <is>
          <t>50461ed1-c2c8-4393-967e-55d58a3e2664</t>
        </is>
      </c>
    </row>
    <row r="305">
      <c r="A305" s="23" t="inlineStr">
        <is>
          <t>Rampalı Giriş Paspası Toz Ve Nem Alıcı Su Emici Kaymaz Paspas Apartman Dükkan Iş Yeri Paspası</t>
        </is>
      </c>
      <c r="B305" s="24" t="inlineStr">
        <is>
          <t>769993791</t>
        </is>
      </c>
      <c r="C305" s="25" t="inlineStr">
        <is>
          <t>TOZKONTROL-IYP1-KIRMIZI-100850</t>
        </is>
      </c>
      <c r="D305" s="26" t="inlineStr">
        <is>
          <t>TOZKONTROL-IYP1-KIRMIZI-100850</t>
        </is>
      </c>
      <c r="E305" s="27" t="inlineStr">
        <is>
          <t>100 x 850</t>
        </is>
      </c>
      <c r="F305" s="28" t="inlineStr">
        <is>
          <t>TOZKONTROL-IYP1</t>
        </is>
      </c>
      <c r="G305" s="29" t="inlineStr">
        <is>
          <t>Kapı Önü Paspası</t>
        </is>
      </c>
      <c r="H305" s="30" t="inlineStr">
        <is>
          <t>Paspas Yap</t>
        </is>
      </c>
      <c r="I305" s="31" t="n">
        <v>93.0</v>
      </c>
      <c r="J305" s="32" t="n">
        <v>14478.0</v>
      </c>
      <c r="K305" s="33" t="n">
        <v>13458.16</v>
      </c>
      <c r="L305" s="34" t="n">
        <v>22.0</v>
      </c>
      <c r="M305" s="35" t="n">
        <v>9256.26</v>
      </c>
      <c r="N305" s="36" t="inlineStr">
        <is>
          <t>25 Ağustos 08.00-1 Eylül 07.59</t>
        </is>
      </c>
      <c r="O305" s="37" t="n">
        <v>15.0</v>
      </c>
      <c r="P305" s="38" t="n">
        <v>13458.16</v>
      </c>
      <c r="Q305" s="39"/>
      <c r="R305" s="40" t="n">
        <f>=IF(AND(ISBLANK(Q305), ISBLANK(U305)), "", "7 Günlük Fiyat")</f>
        <v>0.0</v>
      </c>
      <c r="S305" s="41" t="n">
        <f>=IF(OR(Q305="", R305=""), "-", IF(ISNUMBER(SEARCH("7 Günlük", R305)), IF(Q305&lt;=M305, O305, "-"), "-"))</f>
        <v>0.0</v>
      </c>
      <c r="T305" s="42" t="str">
        <f>=IF(ISBLANK(Q305), "", "Hayır")</f>
      </c>
      <c r="U305" s="43"/>
      <c r="V305" s="44" t="inlineStr">
        <is>
          <t>50461ed1-c2c8-4393-967e-55d58a3e2664</t>
        </is>
      </c>
    </row>
    <row r="306">
      <c r="A306" s="23" t="inlineStr">
        <is>
          <t>Rampalı Giriş Paspası Toz Ve Nem Alıcı Su Emici Kaymaz Paspas Apartman Dükkan Iş Yeri Paspası</t>
        </is>
      </c>
      <c r="B306" s="24" t="inlineStr">
        <is>
          <t>769993791</t>
        </is>
      </c>
      <c r="C306" s="25" t="inlineStr">
        <is>
          <t>TOZKONTROL-IYP1-KIRMIZI-120450</t>
        </is>
      </c>
      <c r="D306" s="26" t="inlineStr">
        <is>
          <t>TOZKONTROL-IYP1-KIRMIZI-120450</t>
        </is>
      </c>
      <c r="E306" s="27" t="inlineStr">
        <is>
          <t>120 x 450</t>
        </is>
      </c>
      <c r="F306" s="28" t="inlineStr">
        <is>
          <t>TOZKONTROL-IYP1</t>
        </is>
      </c>
      <c r="G306" s="29" t="inlineStr">
        <is>
          <t>Kapı Önü Paspası</t>
        </is>
      </c>
      <c r="H306" s="30" t="inlineStr">
        <is>
          <t>Paspas Yap</t>
        </is>
      </c>
      <c r="I306" s="31" t="n">
        <v>93.0</v>
      </c>
      <c r="J306" s="32" t="n">
        <v>9548.0</v>
      </c>
      <c r="K306" s="33" t="n">
        <v>8636.37</v>
      </c>
      <c r="L306" s="34" t="n">
        <v>22.0</v>
      </c>
      <c r="M306" s="35" t="n">
        <v>6429.73</v>
      </c>
      <c r="N306" s="36" t="inlineStr">
        <is>
          <t>25 Ağustos 08.00-1 Eylül 07.59</t>
        </is>
      </c>
      <c r="O306" s="37" t="n">
        <v>15.9</v>
      </c>
      <c r="P306" s="38" t="n">
        <v>8636.37</v>
      </c>
      <c r="Q306" s="39"/>
      <c r="R306" s="40" t="n">
        <f>=IF(AND(ISBLANK(Q306), ISBLANK(U306)), "", "7 Günlük Fiyat")</f>
        <v>0.0</v>
      </c>
      <c r="S306" s="41" t="n">
        <f>=IF(OR(Q306="", R306=""), "-", IF(ISNUMBER(SEARCH("7 Günlük", R306)), IF(Q306&lt;=M306, O306, "-"), "-"))</f>
        <v>0.0</v>
      </c>
      <c r="T306" s="42" t="str">
        <f>=IF(ISBLANK(Q306), "", "Hayır")</f>
      </c>
      <c r="U306" s="43"/>
      <c r="V306" s="44" t="inlineStr">
        <is>
          <t>50461ed1-c2c8-4393-967e-55d58a3e2664</t>
        </is>
      </c>
    </row>
    <row r="307">
      <c r="A307" s="23" t="inlineStr">
        <is>
          <t>Rampalı Giriş Paspası Toz Ve Nem Alıcı Su Emici Kaymaz Paspas Apartman Dükkan Iş Yeri Paspası</t>
        </is>
      </c>
      <c r="B307" s="24" t="inlineStr">
        <is>
          <t>769993791</t>
        </is>
      </c>
      <c r="C307" s="25" t="inlineStr">
        <is>
          <t>TOZKONTROL-IYP1-KIRMIZI-1201300</t>
        </is>
      </c>
      <c r="D307" s="26" t="inlineStr">
        <is>
          <t>TOZKONTROL-IYP1-KIRMIZI-1201300</t>
        </is>
      </c>
      <c r="E307" s="27" t="inlineStr">
        <is>
          <t>120 x 1300</t>
        </is>
      </c>
      <c r="F307" s="28" t="inlineStr">
        <is>
          <t>TOZKONTROL-IYP1</t>
        </is>
      </c>
      <c r="G307" s="29" t="inlineStr">
        <is>
          <t>Kapı Önü Paspası</t>
        </is>
      </c>
      <c r="H307" s="30" t="inlineStr">
        <is>
          <t>Paspas Yap</t>
        </is>
      </c>
      <c r="I307" s="31" t="n">
        <v>93.0</v>
      </c>
      <c r="J307" s="32" t="n">
        <v>27622.0</v>
      </c>
      <c r="K307" s="33" t="n">
        <v>25064.0</v>
      </c>
      <c r="L307" s="34" t="n">
        <v>22.0</v>
      </c>
      <c r="M307" s="35" t="n">
        <v>15612.91</v>
      </c>
      <c r="N307" s="36" t="inlineStr">
        <is>
          <t>25 Ağustos 08.00-1 Eylül 07.59</t>
        </is>
      </c>
      <c r="O307" s="37" t="n">
        <v>12.7</v>
      </c>
      <c r="P307" s="38" t="n">
        <v>25064.0</v>
      </c>
      <c r="Q307" s="39"/>
      <c r="R307" s="40" t="n">
        <f>=IF(AND(ISBLANK(Q307), ISBLANK(U307)), "", "7 Günlük Fiyat")</f>
        <v>0.0</v>
      </c>
      <c r="S307" s="41" t="n">
        <f>=IF(OR(Q307="", R307=""), "-", IF(ISNUMBER(SEARCH("7 Günlük", R307)), IF(Q307&lt;=M307, O307, "-"), "-"))</f>
        <v>0.0</v>
      </c>
      <c r="T307" s="42" t="str">
        <f>=IF(ISBLANK(Q307), "", "Hayır")</f>
      </c>
      <c r="U307" s="43"/>
      <c r="V307" s="44" t="inlineStr">
        <is>
          <t>50461ed1-c2c8-4393-967e-55d58a3e2664</t>
        </is>
      </c>
    </row>
    <row r="308">
      <c r="A308" s="23" t="inlineStr">
        <is>
          <t>Rampalı Giriş Paspası Toz Ve Nem Alıcı Su Emici Kaymaz Paspas Apartman Dükkan Iş Yeri Paspası</t>
        </is>
      </c>
      <c r="B308" s="24" t="inlineStr">
        <is>
          <t>769993791</t>
        </is>
      </c>
      <c r="C308" s="25" t="inlineStr">
        <is>
          <t>TOZKONTROL-IYP1-KIRMIZI-100350</t>
        </is>
      </c>
      <c r="D308" s="26" t="inlineStr">
        <is>
          <t>TOZKONTROL-IYP1-KIRMIZI-100350</t>
        </is>
      </c>
      <c r="E308" s="27" t="inlineStr">
        <is>
          <t>100 x 350</t>
        </is>
      </c>
      <c r="F308" s="28" t="inlineStr">
        <is>
          <t>TOZKONTROL-IYP1</t>
        </is>
      </c>
      <c r="G308" s="29" t="inlineStr">
        <is>
          <t>Kapı Önü Paspası</t>
        </is>
      </c>
      <c r="H308" s="30" t="inlineStr">
        <is>
          <t>Paspas Yap</t>
        </is>
      </c>
      <c r="I308" s="31" t="n">
        <v>93.0</v>
      </c>
      <c r="J308" s="32" t="n">
        <v>6309.0</v>
      </c>
      <c r="K308" s="33" t="n">
        <v>5806.28</v>
      </c>
      <c r="L308" s="34" t="n">
        <v>22.0</v>
      </c>
      <c r="M308" s="35" t="n">
        <v>4011.31</v>
      </c>
      <c r="N308" s="36" t="inlineStr">
        <is>
          <t>25 Ağustos 08.00-1 Eylül 07.59</t>
        </is>
      </c>
      <c r="O308" s="37" t="n">
        <v>14.9</v>
      </c>
      <c r="P308" s="38" t="n">
        <v>5806.28</v>
      </c>
      <c r="Q308" s="39"/>
      <c r="R308" s="40" t="n">
        <f>=IF(AND(ISBLANK(Q308), ISBLANK(U308)), "", "7 Günlük Fiyat")</f>
        <v>0.0</v>
      </c>
      <c r="S308" s="41" t="n">
        <f>=IF(OR(Q308="", R308=""), "-", IF(ISNUMBER(SEARCH("7 Günlük", R308)), IF(Q308&lt;=M308, O308, "-"), "-"))</f>
        <v>0.0</v>
      </c>
      <c r="T308" s="42" t="str">
        <f>=IF(ISBLANK(Q308), "", "Hayır")</f>
      </c>
      <c r="U308" s="43"/>
      <c r="V308" s="44" t="inlineStr">
        <is>
          <t>50461ed1-c2c8-4393-967e-55d58a3e2664</t>
        </is>
      </c>
    </row>
    <row r="309">
      <c r="A309" s="23" t="inlineStr">
        <is>
          <t>Rampalı Giriş Paspası Toz Ve Nem Alıcı Su Emici Kaymaz Paspas Apartman Dükkan Iş Yeri Paspası</t>
        </is>
      </c>
      <c r="B309" s="24" t="inlineStr">
        <is>
          <t>769993791</t>
        </is>
      </c>
      <c r="C309" s="25" t="inlineStr">
        <is>
          <t>TOZKONTROL-IYP1-KIRMIZI-1001050</t>
        </is>
      </c>
      <c r="D309" s="26" t="inlineStr">
        <is>
          <t>TOZKONTROL-IYP1-KIRMIZI-1001050</t>
        </is>
      </c>
      <c r="E309" s="27" t="inlineStr">
        <is>
          <t>100 x 1050</t>
        </is>
      </c>
      <c r="F309" s="28" t="inlineStr">
        <is>
          <t>TOZKONTROL-IYP1</t>
        </is>
      </c>
      <c r="G309" s="29" t="inlineStr">
        <is>
          <t>Kapı Önü Paspası</t>
        </is>
      </c>
      <c r="H309" s="30" t="inlineStr">
        <is>
          <t>Paspas Yap</t>
        </is>
      </c>
      <c r="I309" s="31" t="n">
        <v>93.0</v>
      </c>
      <c r="J309" s="32" t="n">
        <v>20223.0</v>
      </c>
      <c r="K309" s="33" t="n">
        <v>17086.34</v>
      </c>
      <c r="L309" s="34" t="n">
        <v>22.0</v>
      </c>
      <c r="M309" s="35" t="n">
        <v>11441.58</v>
      </c>
      <c r="N309" s="36" t="inlineStr">
        <is>
          <t>25 Ağustos 08.00-1 Eylül 07.59</t>
        </is>
      </c>
      <c r="O309" s="37" t="n">
        <v>13.1</v>
      </c>
      <c r="P309" s="38" t="n">
        <v>17086.34</v>
      </c>
      <c r="Q309" s="39"/>
      <c r="R309" s="40" t="n">
        <f>=IF(AND(ISBLANK(Q309), ISBLANK(U309)), "", "7 Günlük Fiyat")</f>
        <v>0.0</v>
      </c>
      <c r="S309" s="41" t="n">
        <f>=IF(OR(Q309="", R309=""), "-", IF(ISNUMBER(SEARCH("7 Günlük", R309)), IF(Q309&lt;=M309, O309, "-"), "-"))</f>
        <v>0.0</v>
      </c>
      <c r="T309" s="42" t="str">
        <f>=IF(ISBLANK(Q309), "", "Hayır")</f>
      </c>
      <c r="U309" s="43"/>
      <c r="V309" s="44" t="inlineStr">
        <is>
          <t>50461ed1-c2c8-4393-967e-55d58a3e2664</t>
        </is>
      </c>
    </row>
    <row r="310">
      <c r="A310" s="23" t="inlineStr">
        <is>
          <t>Rampalı Giriş Paspası Toz Ve Nem Alıcı Su Emici Kaymaz Paspas Apartman Dükkan Iş Yeri Paspası</t>
        </is>
      </c>
      <c r="B310" s="24" t="inlineStr">
        <is>
          <t>769993791</t>
        </is>
      </c>
      <c r="C310" s="25" t="inlineStr">
        <is>
          <t>TOZKONTROL-IYP1-KIRMIZI-100500</t>
        </is>
      </c>
      <c r="D310" s="26" t="inlineStr">
        <is>
          <t>TOZKONTROL-IYP1-KIRMIZI-100500</t>
        </is>
      </c>
      <c r="E310" s="27" t="inlineStr">
        <is>
          <t>100 x 500</t>
        </is>
      </c>
      <c r="F310" s="28" t="inlineStr">
        <is>
          <t>TOZKONTROL-IYP1</t>
        </is>
      </c>
      <c r="G310" s="29" t="inlineStr">
        <is>
          <t>Kapı Önü Paspası</t>
        </is>
      </c>
      <c r="H310" s="30" t="inlineStr">
        <is>
          <t>Paspas Yap</t>
        </is>
      </c>
      <c r="I310" s="31" t="n">
        <v>93.0</v>
      </c>
      <c r="J310" s="32" t="n">
        <v>8475.0</v>
      </c>
      <c r="K310" s="33" t="n">
        <v>7867.05</v>
      </c>
      <c r="L310" s="34" t="n">
        <v>22.0</v>
      </c>
      <c r="M310" s="35" t="n">
        <v>5335.59</v>
      </c>
      <c r="N310" s="36" t="inlineStr">
        <is>
          <t>25 Ağustos 08.00-1 Eylül 07.59</t>
        </is>
      </c>
      <c r="O310" s="37" t="n">
        <v>14.6</v>
      </c>
      <c r="P310" s="38" t="n">
        <v>7867.05</v>
      </c>
      <c r="Q310" s="39"/>
      <c r="R310" s="40" t="n">
        <f>=IF(AND(ISBLANK(Q310), ISBLANK(U310)), "", "7 Günlük Fiyat")</f>
        <v>0.0</v>
      </c>
      <c r="S310" s="41" t="n">
        <f>=IF(OR(Q310="", R310=""), "-", IF(ISNUMBER(SEARCH("7 Günlük", R310)), IF(Q310&lt;=M310, O310, "-"), "-"))</f>
        <v>0.0</v>
      </c>
      <c r="T310" s="42" t="str">
        <f>=IF(ISBLANK(Q310), "", "Hayır")</f>
      </c>
      <c r="U310" s="43"/>
      <c r="V310" s="44" t="inlineStr">
        <is>
          <t>50461ed1-c2c8-4393-967e-55d58a3e2664</t>
        </is>
      </c>
    </row>
    <row r="311">
      <c r="A311" s="23" t="inlineStr">
        <is>
          <t>Rampalı Giriş Paspası Toz Ve Nem Alıcı Su Emici Kaymaz Paspas Apartman Dükkan Iş Yeri Paspası</t>
        </is>
      </c>
      <c r="B311" s="24" t="inlineStr">
        <is>
          <t>769993791</t>
        </is>
      </c>
      <c r="C311" s="25" t="inlineStr">
        <is>
          <t>TOZKONTROL-IYP1-KIRMIZI-4070</t>
        </is>
      </c>
      <c r="D311" s="26" t="inlineStr">
        <is>
          <t>TOZKONTROL-IYP1-KIRMIZI-4070</t>
        </is>
      </c>
      <c r="E311" s="27" t="inlineStr">
        <is>
          <t>40 x 70</t>
        </is>
      </c>
      <c r="F311" s="28" t="inlineStr">
        <is>
          <t>TOZKONTROL-IYP1</t>
        </is>
      </c>
      <c r="G311" s="29" t="inlineStr">
        <is>
          <t>Kapı Önü Paspası</t>
        </is>
      </c>
      <c r="H311" s="30" t="inlineStr">
        <is>
          <t>Paspas Yap</t>
        </is>
      </c>
      <c r="I311" s="31" t="n">
        <v>93.0</v>
      </c>
      <c r="J311" s="32" t="n">
        <v>799.0</v>
      </c>
      <c r="K311" s="33" t="n">
        <v>799.0</v>
      </c>
      <c r="L311" s="34" t="n">
        <v>22.0</v>
      </c>
      <c r="M311" s="35" t="n">
        <v>558.71</v>
      </c>
      <c r="N311" s="36" t="inlineStr">
        <is>
          <t>25 Ağustos 08.00-1 Eylül 07.59</t>
        </is>
      </c>
      <c r="O311" s="37" t="n">
        <v>15.3</v>
      </c>
      <c r="P311" s="38" t="n">
        <v>799.0</v>
      </c>
      <c r="Q311" s="39"/>
      <c r="R311" s="40" t="n">
        <f>=IF(AND(ISBLANK(Q311), ISBLANK(U311)), "", "7 Günlük Fiyat")</f>
        <v>0.0</v>
      </c>
      <c r="S311" s="41" t="n">
        <f>=IF(OR(Q311="", R311=""), "-", IF(ISNUMBER(SEARCH("7 Günlük", R311)), IF(Q311&lt;=M311, O311, "-"), "-"))</f>
        <v>0.0</v>
      </c>
      <c r="T311" s="42" t="str">
        <f>=IF(ISBLANK(Q311), "", "Hayır")</f>
      </c>
      <c r="U311" s="43"/>
      <c r="V311" s="44" t="inlineStr">
        <is>
          <t>50461ed1-c2c8-4393-967e-55d58a3e2664</t>
        </is>
      </c>
    </row>
    <row r="312">
      <c r="A312" s="23" t="inlineStr">
        <is>
          <t>Rampalı Giriş Paspası Toz Ve Nem Alıcı Su Emici Kaymaz Paspas Apartman Dükkan Iş Yeri Paspası</t>
        </is>
      </c>
      <c r="B312" s="24" t="inlineStr">
        <is>
          <t>769993791</t>
        </is>
      </c>
      <c r="C312" s="25" t="inlineStr">
        <is>
          <t>TOZKONTROL-IYP1-KIRMIZI-80350</t>
        </is>
      </c>
      <c r="D312" s="26" t="inlineStr">
        <is>
          <t>TOZKONTROL-IYP1-KIRMIZI-80350</t>
        </is>
      </c>
      <c r="E312" s="27" t="inlineStr">
        <is>
          <t>80 x 350</t>
        </is>
      </c>
      <c r="F312" s="28" t="inlineStr">
        <is>
          <t>TOZKONTROL-IYP1</t>
        </is>
      </c>
      <c r="G312" s="29" t="inlineStr">
        <is>
          <t>Kapı Önü Paspası</t>
        </is>
      </c>
      <c r="H312" s="30" t="inlineStr">
        <is>
          <t>Paspas Yap</t>
        </is>
      </c>
      <c r="I312" s="31" t="n">
        <v>93.0</v>
      </c>
      <c r="J312" s="32" t="n">
        <v>5078.0</v>
      </c>
      <c r="K312" s="33" t="n">
        <v>4681.82</v>
      </c>
      <c r="L312" s="34" t="n">
        <v>22.0</v>
      </c>
      <c r="M312" s="35" t="n">
        <v>3338.31</v>
      </c>
      <c r="N312" s="36" t="inlineStr">
        <is>
          <t>25 Ağustos 08.00-1 Eylül 07.59</t>
        </is>
      </c>
      <c r="O312" s="37" t="n">
        <v>15.5</v>
      </c>
      <c r="P312" s="38" t="n">
        <v>4681.82</v>
      </c>
      <c r="Q312" s="39"/>
      <c r="R312" s="40" t="n">
        <f>=IF(AND(ISBLANK(Q312), ISBLANK(U312)), "", "7 Günlük Fiyat")</f>
        <v>0.0</v>
      </c>
      <c r="S312" s="41" t="n">
        <f>=IF(OR(Q312="", R312=""), "-", IF(ISNUMBER(SEARCH("7 Günlük", R312)), IF(Q312&lt;=M312, O312, "-"), "-"))</f>
        <v>0.0</v>
      </c>
      <c r="T312" s="42" t="str">
        <f>=IF(ISBLANK(Q312), "", "Hayır")</f>
      </c>
      <c r="U312" s="43"/>
      <c r="V312" s="44" t="inlineStr">
        <is>
          <t>50461ed1-c2c8-4393-967e-55d58a3e2664</t>
        </is>
      </c>
    </row>
    <row r="313">
      <c r="A313" s="23" t="inlineStr">
        <is>
          <t>Rampalı Giriş Paspası Toz Ve Nem Alıcı Su Emici Kaymaz Paspas Apartman Dükkan Iş Yeri Paspası</t>
        </is>
      </c>
      <c r="B313" s="24" t="inlineStr">
        <is>
          <t>769993791</t>
        </is>
      </c>
      <c r="C313" s="25" t="inlineStr">
        <is>
          <t>TOZKONTROL-IYP1-KIRMIZI-100750</t>
        </is>
      </c>
      <c r="D313" s="26" t="inlineStr">
        <is>
          <t>TOZKONTROL-IYP1-KIRMIZI-100750</t>
        </is>
      </c>
      <c r="E313" s="27" t="inlineStr">
        <is>
          <t>100 x 750</t>
        </is>
      </c>
      <c r="F313" s="28" t="inlineStr">
        <is>
          <t>TOZKONTROL-IYP1</t>
        </is>
      </c>
      <c r="G313" s="29" t="inlineStr">
        <is>
          <t>Kapı Önü Paspası</t>
        </is>
      </c>
      <c r="H313" s="30" t="inlineStr">
        <is>
          <t>Paspas Yap</t>
        </is>
      </c>
      <c r="I313" s="31" t="n">
        <v>93.0</v>
      </c>
      <c r="J313" s="32" t="n">
        <v>12726.0</v>
      </c>
      <c r="K313" s="33" t="n">
        <v>11787.14</v>
      </c>
      <c r="L313" s="34" t="n">
        <v>22.0</v>
      </c>
      <c r="M313" s="35" t="n">
        <v>7969.95</v>
      </c>
      <c r="N313" s="36" t="inlineStr">
        <is>
          <t>25 Ağustos 08.00-1 Eylül 07.59</t>
        </is>
      </c>
      <c r="O313" s="37" t="n">
        <v>14.6</v>
      </c>
      <c r="P313" s="38" t="n">
        <v>11787.14</v>
      </c>
      <c r="Q313" s="39"/>
      <c r="R313" s="40" t="n">
        <f>=IF(AND(ISBLANK(Q313), ISBLANK(U313)), "", "7 Günlük Fiyat")</f>
        <v>0.0</v>
      </c>
      <c r="S313" s="41" t="n">
        <f>=IF(OR(Q313="", R313=""), "-", IF(ISNUMBER(SEARCH("7 Günlük", R313)), IF(Q313&lt;=M313, O313, "-"), "-"))</f>
        <v>0.0</v>
      </c>
      <c r="T313" s="42" t="str">
        <f>=IF(ISBLANK(Q313), "", "Hayır")</f>
      </c>
      <c r="U313" s="43"/>
      <c r="V313" s="44" t="inlineStr">
        <is>
          <t>50461ed1-c2c8-4393-967e-55d58a3e2664</t>
        </is>
      </c>
    </row>
    <row r="314">
      <c r="A314" s="23" t="inlineStr">
        <is>
          <t>Rampalı Giriş Paspası Toz Ve Nem Alıcı Su Emici Kaymaz Paspas Apartman Dükkan Iş Yeri Paspası</t>
        </is>
      </c>
      <c r="B314" s="24" t="inlineStr">
        <is>
          <t>769993791</t>
        </is>
      </c>
      <c r="C314" s="25" t="inlineStr">
        <is>
          <t>TOZKONTROL-IYP1-KIRMIZI-120350</t>
        </is>
      </c>
      <c r="D314" s="26" t="inlineStr">
        <is>
          <t>TOZKONTROL-IYP1-KIRMIZI-120350</t>
        </is>
      </c>
      <c r="E314" s="27" t="inlineStr">
        <is>
          <t>120 x 350</t>
        </is>
      </c>
      <c r="F314" s="28" t="inlineStr">
        <is>
          <t>TOZKONTROL-IYP1</t>
        </is>
      </c>
      <c r="G314" s="29" t="inlineStr">
        <is>
          <t>Kapı Önü Paspası</t>
        </is>
      </c>
      <c r="H314" s="30" t="inlineStr">
        <is>
          <t>Paspas Yap</t>
        </is>
      </c>
      <c r="I314" s="31" t="n">
        <v>93.0</v>
      </c>
      <c r="J314" s="32" t="n">
        <v>7217.0</v>
      </c>
      <c r="K314" s="33" t="n">
        <v>6511.67</v>
      </c>
      <c r="L314" s="34" t="n">
        <v>22.0</v>
      </c>
      <c r="M314" s="35" t="n">
        <v>4901.81</v>
      </c>
      <c r="N314" s="36" t="inlineStr">
        <is>
          <t>25 Ağustos 08.00-1 Eylül 07.59</t>
        </is>
      </c>
      <c r="O314" s="37" t="n">
        <v>16.0</v>
      </c>
      <c r="P314" s="38" t="n">
        <v>6511.67</v>
      </c>
      <c r="Q314" s="39"/>
      <c r="R314" s="40" t="n">
        <f>=IF(AND(ISBLANK(Q314), ISBLANK(U314)), "", "7 Günlük Fiyat")</f>
        <v>0.0</v>
      </c>
      <c r="S314" s="41" t="n">
        <f>=IF(OR(Q314="", R314=""), "-", IF(ISNUMBER(SEARCH("7 Günlük", R314)), IF(Q314&lt;=M314, O314, "-"), "-"))</f>
        <v>0.0</v>
      </c>
      <c r="T314" s="42" t="str">
        <f>=IF(ISBLANK(Q314), "", "Hayır")</f>
      </c>
      <c r="U314" s="43"/>
      <c r="V314" s="44" t="inlineStr">
        <is>
          <t>50461ed1-c2c8-4393-967e-55d58a3e2664</t>
        </is>
      </c>
    </row>
    <row r="315">
      <c r="A315" s="23" t="inlineStr">
        <is>
          <t>Rampalı Giriş Paspası Toz Ve Nem Alıcı Su Emici Kaymaz Paspas Apartman Dükkan Iş Yeri Paspası</t>
        </is>
      </c>
      <c r="B315" s="24" t="inlineStr">
        <is>
          <t>769993791</t>
        </is>
      </c>
      <c r="C315" s="25" t="inlineStr">
        <is>
          <t>TOZKONTROL-IYP1-KIRMIZI-1201000</t>
        </is>
      </c>
      <c r="D315" s="26" t="inlineStr">
        <is>
          <t>TOZKONTROL-IYP1-KIRMIZI-1201000</t>
        </is>
      </c>
      <c r="E315" s="27" t="inlineStr">
        <is>
          <t>120 x 1000</t>
        </is>
      </c>
      <c r="F315" s="28" t="inlineStr">
        <is>
          <t>TOZKONTROL-IYP1</t>
        </is>
      </c>
      <c r="G315" s="29" t="inlineStr">
        <is>
          <t>Kapı Önü Paspası</t>
        </is>
      </c>
      <c r="H315" s="30" t="inlineStr">
        <is>
          <t>Paspas Yap</t>
        </is>
      </c>
      <c r="I315" s="31" t="n">
        <v>93.0</v>
      </c>
      <c r="J315" s="32" t="n">
        <v>22715.0</v>
      </c>
      <c r="K315" s="33" t="n">
        <v>20859.44</v>
      </c>
      <c r="L315" s="34" t="n">
        <v>22.0</v>
      </c>
      <c r="M315" s="35" t="n">
        <v>14295.72</v>
      </c>
      <c r="N315" s="36" t="inlineStr">
        <is>
          <t>25 Ağustos 08.00-1 Eylül 07.59</t>
        </is>
      </c>
      <c r="O315" s="37" t="n">
        <v>14.6</v>
      </c>
      <c r="P315" s="38" t="n">
        <v>20859.44</v>
      </c>
      <c r="Q315" s="39"/>
      <c r="R315" s="40" t="n">
        <f>=IF(AND(ISBLANK(Q315), ISBLANK(U315)), "", "7 Günlük Fiyat")</f>
        <v>0.0</v>
      </c>
      <c r="S315" s="41" t="n">
        <f>=IF(OR(Q315="", R315=""), "-", IF(ISNUMBER(SEARCH("7 Günlük", R315)), IF(Q315&lt;=M315, O315, "-"), "-"))</f>
        <v>0.0</v>
      </c>
      <c r="T315" s="42" t="str">
        <f>=IF(ISBLANK(Q315), "", "Hayır")</f>
      </c>
      <c r="U315" s="43"/>
      <c r="V315" s="44" t="inlineStr">
        <is>
          <t>50461ed1-c2c8-4393-967e-55d58a3e2664</t>
        </is>
      </c>
    </row>
    <row r="316">
      <c r="A316" s="23" t="inlineStr">
        <is>
          <t>Rampalı Giriş Paspası Toz Ve Nem Alıcı Su Emici Kaymaz Paspas Apartman Dükkan Iş Yeri Paspası</t>
        </is>
      </c>
      <c r="B316" s="24" t="inlineStr">
        <is>
          <t>769993791</t>
        </is>
      </c>
      <c r="C316" s="25" t="inlineStr">
        <is>
          <t>TOZKONTROL-IYP1-KIRMIZI-100100</t>
        </is>
      </c>
      <c r="D316" s="26" t="inlineStr">
        <is>
          <t>TOZKONTROL-IYP1-KIRMIZI-100100</t>
        </is>
      </c>
      <c r="E316" s="27" t="inlineStr">
        <is>
          <t>100 x 100</t>
        </is>
      </c>
      <c r="F316" s="28" t="inlineStr">
        <is>
          <t>TOZKONTROL-IYP1</t>
        </is>
      </c>
      <c r="G316" s="29" t="inlineStr">
        <is>
          <t>Kapı Önü Paspası</t>
        </is>
      </c>
      <c r="H316" s="30" t="inlineStr">
        <is>
          <t>Paspas Yap</t>
        </is>
      </c>
      <c r="I316" s="31" t="n">
        <v>93.0</v>
      </c>
      <c r="J316" s="32" t="n">
        <v>2172.0</v>
      </c>
      <c r="K316" s="33" t="n">
        <v>1854.12</v>
      </c>
      <c r="L316" s="34" t="n">
        <v>22.0</v>
      </c>
      <c r="M316" s="35" t="n">
        <v>1335.73</v>
      </c>
      <c r="N316" s="36" t="inlineStr">
        <is>
          <t>25 Ağustos 08.00-1 Eylül 07.59</t>
        </is>
      </c>
      <c r="O316" s="37" t="n">
        <v>15.4</v>
      </c>
      <c r="P316" s="38" t="n">
        <v>1854.12</v>
      </c>
      <c r="Q316" s="39"/>
      <c r="R316" s="40" t="n">
        <f>=IF(AND(ISBLANK(Q316), ISBLANK(U316)), "", "7 Günlük Fiyat")</f>
        <v>0.0</v>
      </c>
      <c r="S316" s="41" t="n">
        <f>=IF(OR(Q316="", R316=""), "-", IF(ISNUMBER(SEARCH("7 Günlük", R316)), IF(Q316&lt;=M316, O316, "-"), "-"))</f>
        <v>0.0</v>
      </c>
      <c r="T316" s="42" t="str">
        <f>=IF(ISBLANK(Q316), "", "Hayır")</f>
      </c>
      <c r="U316" s="43"/>
      <c r="V316" s="44" t="inlineStr">
        <is>
          <t>50461ed1-c2c8-4393-967e-55d58a3e2664</t>
        </is>
      </c>
    </row>
    <row r="317">
      <c r="A317" s="23" t="inlineStr">
        <is>
          <t>Rampalı Giriş Paspası Toz Ve Nem Alıcı Su Emici Kaymaz Paspas Apartman Dükkan Iş Yeri Paspası</t>
        </is>
      </c>
      <c r="B317" s="24" t="inlineStr">
        <is>
          <t>769993791</t>
        </is>
      </c>
      <c r="C317" s="25" t="inlineStr">
        <is>
          <t>TOZKONTROL-IYP1-KIRMIZI-80x1300</t>
        </is>
      </c>
      <c r="D317" s="26" t="inlineStr">
        <is>
          <t>TOZKONTROL-IYP1-KIRMIZI-80x1300</t>
        </is>
      </c>
      <c r="E317" s="27" t="inlineStr">
        <is>
          <t>80 x 1300</t>
        </is>
      </c>
      <c r="F317" s="28" t="inlineStr">
        <is>
          <t>TOZKONTROL-IYP1</t>
        </is>
      </c>
      <c r="G317" s="29" t="inlineStr">
        <is>
          <t>Kapı Önü Paspası</t>
        </is>
      </c>
      <c r="H317" s="30" t="inlineStr">
        <is>
          <t>Paspas Yap</t>
        </is>
      </c>
      <c r="I317" s="31" t="n">
        <v>93.0</v>
      </c>
      <c r="J317" s="32" t="n">
        <v>20205.0</v>
      </c>
      <c r="K317" s="33" t="n">
        <v>18827.45</v>
      </c>
      <c r="L317" s="34" t="n">
        <v>22.0</v>
      </c>
      <c r="M317" s="35" t="n">
        <v>13405.2</v>
      </c>
      <c r="N317" s="36" t="inlineStr">
        <is>
          <t>25 Ağustos 08.00-1 Eylül 07.59</t>
        </is>
      </c>
      <c r="O317" s="37" t="n">
        <v>15.5</v>
      </c>
      <c r="P317" s="38" t="n">
        <v>18827.45</v>
      </c>
      <c r="Q317" s="39"/>
      <c r="R317" s="40" t="n">
        <f>=IF(AND(ISBLANK(Q317), ISBLANK(U317)), "", "7 Günlük Fiyat")</f>
        <v>0.0</v>
      </c>
      <c r="S317" s="41" t="n">
        <f>=IF(OR(Q317="", R317=""), "-", IF(ISNUMBER(SEARCH("7 Günlük", R317)), IF(Q317&lt;=M317, O317, "-"), "-"))</f>
        <v>0.0</v>
      </c>
      <c r="T317" s="42" t="str">
        <f>=IF(ISBLANK(Q317), "", "Hayır")</f>
      </c>
      <c r="U317" s="43"/>
      <c r="V317" s="44" t="inlineStr">
        <is>
          <t>50461ed1-c2c8-4393-967e-55d58a3e2664</t>
        </is>
      </c>
    </row>
    <row r="318">
      <c r="A318" s="23" t="inlineStr">
        <is>
          <t>Rampalı Giriş Paspası Toz Ve Nem Alıcı Su Emici Kaymaz Paspas Apartman Dükkan Iş Yeri Paspası</t>
        </is>
      </c>
      <c r="B318" s="24" t="inlineStr">
        <is>
          <t>769993791</t>
        </is>
      </c>
      <c r="C318" s="25" t="inlineStr">
        <is>
          <t>TOZKONTROL-IYP1-KIRMIZI-80550</t>
        </is>
      </c>
      <c r="D318" s="26" t="inlineStr">
        <is>
          <t>TOZKONTROL-IYP1-KIRMIZI-80550</t>
        </is>
      </c>
      <c r="E318" s="27" t="inlineStr">
        <is>
          <t>80 x 550</t>
        </is>
      </c>
      <c r="F318" s="28" t="inlineStr">
        <is>
          <t>TOZKONTROL-IYP1</t>
        </is>
      </c>
      <c r="G318" s="29" t="inlineStr">
        <is>
          <t>Kapı Önü Paspası</t>
        </is>
      </c>
      <c r="H318" s="30" t="inlineStr">
        <is>
          <t>Paspas Yap</t>
        </is>
      </c>
      <c r="I318" s="31" t="n">
        <v>93.0</v>
      </c>
      <c r="J318" s="32" t="n">
        <v>7711.0</v>
      </c>
      <c r="K318" s="33" t="n">
        <v>7160.87</v>
      </c>
      <c r="L318" s="34" t="n">
        <v>22.0</v>
      </c>
      <c r="M318" s="35" t="n">
        <v>5077.69</v>
      </c>
      <c r="N318" s="36" t="inlineStr">
        <is>
          <t>25 Ağustos 08.00-1 Eylül 07.59</t>
        </is>
      </c>
      <c r="O318" s="37" t="n">
        <v>15.5</v>
      </c>
      <c r="P318" s="38" t="n">
        <v>7160.87</v>
      </c>
      <c r="Q318" s="39"/>
      <c r="R318" s="40" t="n">
        <f>=IF(AND(ISBLANK(Q318), ISBLANK(U318)), "", "7 Günlük Fiyat")</f>
        <v>0.0</v>
      </c>
      <c r="S318" s="41" t="n">
        <f>=IF(OR(Q318="", R318=""), "-", IF(ISNUMBER(SEARCH("7 Günlük", R318)), IF(Q318&lt;=M318, O318, "-"), "-"))</f>
        <v>0.0</v>
      </c>
      <c r="T318" s="42" t="str">
        <f>=IF(ISBLANK(Q318), "", "Hayır")</f>
      </c>
      <c r="U318" s="43"/>
      <c r="V318" s="44" t="inlineStr">
        <is>
          <t>50461ed1-c2c8-4393-967e-55d58a3e2664</t>
        </is>
      </c>
    </row>
    <row r="319">
      <c r="A319" s="23" t="inlineStr">
        <is>
          <t>Rampalı Giriş Paspası Toz Ve Nem Alıcı Su Emici Kaymaz Paspas Apartman Dükkan Iş Yeri Paspası</t>
        </is>
      </c>
      <c r="B319" s="24" t="inlineStr">
        <is>
          <t>769993791</t>
        </is>
      </c>
      <c r="C319" s="25" t="inlineStr">
        <is>
          <t>TOZKONTROL-IYP1-KIRMIZI-1001300</t>
        </is>
      </c>
      <c r="D319" s="26" t="inlineStr">
        <is>
          <t>TOZKONTROL-IYP1-KIRMIZI-1001300</t>
        </is>
      </c>
      <c r="E319" s="27" t="inlineStr">
        <is>
          <t>100 x 1300</t>
        </is>
      </c>
      <c r="F319" s="28" t="inlineStr">
        <is>
          <t>TOZKONTROL-IYP1</t>
        </is>
      </c>
      <c r="G319" s="29" t="inlineStr">
        <is>
          <t>Kapı Önü Paspası</t>
        </is>
      </c>
      <c r="H319" s="30" t="inlineStr">
        <is>
          <t>Paspas Yap</t>
        </is>
      </c>
      <c r="I319" s="31" t="n">
        <v>93.0</v>
      </c>
      <c r="J319" s="32" t="n">
        <v>23914.0</v>
      </c>
      <c r="K319" s="33" t="n">
        <v>22039.33</v>
      </c>
      <c r="L319" s="34" t="n">
        <v>22.0</v>
      </c>
      <c r="M319" s="35" t="n">
        <v>15195.97</v>
      </c>
      <c r="N319" s="36" t="inlineStr">
        <is>
          <t>25 Ağustos 08.00-1 Eylül 07.59</t>
        </is>
      </c>
      <c r="O319" s="37" t="n">
        <v>14.8</v>
      </c>
      <c r="P319" s="38" t="n">
        <v>22039.33</v>
      </c>
      <c r="Q319" s="39"/>
      <c r="R319" s="40" t="n">
        <f>=IF(AND(ISBLANK(Q319), ISBLANK(U319)), "", "7 Günlük Fiyat")</f>
        <v>0.0</v>
      </c>
      <c r="S319" s="41" t="n">
        <f>=IF(OR(Q319="", R319=""), "-", IF(ISNUMBER(SEARCH("7 Günlük", R319)), IF(Q319&lt;=M319, O319, "-"), "-"))</f>
        <v>0.0</v>
      </c>
      <c r="T319" s="42" t="str">
        <f>=IF(ISBLANK(Q319), "", "Hayır")</f>
      </c>
      <c r="U319" s="43"/>
      <c r="V319" s="44" t="inlineStr">
        <is>
          <t>50461ed1-c2c8-4393-967e-55d58a3e2664</t>
        </is>
      </c>
    </row>
    <row r="320">
      <c r="A320" s="23" t="inlineStr">
        <is>
          <t>Rampalı Giriş Paspası Toz Ve Nem Alıcı Su Emici Kaymaz Paspas Apartman Dükkan Iş Yeri Paspası</t>
        </is>
      </c>
      <c r="B320" s="24" t="inlineStr">
        <is>
          <t>769993791</t>
        </is>
      </c>
      <c r="C320" s="25" t="inlineStr">
        <is>
          <t>TOZKONTROL-IYP1-KIRMIZI-120x1150</t>
        </is>
      </c>
      <c r="D320" s="26" t="inlineStr">
        <is>
          <t>TOZKONTROL-IYP1-KIRMIZI-120x1150</t>
        </is>
      </c>
      <c r="E320" s="27" t="inlineStr">
        <is>
          <t>120 x 1150</t>
        </is>
      </c>
      <c r="F320" s="28" t="inlineStr">
        <is>
          <t>TOZKONTROL-IYP1</t>
        </is>
      </c>
      <c r="G320" s="29" t="inlineStr">
        <is>
          <t>Kapı Önü Paspası</t>
        </is>
      </c>
      <c r="H320" s="30" t="inlineStr">
        <is>
          <t>Paspas Yap</t>
        </is>
      </c>
      <c r="I320" s="31" t="n">
        <v>93.0</v>
      </c>
      <c r="J320" s="32" t="n">
        <v>20236.83</v>
      </c>
      <c r="K320" s="33" t="n">
        <v>20236.83</v>
      </c>
      <c r="L320" s="34" t="n">
        <v>22.0</v>
      </c>
      <c r="M320" s="35" t="n">
        <v>14662.47</v>
      </c>
      <c r="N320" s="36" t="inlineStr">
        <is>
          <t>25 Ağustos 08.00-1 Eylül 07.59</t>
        </is>
      </c>
      <c r="O320" s="37" t="n">
        <v>14.3</v>
      </c>
      <c r="P320" s="38" t="n">
        <v>20236.83</v>
      </c>
      <c r="Q320" s="39"/>
      <c r="R320" s="40" t="n">
        <f>=IF(AND(ISBLANK(Q320), ISBLANK(U320)), "", "7 Günlük Fiyat")</f>
        <v>0.0</v>
      </c>
      <c r="S320" s="41" t="n">
        <f>=IF(OR(Q320="", R320=""), "-", IF(ISNUMBER(SEARCH("7 Günlük", R320)), IF(Q320&lt;=M320, O320, "-"), "-"))</f>
        <v>0.0</v>
      </c>
      <c r="T320" s="42" t="str">
        <f>=IF(ISBLANK(Q320), "", "Hayır")</f>
      </c>
      <c r="U320" s="43"/>
      <c r="V320" s="44" t="inlineStr">
        <is>
          <t>50461ed1-c2c8-4393-967e-55d58a3e2664</t>
        </is>
      </c>
    </row>
    <row r="321">
      <c r="A321" s="23" t="inlineStr">
        <is>
          <t>Rampalı Giriş Paspası Toz Ve Nem Alıcı Su Emici Kaymaz Paspas Apartman Dükkan Iş Yeri Paspası</t>
        </is>
      </c>
      <c r="B321" s="24" t="inlineStr">
        <is>
          <t>769993791</t>
        </is>
      </c>
      <c r="C321" s="25" t="inlineStr">
        <is>
          <t>TOZKONTROL-IYP1-KIRMIZI-100250</t>
        </is>
      </c>
      <c r="D321" s="26" t="inlineStr">
        <is>
          <t>TOZKONTROL-IYP1-KIRMIZI-100250</t>
        </is>
      </c>
      <c r="E321" s="27" t="inlineStr">
        <is>
          <t>100 x 250</t>
        </is>
      </c>
      <c r="F321" s="28" t="inlineStr">
        <is>
          <t>TOZKONTROL-IYP1</t>
        </is>
      </c>
      <c r="G321" s="29" t="inlineStr">
        <is>
          <t>Kapı Önü Paspası</t>
        </is>
      </c>
      <c r="H321" s="30" t="inlineStr">
        <is>
          <t>Paspas Yap</t>
        </is>
      </c>
      <c r="I321" s="31" t="n">
        <v>93.0</v>
      </c>
      <c r="J321" s="32" t="n">
        <v>4580.0</v>
      </c>
      <c r="K321" s="33" t="n">
        <v>4193.15</v>
      </c>
      <c r="L321" s="34" t="n">
        <v>22.0</v>
      </c>
      <c r="M321" s="35" t="n">
        <v>2929.07</v>
      </c>
      <c r="N321" s="36" t="inlineStr">
        <is>
          <t>25 Ağustos 08.00-1 Eylül 07.59</t>
        </is>
      </c>
      <c r="O321" s="37" t="n">
        <v>15.0</v>
      </c>
      <c r="P321" s="38" t="n">
        <v>4193.15</v>
      </c>
      <c r="Q321" s="39"/>
      <c r="R321" s="40" t="n">
        <f>=IF(AND(ISBLANK(Q321), ISBLANK(U321)), "", "7 Günlük Fiyat")</f>
        <v>0.0</v>
      </c>
      <c r="S321" s="41" t="n">
        <f>=IF(OR(Q321="", R321=""), "-", IF(ISNUMBER(SEARCH("7 Günlük", R321)), IF(Q321&lt;=M321, O321, "-"), "-"))</f>
        <v>0.0</v>
      </c>
      <c r="T321" s="42" t="str">
        <f>=IF(ISBLANK(Q321), "", "Hayır")</f>
      </c>
      <c r="U321" s="43"/>
      <c r="V321" s="44" t="inlineStr">
        <is>
          <t>50461ed1-c2c8-4393-967e-55d58a3e2664</t>
        </is>
      </c>
    </row>
    <row r="322">
      <c r="A322" s="23" t="inlineStr">
        <is>
          <t>Rampalı Giriş Paspası Toz Ve Nem Alıcı Su Emici Kaymaz Paspas Apartman Dükkan Iş Yeri Paspası</t>
        </is>
      </c>
      <c r="B322" s="24" t="inlineStr">
        <is>
          <t>769993791</t>
        </is>
      </c>
      <c r="C322" s="25" t="inlineStr">
        <is>
          <t>TOZKONTROL-IYP1-KIRMIZI-801000</t>
        </is>
      </c>
      <c r="D322" s="26" t="inlineStr">
        <is>
          <t>TOZKONTROL-IYP1-KIRMIZI-801000</t>
        </is>
      </c>
      <c r="E322" s="27" t="inlineStr">
        <is>
          <t>80 x 1000</t>
        </is>
      </c>
      <c r="F322" s="28" t="inlineStr">
        <is>
          <t>TOZKONTROL-IYP1</t>
        </is>
      </c>
      <c r="G322" s="29" t="inlineStr">
        <is>
          <t>Kapı Önü Paspası</t>
        </is>
      </c>
      <c r="H322" s="30" t="inlineStr">
        <is>
          <t>Paspas Yap</t>
        </is>
      </c>
      <c r="I322" s="31" t="n">
        <v>93.0</v>
      </c>
      <c r="J322" s="32" t="n">
        <v>13749.0</v>
      </c>
      <c r="K322" s="33" t="n">
        <v>12816.37</v>
      </c>
      <c r="L322" s="34" t="n">
        <v>22.0</v>
      </c>
      <c r="M322" s="35" t="n">
        <v>8974.71</v>
      </c>
      <c r="N322" s="36" t="inlineStr">
        <is>
          <t>25 Ağustos 08.00-1 Eylül 07.59</t>
        </is>
      </c>
      <c r="O322" s="37" t="n">
        <v>15.3</v>
      </c>
      <c r="P322" s="38" t="n">
        <v>12816.37</v>
      </c>
      <c r="Q322" s="39"/>
      <c r="R322" s="40" t="n">
        <f>=IF(AND(ISBLANK(Q322), ISBLANK(U322)), "", "7 Günlük Fiyat")</f>
        <v>0.0</v>
      </c>
      <c r="S322" s="41" t="n">
        <f>=IF(OR(Q322="", R322=""), "-", IF(ISNUMBER(SEARCH("7 Günlük", R322)), IF(Q322&lt;=M322, O322, "-"), "-"))</f>
        <v>0.0</v>
      </c>
      <c r="T322" s="42" t="str">
        <f>=IF(ISBLANK(Q322), "", "Hayır")</f>
      </c>
      <c r="U322" s="43"/>
      <c r="V322" s="44" t="inlineStr">
        <is>
          <t>50461ed1-c2c8-4393-967e-55d58a3e2664</t>
        </is>
      </c>
    </row>
    <row r="323">
      <c r="A323" s="23" t="inlineStr">
        <is>
          <t>Rampalı Giriş Paspası Toz Ve Nem Alıcı Su Emici Kaymaz Paspas Apartman Dükkan Iş Yeri Paspası</t>
        </is>
      </c>
      <c r="B323" s="24" t="inlineStr">
        <is>
          <t>769993791</t>
        </is>
      </c>
      <c r="C323" s="25" t="inlineStr">
        <is>
          <t>TOZKONTROL-IYP1-KIRMIZI-120950</t>
        </is>
      </c>
      <c r="D323" s="26" t="inlineStr">
        <is>
          <t>TOZKONTROL-IYP1-KIRMIZI-120950</t>
        </is>
      </c>
      <c r="E323" s="27" t="inlineStr">
        <is>
          <t>120 x 950</t>
        </is>
      </c>
      <c r="F323" s="28" t="inlineStr">
        <is>
          <t>TOZKONTROL-IYP1</t>
        </is>
      </c>
      <c r="G323" s="29" t="inlineStr">
        <is>
          <t>Kapı Önü Paspası</t>
        </is>
      </c>
      <c r="H323" s="30" t="inlineStr">
        <is>
          <t>Paspas Yap</t>
        </is>
      </c>
      <c r="I323" s="31" t="n">
        <v>93.0</v>
      </c>
      <c r="J323" s="32" t="n">
        <v>21482.0</v>
      </c>
      <c r="K323" s="33" t="n">
        <v>19733.24</v>
      </c>
      <c r="L323" s="34" t="n">
        <v>22.0</v>
      </c>
      <c r="M323" s="35" t="n">
        <v>13654.9</v>
      </c>
      <c r="N323" s="36" t="inlineStr">
        <is>
          <t>25 Ağustos 08.00-1 Eylül 07.59</t>
        </is>
      </c>
      <c r="O323" s="37" t="n">
        <v>14.8</v>
      </c>
      <c r="P323" s="38" t="n">
        <v>19733.24</v>
      </c>
      <c r="Q323" s="39"/>
      <c r="R323" s="40" t="n">
        <f>=IF(AND(ISBLANK(Q323), ISBLANK(U323)), "", "7 Günlük Fiyat")</f>
        <v>0.0</v>
      </c>
      <c r="S323" s="41" t="n">
        <f>=IF(OR(Q323="", R323=""), "-", IF(ISNUMBER(SEARCH("7 Günlük", R323)), IF(Q323&lt;=M323, O323, "-"), "-"))</f>
        <v>0.0</v>
      </c>
      <c r="T323" s="42" t="str">
        <f>=IF(ISBLANK(Q323), "", "Hayır")</f>
      </c>
      <c r="U323" s="43"/>
      <c r="V323" s="44" t="inlineStr">
        <is>
          <t>50461ed1-c2c8-4393-967e-55d58a3e2664</t>
        </is>
      </c>
    </row>
    <row r="324">
      <c r="A324" s="23" t="inlineStr">
        <is>
          <t>Rampalı Giriş Paspası Toz Ve Nem Alıcı Su Emici Kaymaz Paspas Apartman Dükkan Iş Yeri Paspası</t>
        </is>
      </c>
      <c r="B324" s="24" t="inlineStr">
        <is>
          <t>769993791</t>
        </is>
      </c>
      <c r="C324" s="25" t="inlineStr">
        <is>
          <t>TOZKONTROL-IYP1-KIRMIZI-100450</t>
        </is>
      </c>
      <c r="D324" s="26" t="inlineStr">
        <is>
          <t>TOZKONTROL-IYP1-KIRMIZI-100450</t>
        </is>
      </c>
      <c r="E324" s="27" t="inlineStr">
        <is>
          <t>100 x 450</t>
        </is>
      </c>
      <c r="F324" s="28" t="inlineStr">
        <is>
          <t>TOZKONTROL-IYP1</t>
        </is>
      </c>
      <c r="G324" s="29" t="inlineStr">
        <is>
          <t>Kapı Önü Paspası</t>
        </is>
      </c>
      <c r="H324" s="30" t="inlineStr">
        <is>
          <t>Paspas Yap</t>
        </is>
      </c>
      <c r="I324" s="31" t="n">
        <v>93.0</v>
      </c>
      <c r="J324" s="32" t="n">
        <v>7737.0</v>
      </c>
      <c r="K324" s="33" t="n">
        <v>7139.87</v>
      </c>
      <c r="L324" s="34" t="n">
        <v>22.0</v>
      </c>
      <c r="M324" s="35" t="n">
        <v>4898.37</v>
      </c>
      <c r="N324" s="36" t="inlineStr">
        <is>
          <t>25 Ağustos 08.00-1 Eylül 07.59</t>
        </is>
      </c>
      <c r="O324" s="37" t="n">
        <v>14.8</v>
      </c>
      <c r="P324" s="38" t="n">
        <v>7139.87</v>
      </c>
      <c r="Q324" s="39"/>
      <c r="R324" s="40" t="n">
        <f>=IF(AND(ISBLANK(Q324), ISBLANK(U324)), "", "7 Günlük Fiyat")</f>
        <v>0.0</v>
      </c>
      <c r="S324" s="41" t="n">
        <f>=IF(OR(Q324="", R324=""), "-", IF(ISNUMBER(SEARCH("7 Günlük", R324)), IF(Q324&lt;=M324, O324, "-"), "-"))</f>
        <v>0.0</v>
      </c>
      <c r="T324" s="42" t="str">
        <f>=IF(ISBLANK(Q324), "", "Hayır")</f>
      </c>
      <c r="U324" s="43"/>
      <c r="V324" s="44" t="inlineStr">
        <is>
          <t>50461ed1-c2c8-4393-967e-55d58a3e2664</t>
        </is>
      </c>
    </row>
    <row r="325">
      <c r="A325" s="23" t="inlineStr">
        <is>
          <t>Rampalı Giriş Paspası Toz Ve Nem Alıcı Su Emici Kaymaz Paspas Apartman Dükkan Iş Yeri Paspası</t>
        </is>
      </c>
      <c r="B325" s="24" t="inlineStr">
        <is>
          <t>769993791</t>
        </is>
      </c>
      <c r="C325" s="25" t="inlineStr">
        <is>
          <t>TOZKONTROL-IYP1-KIRMIZI-120650</t>
        </is>
      </c>
      <c r="D325" s="26" t="inlineStr">
        <is>
          <t>TOZKONTROL-IYP1-KIRMIZI-120650</t>
        </is>
      </c>
      <c r="E325" s="27" t="inlineStr">
        <is>
          <t>120 x 650</t>
        </is>
      </c>
      <c r="F325" s="28" t="inlineStr">
        <is>
          <t>TOZKONTROL-IYP1</t>
        </is>
      </c>
      <c r="G325" s="29" t="inlineStr">
        <is>
          <t>Kapı Önü Paspası</t>
        </is>
      </c>
      <c r="H325" s="30" t="inlineStr">
        <is>
          <t>Paspas Yap</t>
        </is>
      </c>
      <c r="I325" s="31" t="n">
        <v>93.0</v>
      </c>
      <c r="J325" s="32" t="n">
        <v>12997.0</v>
      </c>
      <c r="K325" s="33" t="n">
        <v>12084.93</v>
      </c>
      <c r="L325" s="34" t="n">
        <v>22.0</v>
      </c>
      <c r="M325" s="35" t="n">
        <v>8370.16</v>
      </c>
      <c r="N325" s="36" t="inlineStr">
        <is>
          <t>25 Ağustos 08.00-1 Eylül 07.59</t>
        </is>
      </c>
      <c r="O325" s="37" t="n">
        <v>15.1</v>
      </c>
      <c r="P325" s="38" t="n">
        <v>12084.93</v>
      </c>
      <c r="Q325" s="39"/>
      <c r="R325" s="40" t="n">
        <f>=IF(AND(ISBLANK(Q325), ISBLANK(U325)), "", "7 Günlük Fiyat")</f>
        <v>0.0</v>
      </c>
      <c r="S325" s="41" t="n">
        <f>=IF(OR(Q325="", R325=""), "-", IF(ISNUMBER(SEARCH("7 Günlük", R325)), IF(Q325&lt;=M325, O325, "-"), "-"))</f>
        <v>0.0</v>
      </c>
      <c r="T325" s="42" t="str">
        <f>=IF(ISBLANK(Q325), "", "Hayır")</f>
      </c>
      <c r="U325" s="43"/>
      <c r="V325" s="44" t="inlineStr">
        <is>
          <t>50461ed1-c2c8-4393-967e-55d58a3e2664</t>
        </is>
      </c>
    </row>
    <row r="326">
      <c r="A326" s="23" t="inlineStr">
        <is>
          <t>Rampalı Giriş Paspası Toz Ve Nem Alıcı Su Emici Kaymaz Paspas Apartman Dükkan Iş Yeri Paspası</t>
        </is>
      </c>
      <c r="B326" s="24" t="inlineStr">
        <is>
          <t>769993791</t>
        </is>
      </c>
      <c r="C326" s="25" t="inlineStr">
        <is>
          <t>TOZKONTROL-IYP1-KIRMIZI-80950</t>
        </is>
      </c>
      <c r="D326" s="26" t="inlineStr">
        <is>
          <t>TOZKONTROL-IYP1-KIRMIZI-80950</t>
        </is>
      </c>
      <c r="E326" s="27" t="inlineStr">
        <is>
          <t>80 x 950</t>
        </is>
      </c>
      <c r="F326" s="28" t="inlineStr">
        <is>
          <t>TOZKONTROL-IYP1</t>
        </is>
      </c>
      <c r="G326" s="29" t="inlineStr">
        <is>
          <t>Kapı Önü Paspası</t>
        </is>
      </c>
      <c r="H326" s="30" t="inlineStr">
        <is>
          <t>Paspas Yap</t>
        </is>
      </c>
      <c r="I326" s="31" t="n">
        <v>93.0</v>
      </c>
      <c r="J326" s="32" t="n">
        <v>13145.0</v>
      </c>
      <c r="K326" s="33" t="n">
        <v>12271.3</v>
      </c>
      <c r="L326" s="34" t="n">
        <v>22.0</v>
      </c>
      <c r="M326" s="35" t="n">
        <v>8657.19</v>
      </c>
      <c r="N326" s="36" t="inlineStr">
        <is>
          <t>25 Ağustos 08.00-1 Eylül 07.59</t>
        </is>
      </c>
      <c r="O326" s="37" t="n">
        <v>15.5</v>
      </c>
      <c r="P326" s="38" t="n">
        <v>12271.3</v>
      </c>
      <c r="Q326" s="39"/>
      <c r="R326" s="40" t="n">
        <f>=IF(AND(ISBLANK(Q326), ISBLANK(U326)), "", "7 Günlük Fiyat")</f>
        <v>0.0</v>
      </c>
      <c r="S326" s="41" t="n">
        <f>=IF(OR(Q326="", R326=""), "-", IF(ISNUMBER(SEARCH("7 Günlük", R326)), IF(Q326&lt;=M326, O326, "-"), "-"))</f>
        <v>0.0</v>
      </c>
      <c r="T326" s="42" t="str">
        <f>=IF(ISBLANK(Q326), "", "Hayır")</f>
      </c>
      <c r="U326" s="43"/>
      <c r="V326" s="44" t="inlineStr">
        <is>
          <t>50461ed1-c2c8-4393-967e-55d58a3e2664</t>
        </is>
      </c>
    </row>
    <row r="327">
      <c r="A327" s="23" t="inlineStr">
        <is>
          <t>Rampalı Giriş Paspası Toz Ve Nem Alıcı Su Emici Kaymaz Paspas Apartman Dükkan Iş Yeri Paspası</t>
        </is>
      </c>
      <c r="B327" s="24" t="inlineStr">
        <is>
          <t>769993791</t>
        </is>
      </c>
      <c r="C327" s="25" t="inlineStr">
        <is>
          <t>TOZKONTROL-IYP1-KIRMIZI-100800</t>
        </is>
      </c>
      <c r="D327" s="26" t="inlineStr">
        <is>
          <t>TOZKONTROL-IYP1-KIRMIZI-100800</t>
        </is>
      </c>
      <c r="E327" s="27" t="inlineStr">
        <is>
          <t>100 x 800</t>
        </is>
      </c>
      <c r="F327" s="28" t="inlineStr">
        <is>
          <t>TOZKONTROL-IYP1</t>
        </is>
      </c>
      <c r="G327" s="29" t="inlineStr">
        <is>
          <t>Kapı Önü Paspası</t>
        </is>
      </c>
      <c r="H327" s="30" t="inlineStr">
        <is>
          <t>Paspas Yap</t>
        </is>
      </c>
      <c r="I327" s="31" t="n">
        <v>93.0</v>
      </c>
      <c r="J327" s="32" t="n">
        <v>13749.0</v>
      </c>
      <c r="K327" s="33" t="n">
        <v>12727.35</v>
      </c>
      <c r="L327" s="34" t="n">
        <v>22.0</v>
      </c>
      <c r="M327" s="35" t="n">
        <v>8255.97</v>
      </c>
      <c r="N327" s="36" t="inlineStr">
        <is>
          <t>25 Ağustos 08.00-1 Eylül 07.59</t>
        </is>
      </c>
      <c r="O327" s="37" t="n">
        <v>13.8</v>
      </c>
      <c r="P327" s="38" t="n">
        <v>12727.35</v>
      </c>
      <c r="Q327" s="39"/>
      <c r="R327" s="40" t="n">
        <f>=IF(AND(ISBLANK(Q327), ISBLANK(U327)), "", "7 Günlük Fiyat")</f>
        <v>0.0</v>
      </c>
      <c r="S327" s="41" t="n">
        <f>=IF(OR(Q327="", R327=""), "-", IF(ISNUMBER(SEARCH("7 Günlük", R327)), IF(Q327&lt;=M327, O327, "-"), "-"))</f>
        <v>0.0</v>
      </c>
      <c r="T327" s="42" t="str">
        <f>=IF(ISBLANK(Q327), "", "Hayır")</f>
      </c>
      <c r="U327" s="43"/>
      <c r="V327" s="44" t="inlineStr">
        <is>
          <t>50461ed1-c2c8-4393-967e-55d58a3e2664</t>
        </is>
      </c>
    </row>
    <row r="328">
      <c r="A328" s="23" t="inlineStr">
        <is>
          <t>Rampalı Giriş Paspası Toz Ve Nem Alıcı Su Emici Kaymaz Paspas Apartman Dükkan Iş Yeri Paspası</t>
        </is>
      </c>
      <c r="B328" s="24" t="inlineStr">
        <is>
          <t>769993791</t>
        </is>
      </c>
      <c r="C328" s="25" t="inlineStr">
        <is>
          <t>TOZKONTROL-IYP1-KIRMIZI-120150</t>
        </is>
      </c>
      <c r="D328" s="26" t="inlineStr">
        <is>
          <t>TOZKONTROL-IYP1-KIRMIZI-120150</t>
        </is>
      </c>
      <c r="E328" s="27" t="inlineStr">
        <is>
          <t>120 x 150</t>
        </is>
      </c>
      <c r="F328" s="28" t="inlineStr">
        <is>
          <t>TOZKONTROL-IYP1</t>
        </is>
      </c>
      <c r="G328" s="29" t="inlineStr">
        <is>
          <t>Kapı Önü Paspası</t>
        </is>
      </c>
      <c r="H328" s="30" t="inlineStr">
        <is>
          <t>Paspas Yap</t>
        </is>
      </c>
      <c r="I328" s="31" t="n">
        <v>93.0</v>
      </c>
      <c r="J328" s="32" t="n">
        <v>3376.0</v>
      </c>
      <c r="K328" s="33" t="n">
        <v>2796.23</v>
      </c>
      <c r="L328" s="34" t="n">
        <v>22.0</v>
      </c>
      <c r="M328" s="35" t="n">
        <v>2037.24</v>
      </c>
      <c r="N328" s="36" t="inlineStr">
        <is>
          <t>25 Ağustos 08.00-1 Eylül 07.59</t>
        </is>
      </c>
      <c r="O328" s="37" t="n">
        <v>14.9</v>
      </c>
      <c r="P328" s="38" t="n">
        <v>2796.23</v>
      </c>
      <c r="Q328" s="39"/>
      <c r="R328" s="40" t="n">
        <f>=IF(AND(ISBLANK(Q328), ISBLANK(U328)), "", "7 Günlük Fiyat")</f>
        <v>0.0</v>
      </c>
      <c r="S328" s="41" t="n">
        <f>=IF(OR(Q328="", R328=""), "-", IF(ISNUMBER(SEARCH("7 Günlük", R328)), IF(Q328&lt;=M328, O328, "-"), "-"))</f>
        <v>0.0</v>
      </c>
      <c r="T328" s="42" t="str">
        <f>=IF(ISBLANK(Q328), "", "Hayır")</f>
      </c>
      <c r="U328" s="43"/>
      <c r="V328" s="44" t="inlineStr">
        <is>
          <t>50461ed1-c2c8-4393-967e-55d58a3e2664</t>
        </is>
      </c>
    </row>
    <row r="329">
      <c r="A329" s="23" t="inlineStr">
        <is>
          <t>Rampalı Giriş Paspası Toz Ve Nem Alıcı Su Emici Kaymaz Paspas Apartman Dükkan Iş Yeri Paspası</t>
        </is>
      </c>
      <c r="B329" s="24" t="inlineStr">
        <is>
          <t>769993791</t>
        </is>
      </c>
      <c r="C329" s="25" t="inlineStr">
        <is>
          <t>TOZKONTROL-IYP1-KIRMIZI-120x1050</t>
        </is>
      </c>
      <c r="D329" s="26" t="inlineStr">
        <is>
          <t>TOZKONTROL-IYP1-KIRMIZI-120x1050</t>
        </is>
      </c>
      <c r="E329" s="27" t="inlineStr">
        <is>
          <t>120 x 1050</t>
        </is>
      </c>
      <c r="F329" s="28" t="inlineStr">
        <is>
          <t>TOZKONTROL-IYP1</t>
        </is>
      </c>
      <c r="G329" s="29" t="inlineStr">
        <is>
          <t>Kapı Önü Paspası</t>
        </is>
      </c>
      <c r="H329" s="30" t="inlineStr">
        <is>
          <t>Paspas Yap</t>
        </is>
      </c>
      <c r="I329" s="31" t="n">
        <v>93.0</v>
      </c>
      <c r="J329" s="32" t="n">
        <v>23280.0</v>
      </c>
      <c r="K329" s="33" t="n">
        <v>21413.1</v>
      </c>
      <c r="L329" s="34" t="n">
        <v>22.0</v>
      </c>
      <c r="M329" s="35" t="n">
        <v>14367.03</v>
      </c>
      <c r="N329" s="36" t="inlineStr">
        <is>
          <t>25 Ağustos 08.00-1 Eylül 07.59</t>
        </is>
      </c>
      <c r="O329" s="37" t="n">
        <v>14.2</v>
      </c>
      <c r="P329" s="38" t="n">
        <v>21413.1</v>
      </c>
      <c r="Q329" s="39"/>
      <c r="R329" s="40" t="n">
        <f>=IF(AND(ISBLANK(Q329), ISBLANK(U329)), "", "7 Günlük Fiyat")</f>
        <v>0.0</v>
      </c>
      <c r="S329" s="41" t="n">
        <f>=IF(OR(Q329="", R329=""), "-", IF(ISNUMBER(SEARCH("7 Günlük", R329)), IF(Q329&lt;=M329, O329, "-"), "-"))</f>
        <v>0.0</v>
      </c>
      <c r="T329" s="42" t="str">
        <f>=IF(ISBLANK(Q329), "", "Hayır")</f>
      </c>
      <c r="U329" s="43"/>
      <c r="V329" s="44" t="inlineStr">
        <is>
          <t>50461ed1-c2c8-4393-967e-55d58a3e2664</t>
        </is>
      </c>
    </row>
    <row r="330">
      <c r="A330" s="23" t="inlineStr">
        <is>
          <t>Rampalı Giriş Paspası Toz Ve Nem Alıcı Su Emici Kaymaz Paspas Apartman Dükkan Iş Yeri Paspası</t>
        </is>
      </c>
      <c r="B330" s="24" t="inlineStr">
        <is>
          <t>769993791</t>
        </is>
      </c>
      <c r="C330" s="25" t="inlineStr">
        <is>
          <t>TOZKONTROL-IYP1-KIRMIZI-120250</t>
        </is>
      </c>
      <c r="D330" s="26" t="inlineStr">
        <is>
          <t>TOZKONTROL-IYP1-KIRMIZI-120250</t>
        </is>
      </c>
      <c r="E330" s="27" t="inlineStr">
        <is>
          <t>120 x 250</t>
        </is>
      </c>
      <c r="F330" s="28" t="inlineStr">
        <is>
          <t>TOZKONTROL-IYP1</t>
        </is>
      </c>
      <c r="G330" s="29" t="inlineStr">
        <is>
          <t>Kapı Önü Paspası</t>
        </is>
      </c>
      <c r="H330" s="30" t="inlineStr">
        <is>
          <t>Paspas Yap</t>
        </is>
      </c>
      <c r="I330" s="31" t="n">
        <v>93.0</v>
      </c>
      <c r="J330" s="32" t="n">
        <v>5278.0</v>
      </c>
      <c r="K330" s="33" t="n">
        <v>4854.86</v>
      </c>
      <c r="L330" s="34" t="n">
        <v>22.0</v>
      </c>
      <c r="M330" s="35" t="n">
        <v>3409.68</v>
      </c>
      <c r="N330" s="36" t="inlineStr">
        <is>
          <t>25 Ağustos 08.00-1 Eylül 07.59</t>
        </is>
      </c>
      <c r="O330" s="37" t="n">
        <v>15.2</v>
      </c>
      <c r="P330" s="38" t="n">
        <v>4854.86</v>
      </c>
      <c r="Q330" s="39"/>
      <c r="R330" s="40" t="n">
        <f>=IF(AND(ISBLANK(Q330), ISBLANK(U330)), "", "7 Günlük Fiyat")</f>
        <v>0.0</v>
      </c>
      <c r="S330" s="41" t="n">
        <f>=IF(OR(Q330="", R330=""), "-", IF(ISNUMBER(SEARCH("7 Günlük", R330)), IF(Q330&lt;=M330, O330, "-"), "-"))</f>
        <v>0.0</v>
      </c>
      <c r="T330" s="42" t="str">
        <f>=IF(ISBLANK(Q330), "", "Hayır")</f>
      </c>
      <c r="U330" s="43"/>
      <c r="V330" s="44" t="inlineStr">
        <is>
          <t>50461ed1-c2c8-4393-967e-55d58a3e2664</t>
        </is>
      </c>
    </row>
    <row r="331">
      <c r="A331" s="23" t="inlineStr">
        <is>
          <t>Rampalı Giriş Paspası Toz Ve Nem Alıcı Su Emici Kaymaz Paspas Apartman Dükkan Iş Yeri Paspası</t>
        </is>
      </c>
      <c r="B331" s="24" t="inlineStr">
        <is>
          <t>769993791</t>
        </is>
      </c>
      <c r="C331" s="25" t="inlineStr">
        <is>
          <t>TOZKONTROL-IYP1-KIRMIZI-80x1500</t>
        </is>
      </c>
      <c r="D331" s="26" t="inlineStr">
        <is>
          <t>TOZKONTROL-IYP1-KIRMIZI-80x1500</t>
        </is>
      </c>
      <c r="E331" s="27" t="inlineStr">
        <is>
          <t>80 x 1500</t>
        </is>
      </c>
      <c r="F331" s="28" t="inlineStr">
        <is>
          <t>TOZKONTROL-IYP1</t>
        </is>
      </c>
      <c r="G331" s="29" t="inlineStr">
        <is>
          <t>Kapı Önü Paspası</t>
        </is>
      </c>
      <c r="H331" s="30" t="inlineStr">
        <is>
          <t>Paspas Yap</t>
        </is>
      </c>
      <c r="I331" s="31" t="n">
        <v>93.0</v>
      </c>
      <c r="J331" s="32" t="n">
        <v>22715.0</v>
      </c>
      <c r="K331" s="33" t="n">
        <v>20988.52</v>
      </c>
      <c r="L331" s="34" t="n">
        <v>22.0</v>
      </c>
      <c r="M331" s="35" t="n">
        <v>14312.52</v>
      </c>
      <c r="N331" s="36" t="inlineStr">
        <is>
          <t>25 Ağustos 08.00-1 Eylül 07.59</t>
        </is>
      </c>
      <c r="O331" s="37" t="n">
        <v>14.6</v>
      </c>
      <c r="P331" s="38" t="n">
        <v>20988.52</v>
      </c>
      <c r="Q331" s="39"/>
      <c r="R331" s="40" t="n">
        <f>=IF(AND(ISBLANK(Q331), ISBLANK(U331)), "", "7 Günlük Fiyat")</f>
        <v>0.0</v>
      </c>
      <c r="S331" s="41" t="n">
        <f>=IF(OR(Q331="", R331=""), "-", IF(ISNUMBER(SEARCH("7 Günlük", R331)), IF(Q331&lt;=M331, O331, "-"), "-"))</f>
        <v>0.0</v>
      </c>
      <c r="T331" s="42" t="str">
        <f>=IF(ISBLANK(Q331), "", "Hayır")</f>
      </c>
      <c r="U331" s="43"/>
      <c r="V331" s="44" t="inlineStr">
        <is>
          <t>50461ed1-c2c8-4393-967e-55d58a3e2664</t>
        </is>
      </c>
    </row>
    <row r="332">
      <c r="A332" s="23" t="inlineStr">
        <is>
          <t>Rampalı Giriş Paspası Toz Ve Nem Alıcı Su Emici Kaymaz Paspas Apartman Dükkan Iş Yeri Paspası</t>
        </is>
      </c>
      <c r="B332" s="24" t="inlineStr">
        <is>
          <t>769993791</t>
        </is>
      </c>
      <c r="C332" s="25" t="inlineStr">
        <is>
          <t>TOZKONTROL-IYP1-KIRMIZI-80x1450</t>
        </is>
      </c>
      <c r="D332" s="26" t="inlineStr">
        <is>
          <t>TOZKONTROL-IYP1-KIRMIZI-80x1450</t>
        </is>
      </c>
      <c r="E332" s="27" t="inlineStr">
        <is>
          <t>80 x 1450</t>
        </is>
      </c>
      <c r="F332" s="28" t="inlineStr">
        <is>
          <t>TOZKONTROL-IYP1</t>
        </is>
      </c>
      <c r="G332" s="29" t="inlineStr">
        <is>
          <t>Kapı Önü Paspası</t>
        </is>
      </c>
      <c r="H332" s="30" t="inlineStr">
        <is>
          <t>Paspas Yap</t>
        </is>
      </c>
      <c r="I332" s="31" t="n">
        <v>93.0</v>
      </c>
      <c r="J332" s="32" t="n">
        <v>22087.0</v>
      </c>
      <c r="K332" s="33" t="n">
        <v>20330.73</v>
      </c>
      <c r="L332" s="34" t="n">
        <v>22.0</v>
      </c>
      <c r="M332" s="35" t="n">
        <v>13722.24</v>
      </c>
      <c r="N332" s="36" t="inlineStr">
        <is>
          <t>25 Ağustos 08.00-1 Eylül 07.59</t>
        </is>
      </c>
      <c r="O332" s="37" t="n">
        <v>14.3</v>
      </c>
      <c r="P332" s="38" t="n">
        <v>20330.73</v>
      </c>
      <c r="Q332" s="39"/>
      <c r="R332" s="40" t="n">
        <f>=IF(AND(ISBLANK(Q332), ISBLANK(U332)), "", "7 Günlük Fiyat")</f>
        <v>0.0</v>
      </c>
      <c r="S332" s="41" t="n">
        <f>=IF(OR(Q332="", R332=""), "-", IF(ISNUMBER(SEARCH("7 Günlük", R332)), IF(Q332&lt;=M332, O332, "-"), "-"))</f>
        <v>0.0</v>
      </c>
      <c r="T332" s="42" t="str">
        <f>=IF(ISBLANK(Q332), "", "Hayır")</f>
      </c>
      <c r="U332" s="43"/>
      <c r="V332" s="44" t="inlineStr">
        <is>
          <t>50461ed1-c2c8-4393-967e-55d58a3e2664</t>
        </is>
      </c>
    </row>
    <row r="333">
      <c r="A333" s="23" t="inlineStr">
        <is>
          <t>Rampalı Giriş Paspası Toz Ve Nem Alıcı Su Emici Kaymaz Paspas Apartman Dükkan Iş Yeri Paspası</t>
        </is>
      </c>
      <c r="B333" s="24" t="inlineStr">
        <is>
          <t>769993791</t>
        </is>
      </c>
      <c r="C333" s="25" t="inlineStr">
        <is>
          <t>TOZKONTROL-IYP1-KIRMIZI-120x1250</t>
        </is>
      </c>
      <c r="D333" s="26" t="inlineStr">
        <is>
          <t>TOZKONTROL-IYP1-KIRMIZI-120x1250</t>
        </is>
      </c>
      <c r="E333" s="27" t="inlineStr">
        <is>
          <t>120 x 1250</t>
        </is>
      </c>
      <c r="F333" s="28" t="inlineStr">
        <is>
          <t>TOZKONTROL-IYP1</t>
        </is>
      </c>
      <c r="G333" s="29" t="inlineStr">
        <is>
          <t>Kapı Önü Paspası</t>
        </is>
      </c>
      <c r="H333" s="30" t="inlineStr">
        <is>
          <t>Paspas Yap</t>
        </is>
      </c>
      <c r="I333" s="31" t="n">
        <v>93.0</v>
      </c>
      <c r="J333" s="32" t="n">
        <v>26967.0</v>
      </c>
      <c r="K333" s="33" t="n">
        <v>24581.03</v>
      </c>
      <c r="L333" s="34" t="n">
        <v>22.0</v>
      </c>
      <c r="M333" s="35" t="n">
        <v>16567.7</v>
      </c>
      <c r="N333" s="36" t="inlineStr">
        <is>
          <t>25 Ağustos 08.00-1 Eylül 07.59</t>
        </is>
      </c>
      <c r="O333" s="37" t="n">
        <v>14.2</v>
      </c>
      <c r="P333" s="38" t="n">
        <v>24581.03</v>
      </c>
      <c r="Q333" s="39"/>
      <c r="R333" s="40" t="n">
        <f>=IF(AND(ISBLANK(Q333), ISBLANK(U333)), "", "7 Günlük Fiyat")</f>
        <v>0.0</v>
      </c>
      <c r="S333" s="41" t="n">
        <f>=IF(OR(Q333="", R333=""), "-", IF(ISNUMBER(SEARCH("7 Günlük", R333)), IF(Q333&lt;=M333, O333, "-"), "-"))</f>
        <v>0.0</v>
      </c>
      <c r="T333" s="42" t="str">
        <f>=IF(ISBLANK(Q333), "", "Hayır")</f>
      </c>
      <c r="U333" s="43"/>
      <c r="V333" s="44" t="inlineStr">
        <is>
          <t>50461ed1-c2c8-4393-967e-55d58a3e2664</t>
        </is>
      </c>
    </row>
    <row r="334">
      <c r="A334" s="23" t="inlineStr">
        <is>
          <t>Rampalı Giriş Paspası Toz Ve Nem Alıcı Su Emici Kaymaz Paspas Apartman Dükkan Iş Yeri Paspası</t>
        </is>
      </c>
      <c r="B334" s="24" t="inlineStr">
        <is>
          <t>769993791</t>
        </is>
      </c>
      <c r="C334" s="25" t="inlineStr">
        <is>
          <t>TOZKONTROL-IYP1-KIRMIZI-80200</t>
        </is>
      </c>
      <c r="D334" s="26" t="inlineStr">
        <is>
          <t>TOZKONTROL-IYP1-KIRMIZI-80200</t>
        </is>
      </c>
      <c r="E334" s="27" t="inlineStr">
        <is>
          <t>80 x 200</t>
        </is>
      </c>
      <c r="F334" s="28" t="inlineStr">
        <is>
          <t>TOZKONTROL-IYP1</t>
        </is>
      </c>
      <c r="G334" s="29" t="inlineStr">
        <is>
          <t>Kapı Önü Paspası</t>
        </is>
      </c>
      <c r="H334" s="30" t="inlineStr">
        <is>
          <t>Paspas Yap</t>
        </is>
      </c>
      <c r="I334" s="31" t="n">
        <v>93.0</v>
      </c>
      <c r="J334" s="32" t="n">
        <v>3141.0</v>
      </c>
      <c r="K334" s="33" t="n">
        <v>2847.29</v>
      </c>
      <c r="L334" s="34" t="n">
        <v>22.0</v>
      </c>
      <c r="M334" s="35" t="n">
        <v>2022.02</v>
      </c>
      <c r="N334" s="36" t="inlineStr">
        <is>
          <t>25 Ağustos 08.00-1 Eylül 07.59</t>
        </is>
      </c>
      <c r="O334" s="37" t="n">
        <v>15.1</v>
      </c>
      <c r="P334" s="38" t="n">
        <v>2847.29</v>
      </c>
      <c r="Q334" s="39"/>
      <c r="R334" s="40" t="n">
        <f>=IF(AND(ISBLANK(Q334), ISBLANK(U334)), "", "7 Günlük Fiyat")</f>
        <v>0.0</v>
      </c>
      <c r="S334" s="41" t="n">
        <f>=IF(OR(Q334="", R334=""), "-", IF(ISNUMBER(SEARCH("7 Günlük", R334)), IF(Q334&lt;=M334, O334, "-"), "-"))</f>
        <v>0.0</v>
      </c>
      <c r="T334" s="42" t="str">
        <f>=IF(ISBLANK(Q334), "", "Hayır")</f>
      </c>
      <c r="U334" s="43"/>
      <c r="V334" s="44" t="inlineStr">
        <is>
          <t>50461ed1-c2c8-4393-967e-55d58a3e2664</t>
        </is>
      </c>
    </row>
    <row r="335">
      <c r="A335" s="23" t="inlineStr">
        <is>
          <t>Rampalı Giriş Paspası Toz Ve Nem Alıcı Su Emici Kaymaz Paspas Apartman Dükkan Iş Yeri Paspası</t>
        </is>
      </c>
      <c r="B335" s="24" t="inlineStr">
        <is>
          <t>769993791</t>
        </is>
      </c>
      <c r="C335" s="25" t="inlineStr">
        <is>
          <t>TOZKONTROL-IYP1-KIRMIZI-1001100</t>
        </is>
      </c>
      <c r="D335" s="26" t="inlineStr">
        <is>
          <t>TOZKONTROL-IYP1-KIRMIZI-1001100</t>
        </is>
      </c>
      <c r="E335" s="27" t="inlineStr">
        <is>
          <t>100 x 1100</t>
        </is>
      </c>
      <c r="F335" s="28" t="inlineStr">
        <is>
          <t>TOZKONTROL-IYP1</t>
        </is>
      </c>
      <c r="G335" s="29" t="inlineStr">
        <is>
          <t>Kapı Önü Paspası</t>
        </is>
      </c>
      <c r="H335" s="30" t="inlineStr">
        <is>
          <t>Paspas Yap</t>
        </is>
      </c>
      <c r="I335" s="31" t="n">
        <v>93.0</v>
      </c>
      <c r="J335" s="32" t="n">
        <v>20962.0</v>
      </c>
      <c r="K335" s="33" t="n">
        <v>19349.39</v>
      </c>
      <c r="L335" s="34" t="n">
        <v>22.0</v>
      </c>
      <c r="M335" s="35" t="n">
        <v>13503.73</v>
      </c>
      <c r="N335" s="36" t="inlineStr">
        <is>
          <t>25 Ağustos 08.00-1 Eylül 07.59</t>
        </is>
      </c>
      <c r="O335" s="37" t="n">
        <v>15.0</v>
      </c>
      <c r="P335" s="38" t="n">
        <v>19349.39</v>
      </c>
      <c r="Q335" s="39"/>
      <c r="R335" s="40" t="n">
        <f>=IF(AND(ISBLANK(Q335), ISBLANK(U335)), "", "7 Günlük Fiyat")</f>
        <v>0.0</v>
      </c>
      <c r="S335" s="41" t="n">
        <f>=IF(OR(Q335="", R335=""), "-", IF(ISNUMBER(SEARCH("7 Günlük", R335)), IF(Q335&lt;=M335, O335, "-"), "-"))</f>
        <v>0.0</v>
      </c>
      <c r="T335" s="42" t="str">
        <f>=IF(ISBLANK(Q335), "", "Hayır")</f>
      </c>
      <c r="U335" s="43"/>
      <c r="V335" s="44" t="inlineStr">
        <is>
          <t>50461ed1-c2c8-4393-967e-55d58a3e2664</t>
        </is>
      </c>
    </row>
    <row r="336">
      <c r="A336" s="23" t="inlineStr">
        <is>
          <t>Rampalı Giriş Paspası Toz Ve Nem Alıcı Su Emici Kaymaz Paspas Apartman Dükkan Iş Yeri Paspası</t>
        </is>
      </c>
      <c r="B336" s="24" t="inlineStr">
        <is>
          <t>769993791</t>
        </is>
      </c>
      <c r="C336" s="25" t="inlineStr">
        <is>
          <t>TOZKONTROL-IYP1-KIRMIZI-1001450</t>
        </is>
      </c>
      <c r="D336" s="26" t="inlineStr">
        <is>
          <t>TOZKONTROL-IYP1-KIRMIZI-1001450</t>
        </is>
      </c>
      <c r="E336" s="27" t="inlineStr">
        <is>
          <t>100 x 1450</t>
        </is>
      </c>
      <c r="F336" s="28" t="inlineStr">
        <is>
          <t>TOZKONTROL-IYP1</t>
        </is>
      </c>
      <c r="G336" s="29" t="inlineStr">
        <is>
          <t>Kapı Önü Paspası</t>
        </is>
      </c>
      <c r="H336" s="30" t="inlineStr">
        <is>
          <t>Paspas Yap</t>
        </is>
      </c>
      <c r="I336" s="31" t="n">
        <v>93.0</v>
      </c>
      <c r="J336" s="32" t="n">
        <v>26229.0</v>
      </c>
      <c r="K336" s="33" t="n">
        <v>24122.11</v>
      </c>
      <c r="L336" s="34" t="n">
        <v>22.0</v>
      </c>
      <c r="M336" s="35" t="n">
        <v>16521.22</v>
      </c>
      <c r="N336" s="36" t="inlineStr">
        <is>
          <t>25 Ağustos 08.00-1 Eylül 07.59</t>
        </is>
      </c>
      <c r="O336" s="37" t="n">
        <v>14.7</v>
      </c>
      <c r="P336" s="38" t="n">
        <v>24122.11</v>
      </c>
      <c r="Q336" s="39"/>
      <c r="R336" s="40" t="n">
        <f>=IF(AND(ISBLANK(Q336), ISBLANK(U336)), "", "7 Günlük Fiyat")</f>
        <v>0.0</v>
      </c>
      <c r="S336" s="41" t="n">
        <f>=IF(OR(Q336="", R336=""), "-", IF(ISNUMBER(SEARCH("7 Günlük", R336)), IF(Q336&lt;=M336, O336, "-"), "-"))</f>
        <v>0.0</v>
      </c>
      <c r="T336" s="42" t="str">
        <f>=IF(ISBLANK(Q336), "", "Hayır")</f>
      </c>
      <c r="U336" s="43"/>
      <c r="V336" s="44" t="inlineStr">
        <is>
          <t>50461ed1-c2c8-4393-967e-55d58a3e2664</t>
        </is>
      </c>
    </row>
    <row r="337">
      <c r="A337" s="23" t="inlineStr">
        <is>
          <t>Rampalı Giriş Paspası Toz Ve Nem Alıcı Su Emici Kaymaz Paspas Apartman Dükkan Iş Yeri Paspası</t>
        </is>
      </c>
      <c r="B337" s="24" t="inlineStr">
        <is>
          <t>769993791</t>
        </is>
      </c>
      <c r="C337" s="25" t="inlineStr">
        <is>
          <t>TOZKONTROL-IYP1-KIRMIZI-80650</t>
        </is>
      </c>
      <c r="D337" s="26" t="inlineStr">
        <is>
          <t>TOZKONTROL-IYP1-KIRMIZI-80650</t>
        </is>
      </c>
      <c r="E337" s="27" t="inlineStr">
        <is>
          <t>80 x 650</t>
        </is>
      </c>
      <c r="F337" s="28" t="inlineStr">
        <is>
          <t>TOZKONTROL-IYP1</t>
        </is>
      </c>
      <c r="G337" s="29" t="inlineStr">
        <is>
          <t>Kapı Önü Paspası</t>
        </is>
      </c>
      <c r="H337" s="30" t="inlineStr">
        <is>
          <t>Paspas Yap</t>
        </is>
      </c>
      <c r="I337" s="31" t="n">
        <v>93.0</v>
      </c>
      <c r="J337" s="32" t="n">
        <v>9409.0</v>
      </c>
      <c r="K337" s="33" t="n">
        <v>8729.29</v>
      </c>
      <c r="L337" s="34" t="n">
        <v>22.0</v>
      </c>
      <c r="M337" s="35" t="n">
        <v>6094.5</v>
      </c>
      <c r="N337" s="36" t="inlineStr">
        <is>
          <t>25 Ağustos 08.00-1 Eylül 07.59</t>
        </is>
      </c>
      <c r="O337" s="37" t="n">
        <v>15.2</v>
      </c>
      <c r="P337" s="38" t="n">
        <v>8729.29</v>
      </c>
      <c r="Q337" s="39"/>
      <c r="R337" s="40" t="n">
        <f>=IF(AND(ISBLANK(Q337), ISBLANK(U337)), "", "7 Günlük Fiyat")</f>
        <v>0.0</v>
      </c>
      <c r="S337" s="41" t="n">
        <f>=IF(OR(Q337="", R337=""), "-", IF(ISNUMBER(SEARCH("7 Günlük", R337)), IF(Q337&lt;=M337, O337, "-"), "-"))</f>
        <v>0.0</v>
      </c>
      <c r="T337" s="42" t="str">
        <f>=IF(ISBLANK(Q337), "", "Hayır")</f>
      </c>
      <c r="U337" s="43"/>
      <c r="V337" s="44" t="inlineStr">
        <is>
          <t>50461ed1-c2c8-4393-967e-55d58a3e2664</t>
        </is>
      </c>
    </row>
    <row r="338">
      <c r="A338" s="23" t="inlineStr">
        <is>
          <t>Rampalı Giriş Paspası Toz Ve Nem Alıcı Su Emici Kaymaz Paspas Apartman Dükkan Iş Yeri Paspası</t>
        </is>
      </c>
      <c r="B338" s="24" t="inlineStr">
        <is>
          <t>769993791</t>
        </is>
      </c>
      <c r="C338" s="25" t="inlineStr">
        <is>
          <t>TOZKONTROL-IYP1-KIRMIZI-80x1050</t>
        </is>
      </c>
      <c r="D338" s="26" t="inlineStr">
        <is>
          <t>TOZKONTROL-IYP1-KIRMIZI-80x1050</t>
        </is>
      </c>
      <c r="E338" s="27" t="inlineStr">
        <is>
          <t>80 x 1050</t>
        </is>
      </c>
      <c r="F338" s="28" t="inlineStr">
        <is>
          <t>TOZKONTROL-IYP1</t>
        </is>
      </c>
      <c r="G338" s="29" t="inlineStr">
        <is>
          <t>Kapı Önü Paspası</t>
        </is>
      </c>
      <c r="H338" s="30" t="inlineStr">
        <is>
          <t>Paspas Yap</t>
        </is>
      </c>
      <c r="I338" s="31" t="n">
        <v>93.0</v>
      </c>
      <c r="J338" s="32" t="n">
        <v>14351.0</v>
      </c>
      <c r="K338" s="33" t="n">
        <v>13387.62</v>
      </c>
      <c r="L338" s="34" t="n">
        <v>22.0</v>
      </c>
      <c r="M338" s="35" t="n">
        <v>9080.55</v>
      </c>
      <c r="N338" s="36" t="inlineStr">
        <is>
          <t>25 Ağustos 08.00-1 Eylül 07.59</t>
        </is>
      </c>
      <c r="O338" s="37" t="n">
        <v>14.7</v>
      </c>
      <c r="P338" s="38" t="n">
        <v>13387.62</v>
      </c>
      <c r="Q338" s="39"/>
      <c r="R338" s="40" t="n">
        <f>=IF(AND(ISBLANK(Q338), ISBLANK(U338)), "", "7 Günlük Fiyat")</f>
        <v>0.0</v>
      </c>
      <c r="S338" s="41" t="n">
        <f>=IF(OR(Q338="", R338=""), "-", IF(ISNUMBER(SEARCH("7 Günlük", R338)), IF(Q338&lt;=M338, O338, "-"), "-"))</f>
        <v>0.0</v>
      </c>
      <c r="T338" s="42" t="str">
        <f>=IF(ISBLANK(Q338), "", "Hayır")</f>
      </c>
      <c r="U338" s="43"/>
      <c r="V338" s="44" t="inlineStr">
        <is>
          <t>50461ed1-c2c8-4393-967e-55d58a3e2664</t>
        </is>
      </c>
    </row>
    <row r="339">
      <c r="A339" s="23" t="inlineStr">
        <is>
          <t>Rampalı Giriş Paspası Toz Ve Nem Alıcı Su Emici Kaymaz Paspas Apartman Dükkan Iş Yeri Paspası</t>
        </is>
      </c>
      <c r="B339" s="24" t="inlineStr">
        <is>
          <t>769993791</t>
        </is>
      </c>
      <c r="C339" s="25" t="inlineStr">
        <is>
          <t>TOZKONTROL-IYP1-KIRMIZI-120x1450</t>
        </is>
      </c>
      <c r="D339" s="26" t="inlineStr">
        <is>
          <t>TOZKONTROL-IYP1-KIRMIZI-120x1450</t>
        </is>
      </c>
      <c r="E339" s="27" t="inlineStr">
        <is>
          <t>120 x 1450</t>
        </is>
      </c>
      <c r="F339" s="28" t="inlineStr">
        <is>
          <t>TOZKONTROL-IYP1</t>
        </is>
      </c>
      <c r="G339" s="29" t="inlineStr">
        <is>
          <t>Kapı Önü Paspası</t>
        </is>
      </c>
      <c r="H339" s="30" t="inlineStr">
        <is>
          <t>Paspas Yap</t>
        </is>
      </c>
      <c r="I339" s="31" t="n">
        <v>93.0</v>
      </c>
      <c r="J339" s="32" t="n">
        <v>30370.0</v>
      </c>
      <c r="K339" s="33" t="n">
        <v>23589.54</v>
      </c>
      <c r="L339" s="34" t="n">
        <v>22.0</v>
      </c>
      <c r="M339" s="35" t="n">
        <v>15117.16</v>
      </c>
      <c r="N339" s="36" t="inlineStr">
        <is>
          <t>25 Ağustos 08.00-1 Eylül 07.59</t>
        </is>
      </c>
      <c r="O339" s="37" t="n">
        <v>11.8</v>
      </c>
      <c r="P339" s="38" t="n">
        <v>23589.54</v>
      </c>
      <c r="Q339" s="39"/>
      <c r="R339" s="40" t="n">
        <f>=IF(AND(ISBLANK(Q339), ISBLANK(U339)), "", "7 Günlük Fiyat")</f>
        <v>0.0</v>
      </c>
      <c r="S339" s="41" t="n">
        <f>=IF(OR(Q339="", R339=""), "-", IF(ISNUMBER(SEARCH("7 Günlük", R339)), IF(Q339&lt;=M339, O339, "-"), "-"))</f>
        <v>0.0</v>
      </c>
      <c r="T339" s="42" t="str">
        <f>=IF(ISBLANK(Q339), "", "Hayır")</f>
      </c>
      <c r="U339" s="43"/>
      <c r="V339" s="44" t="inlineStr">
        <is>
          <t>50461ed1-c2c8-4393-967e-55d58a3e2664</t>
        </is>
      </c>
    </row>
    <row r="340">
      <c r="A340" s="23" t="inlineStr">
        <is>
          <t>Rampalı Giriş Paspası Toz Ve Nem Alıcı Su Emici Kaymaz Paspas Apartman Dükkan Iş Yeri Paspası</t>
        </is>
      </c>
      <c r="B340" s="24" t="inlineStr">
        <is>
          <t>769993791</t>
        </is>
      </c>
      <c r="C340" s="25" t="inlineStr">
        <is>
          <t>TOZKONTROL-IYP1-KIRMIZI-3360</t>
        </is>
      </c>
      <c r="D340" s="26" t="inlineStr">
        <is>
          <t>TOZKONTROL-IYP1-KIRMIZI-3360</t>
        </is>
      </c>
      <c r="E340" s="27" t="inlineStr">
        <is>
          <t>33 x 60</t>
        </is>
      </c>
      <c r="F340" s="28" t="inlineStr">
        <is>
          <t>TOZKONTROL-IYP1</t>
        </is>
      </c>
      <c r="G340" s="29" t="inlineStr">
        <is>
          <t>Kapı Önü Paspası</t>
        </is>
      </c>
      <c r="H340" s="30" t="inlineStr">
        <is>
          <t>Paspas Yap</t>
        </is>
      </c>
      <c r="I340" s="31" t="n">
        <v>92.0</v>
      </c>
      <c r="J340" s="32" t="n">
        <v>599.0</v>
      </c>
      <c r="K340" s="33" t="n">
        <v>599.0</v>
      </c>
      <c r="L340" s="34" t="n">
        <v>22.0</v>
      </c>
      <c r="M340" s="35" t="n">
        <v>448.37</v>
      </c>
      <c r="N340" s="36" t="inlineStr">
        <is>
          <t>25 Ağustos 08.00-1 Eylül 07.59</t>
        </is>
      </c>
      <c r="O340" s="37" t="n">
        <v>16.5</v>
      </c>
      <c r="P340" s="38" t="n">
        <v>599.0</v>
      </c>
      <c r="Q340" s="39"/>
      <c r="R340" s="40" t="n">
        <f>=IF(AND(ISBLANK(Q340), ISBLANK(U340)), "", "7 Günlük Fiyat")</f>
        <v>0.0</v>
      </c>
      <c r="S340" s="41" t="n">
        <f>=IF(OR(Q340="", R340=""), "-", IF(ISNUMBER(SEARCH("7 Günlük", R340)), IF(Q340&lt;=M340, O340, "-"), "-"))</f>
        <v>0.0</v>
      </c>
      <c r="T340" s="42" t="str">
        <f>=IF(ISBLANK(Q340), "", "Hayır")</f>
      </c>
      <c r="U340" s="43"/>
      <c r="V340" s="44" t="inlineStr">
        <is>
          <t>50461ed1-c2c8-4393-967e-55d58a3e2664</t>
        </is>
      </c>
    </row>
    <row r="341">
      <c r="A341" s="23" t="inlineStr">
        <is>
          <t>Rampalı Giriş Paspası Toz Ve Nem Alıcı Su Emici Kaymaz Paspas Apartman Dükkan Iş Yeri Paspası</t>
        </is>
      </c>
      <c r="B341" s="24" t="inlineStr">
        <is>
          <t>769993791</t>
        </is>
      </c>
      <c r="C341" s="25" t="inlineStr">
        <is>
          <t>TOZKONTROL-IYP1-KIRMIZI-1001250</t>
        </is>
      </c>
      <c r="D341" s="26" t="inlineStr">
        <is>
          <t>TOZKONTROL-IYP1-KIRMIZI-1001250</t>
        </is>
      </c>
      <c r="E341" s="27" t="inlineStr">
        <is>
          <t>100 x 1250</t>
        </is>
      </c>
      <c r="F341" s="28" t="inlineStr">
        <is>
          <t>TOZKONTROL-IYP1</t>
        </is>
      </c>
      <c r="G341" s="29" t="inlineStr">
        <is>
          <t>Kapı Önü Paspası</t>
        </is>
      </c>
      <c r="H341" s="30" t="inlineStr">
        <is>
          <t>Paspas Yap</t>
        </is>
      </c>
      <c r="I341" s="31" t="n">
        <v>93.0</v>
      </c>
      <c r="J341" s="32" t="n">
        <v>23175.0</v>
      </c>
      <c r="K341" s="33" t="n">
        <v>21381.59</v>
      </c>
      <c r="L341" s="34" t="n">
        <v>22.0</v>
      </c>
      <c r="M341" s="35" t="n">
        <v>14923.91</v>
      </c>
      <c r="N341" s="36" t="inlineStr">
        <is>
          <t>25 Ağustos 08.00-1 Eylül 07.59</t>
        </is>
      </c>
      <c r="O341" s="37" t="n">
        <v>15.0</v>
      </c>
      <c r="P341" s="38" t="n">
        <v>21381.59</v>
      </c>
      <c r="Q341" s="39"/>
      <c r="R341" s="40" t="n">
        <f>=IF(AND(ISBLANK(Q341), ISBLANK(U341)), "", "7 Günlük Fiyat")</f>
        <v>0.0</v>
      </c>
      <c r="S341" s="41" t="n">
        <f>=IF(OR(Q341="", R341=""), "-", IF(ISNUMBER(SEARCH("7 Günlük", R341)), IF(Q341&lt;=M341, O341, "-"), "-"))</f>
        <v>0.0</v>
      </c>
      <c r="T341" s="42" t="str">
        <f>=IF(ISBLANK(Q341), "", "Hayır")</f>
      </c>
      <c r="U341" s="43"/>
      <c r="V341" s="44" t="inlineStr">
        <is>
          <t>50461ed1-c2c8-4393-967e-55d58a3e2664</t>
        </is>
      </c>
    </row>
    <row r="342">
      <c r="A342" s="23" t="inlineStr">
        <is>
          <t>Rampalı Giriş Paspası Toz Ve Nem Alıcı Su Emici Kaymaz Paspas Apartman Dükkan Iş Yeri Paspası</t>
        </is>
      </c>
      <c r="B342" s="24" t="inlineStr">
        <is>
          <t>769993791</t>
        </is>
      </c>
      <c r="C342" s="25" t="inlineStr">
        <is>
          <t>TOZKONTROL-IYP1-KIRMIZI-80x1100</t>
        </is>
      </c>
      <c r="D342" s="26" t="inlineStr">
        <is>
          <t>TOZKONTROL-IYP1-KIRMIZI-80x1100</t>
        </is>
      </c>
      <c r="E342" s="27" t="inlineStr">
        <is>
          <t>80 x 1100</t>
        </is>
      </c>
      <c r="F342" s="28" t="inlineStr">
        <is>
          <t>TOZKONTROL-IYP1</t>
        </is>
      </c>
      <c r="G342" s="29" t="inlineStr">
        <is>
          <t>Kapı Önü Paspası</t>
        </is>
      </c>
      <c r="H342" s="30" t="inlineStr">
        <is>
          <t>Paspas Yap</t>
        </is>
      </c>
      <c r="I342" s="31" t="n">
        <v>93.0</v>
      </c>
      <c r="J342" s="32" t="n">
        <v>14955.0</v>
      </c>
      <c r="K342" s="33" t="n">
        <v>13930.72</v>
      </c>
      <c r="L342" s="34" t="n">
        <v>22.0</v>
      </c>
      <c r="M342" s="35" t="n">
        <v>8861.33</v>
      </c>
      <c r="N342" s="36" t="inlineStr">
        <is>
          <t>25 Ağustos 08.00-1 Eylül 07.59</t>
        </is>
      </c>
      <c r="O342" s="37" t="n">
        <v>13.8</v>
      </c>
      <c r="P342" s="38" t="n">
        <v>13930.72</v>
      </c>
      <c r="Q342" s="39"/>
      <c r="R342" s="40" t="n">
        <f>=IF(AND(ISBLANK(Q342), ISBLANK(U342)), "", "7 Günlük Fiyat")</f>
        <v>0.0</v>
      </c>
      <c r="S342" s="41" t="n">
        <f>=IF(OR(Q342="", R342=""), "-", IF(ISNUMBER(SEARCH("7 Günlük", R342)), IF(Q342&lt;=M342, O342, "-"), "-"))</f>
        <v>0.0</v>
      </c>
      <c r="T342" s="42" t="str">
        <f>=IF(ISBLANK(Q342), "", "Hayır")</f>
      </c>
      <c r="U342" s="43"/>
      <c r="V342" s="44" t="inlineStr">
        <is>
          <t>50461ed1-c2c8-4393-967e-55d58a3e2664</t>
        </is>
      </c>
    </row>
    <row r="343">
      <c r="A343" s="23" t="inlineStr">
        <is>
          <t>Rampalı Giriş Paspası Toz Ve Nem Alıcı Su Emici Kaymaz Paspas Apartman Dükkan Iş Yeri Paspası</t>
        </is>
      </c>
      <c r="B343" s="24" t="inlineStr">
        <is>
          <t>769993791</t>
        </is>
      </c>
      <c r="C343" s="25" t="inlineStr">
        <is>
          <t>TOZKONTROL-IYP1-KIRMIZI-1201400</t>
        </is>
      </c>
      <c r="D343" s="26" t="inlineStr">
        <is>
          <t>TOZKONTROL-IYP1-KIRMIZI-1201400</t>
        </is>
      </c>
      <c r="E343" s="27" t="inlineStr">
        <is>
          <t>120 x 1400</t>
        </is>
      </c>
      <c r="F343" s="28" t="inlineStr">
        <is>
          <t>TOZKONTROL-IYP1</t>
        </is>
      </c>
      <c r="G343" s="29" t="inlineStr">
        <is>
          <t>Kapı Önü Paspası</t>
        </is>
      </c>
      <c r="H343" s="30" t="inlineStr">
        <is>
          <t>Paspas Yap</t>
        </is>
      </c>
      <c r="I343" s="31" t="n">
        <v>93.0</v>
      </c>
      <c r="J343" s="32" t="n">
        <v>23590.74</v>
      </c>
      <c r="K343" s="33" t="n">
        <v>23590.74</v>
      </c>
      <c r="L343" s="34" t="n">
        <v>22.0</v>
      </c>
      <c r="M343" s="35" t="n">
        <v>16317.06</v>
      </c>
      <c r="N343" s="36" t="inlineStr">
        <is>
          <t>25 Ağustos 08.00-1 Eylül 07.59</t>
        </is>
      </c>
      <c r="O343" s="37" t="n">
        <v>13.1</v>
      </c>
      <c r="P343" s="38" t="n">
        <v>23590.74</v>
      </c>
      <c r="Q343" s="39"/>
      <c r="R343" s="40" t="n">
        <f>=IF(AND(ISBLANK(Q343), ISBLANK(U343)), "", "7 Günlük Fiyat")</f>
        <v>0.0</v>
      </c>
      <c r="S343" s="41" t="n">
        <f>=IF(OR(Q343="", R343=""), "-", IF(ISNUMBER(SEARCH("7 Günlük", R343)), IF(Q343&lt;=M343, O343, "-"), "-"))</f>
        <v>0.0</v>
      </c>
      <c r="T343" s="42" t="str">
        <f>=IF(ISBLANK(Q343), "", "Hayır")</f>
      </c>
      <c r="U343" s="43"/>
      <c r="V343" s="44" t="inlineStr">
        <is>
          <t>50461ed1-c2c8-4393-967e-55d58a3e2664</t>
        </is>
      </c>
    </row>
    <row r="344">
      <c r="A344" s="23" t="inlineStr">
        <is>
          <t>Rampalı Giriş Paspası Toz Ve Nem Alıcı Su Emici Kaymaz Paspas Apartman Dükkan Iş Yeri Paspası</t>
        </is>
      </c>
      <c r="B344" s="24" t="inlineStr">
        <is>
          <t>769993791</t>
        </is>
      </c>
      <c r="C344" s="25" t="inlineStr">
        <is>
          <t>TOZKONTROL-IYP1-KIRMIZI-80600</t>
        </is>
      </c>
      <c r="D344" s="26" t="inlineStr">
        <is>
          <t>TOZKONTROL-IYP1-KIRMIZI-80600</t>
        </is>
      </c>
      <c r="E344" s="27" t="inlineStr">
        <is>
          <t>80 x 600</t>
        </is>
      </c>
      <c r="F344" s="28" t="inlineStr">
        <is>
          <t>TOZKONTROL-IYP1</t>
        </is>
      </c>
      <c r="G344" s="29" t="inlineStr">
        <is>
          <t>Kapı Önü Paspası</t>
        </is>
      </c>
      <c r="H344" s="30" t="inlineStr">
        <is>
          <t>Paspas Yap</t>
        </is>
      </c>
      <c r="I344" s="31" t="n">
        <v>93.0</v>
      </c>
      <c r="J344" s="32" t="n">
        <v>8238.0</v>
      </c>
      <c r="K344" s="33" t="n">
        <v>7639.17</v>
      </c>
      <c r="L344" s="34" t="n">
        <v>22.0</v>
      </c>
      <c r="M344" s="35" t="n">
        <v>5364.67</v>
      </c>
      <c r="N344" s="36" t="inlineStr">
        <is>
          <t>25 Ağustos 08.00-1 Eylül 07.59</t>
        </is>
      </c>
      <c r="O344" s="37" t="n">
        <v>15.3</v>
      </c>
      <c r="P344" s="38" t="n">
        <v>7639.17</v>
      </c>
      <c r="Q344" s="39"/>
      <c r="R344" s="40" t="n">
        <f>=IF(AND(ISBLANK(Q344), ISBLANK(U344)), "", "7 Günlük Fiyat")</f>
        <v>0.0</v>
      </c>
      <c r="S344" s="41" t="n">
        <f>=IF(OR(Q344="", R344=""), "-", IF(ISNUMBER(SEARCH("7 Günlük", R344)), IF(Q344&lt;=M344, O344, "-"), "-"))</f>
        <v>0.0</v>
      </c>
      <c r="T344" s="42" t="str">
        <f>=IF(ISBLANK(Q344), "", "Hayır")</f>
      </c>
      <c r="U344" s="43"/>
      <c r="V344" s="44" t="inlineStr">
        <is>
          <t>50461ed1-c2c8-4393-967e-55d58a3e2664</t>
        </is>
      </c>
    </row>
    <row r="345">
      <c r="A345" s="23" t="inlineStr">
        <is>
          <t>Rampalı Giriş Paspası Toz Ve Nem Alıcı Su Emici Kaymaz Paspas Apartman Dükkan Iş Yeri Paspası</t>
        </is>
      </c>
      <c r="B345" s="24" t="inlineStr">
        <is>
          <t>769993791</t>
        </is>
      </c>
      <c r="C345" s="25" t="inlineStr">
        <is>
          <t>TOZKONTROL-IYP1-KIRMIZI-120180</t>
        </is>
      </c>
      <c r="D345" s="26" t="inlineStr">
        <is>
          <t>TOZKONTROL-IYP1-KIRMIZI-120180</t>
        </is>
      </c>
      <c r="E345" s="27" t="inlineStr">
        <is>
          <t>120 x 180</t>
        </is>
      </c>
      <c r="F345" s="28" t="inlineStr">
        <is>
          <t>TOZKONTROL-IYP1</t>
        </is>
      </c>
      <c r="G345" s="29" t="inlineStr">
        <is>
          <t>Kapı Önü Paspası</t>
        </is>
      </c>
      <c r="H345" s="30" t="inlineStr">
        <is>
          <t>Paspas Yap</t>
        </is>
      </c>
      <c r="I345" s="31" t="n">
        <v>93.0</v>
      </c>
      <c r="J345" s="32" t="n">
        <v>4359.0</v>
      </c>
      <c r="K345" s="33" t="n">
        <v>3977.29</v>
      </c>
      <c r="L345" s="34" t="n">
        <v>22.0</v>
      </c>
      <c r="M345" s="35" t="n">
        <v>2639.6</v>
      </c>
      <c r="N345" s="36" t="inlineStr">
        <is>
          <t>25 Ağustos 08.00-1 Eylül 07.59</t>
        </is>
      </c>
      <c r="O345" s="37" t="n">
        <v>13.9</v>
      </c>
      <c r="P345" s="38" t="n">
        <v>3977.29</v>
      </c>
      <c r="Q345" s="39"/>
      <c r="R345" s="40" t="n">
        <f>=IF(AND(ISBLANK(Q345), ISBLANK(U345)), "", "7 Günlük Fiyat")</f>
        <v>0.0</v>
      </c>
      <c r="S345" s="41" t="n">
        <f>=IF(OR(Q345="", R345=""), "-", IF(ISNUMBER(SEARCH("7 Günlük", R345)), IF(Q345&lt;=M345, O345, "-"), "-"))</f>
        <v>0.0</v>
      </c>
      <c r="T345" s="42" t="str">
        <f>=IF(ISBLANK(Q345), "", "Hayır")</f>
      </c>
      <c r="U345" s="43"/>
      <c r="V345" s="44" t="inlineStr">
        <is>
          <t>50461ed1-c2c8-4393-967e-55d58a3e2664</t>
        </is>
      </c>
    </row>
    <row r="346">
      <c r="A346" s="23" t="inlineStr">
        <is>
          <t>Rampalı Giriş Paspası Toz Ve Nem Alıcı Su Emici Kaymaz Paspas Apartman Dükkan Iş Yeri Paspası</t>
        </is>
      </c>
      <c r="B346" s="24" t="inlineStr">
        <is>
          <t>769993791</t>
        </is>
      </c>
      <c r="C346" s="25" t="inlineStr">
        <is>
          <t>TOZKONTROL-IYP1-KIRMIZI-150250</t>
        </is>
      </c>
      <c r="D346" s="26" t="inlineStr">
        <is>
          <t>TOZKONTROL-IYP1-KIRMIZI-150250</t>
        </is>
      </c>
      <c r="E346" s="27" t="inlineStr">
        <is>
          <t>150 x 250</t>
        </is>
      </c>
      <c r="F346" s="28" t="inlineStr">
        <is>
          <t>TOZKONTROL-IYP1</t>
        </is>
      </c>
      <c r="G346" s="29" t="inlineStr">
        <is>
          <t>Kapı Önü Paspası</t>
        </is>
      </c>
      <c r="H346" s="30" t="inlineStr">
        <is>
          <t>Paspas Yap</t>
        </is>
      </c>
      <c r="I346" s="31" t="n">
        <v>93.0</v>
      </c>
      <c r="J346" s="32" t="n">
        <v>6600.0</v>
      </c>
      <c r="K346" s="33" t="n">
        <v>5572.32</v>
      </c>
      <c r="L346" s="34" t="n">
        <v>22.0</v>
      </c>
      <c r="M346" s="35" t="n">
        <v>3929.8</v>
      </c>
      <c r="N346" s="36" t="inlineStr">
        <is>
          <t>25 Ağustos 08.00-1 Eylül 07.59</t>
        </is>
      </c>
      <c r="O346" s="37" t="n">
        <v>14.4</v>
      </c>
      <c r="P346" s="38" t="n">
        <v>5572.32</v>
      </c>
      <c r="Q346" s="39"/>
      <c r="R346" s="40" t="n">
        <f>=IF(AND(ISBLANK(Q346), ISBLANK(U346)), "", "7 Günlük Fiyat")</f>
        <v>0.0</v>
      </c>
      <c r="S346" s="41" t="n">
        <f>=IF(OR(Q346="", R346=""), "-", IF(ISNUMBER(SEARCH("7 Günlük", R346)), IF(Q346&lt;=M346, O346, "-"), "-"))</f>
        <v>0.0</v>
      </c>
      <c r="T346" s="42" t="str">
        <f>=IF(ISBLANK(Q346), "", "Hayır")</f>
      </c>
      <c r="U346" s="43"/>
      <c r="V346" s="44" t="inlineStr">
        <is>
          <t>50461ed1-c2c8-4393-967e-55d58a3e2664</t>
        </is>
      </c>
    </row>
    <row r="347">
      <c r="A347" s="23" t="inlineStr">
        <is>
          <t>Rampalı Giriş Paspası Toz Ve Nem Alıcı Su Emici Kaymaz Paspas Apartman Dükkan Iş Yeri Paspası</t>
        </is>
      </c>
      <c r="B347" s="24" t="inlineStr">
        <is>
          <t>769993791</t>
        </is>
      </c>
      <c r="C347" s="25" t="inlineStr">
        <is>
          <t>TOZKONTROL-IYP1-KIRMIZI-80450</t>
        </is>
      </c>
      <c r="D347" s="26" t="inlineStr">
        <is>
          <t>TOZKONTROL-IYP1-KIRMIZI-80450</t>
        </is>
      </c>
      <c r="E347" s="27" t="inlineStr">
        <is>
          <t>80 x 450</t>
        </is>
      </c>
      <c r="F347" s="28" t="inlineStr">
        <is>
          <t>TOZKONTROL-IYP1</t>
        </is>
      </c>
      <c r="G347" s="29" t="inlineStr">
        <is>
          <t>Kapı Önü Paspası</t>
        </is>
      </c>
      <c r="H347" s="30" t="inlineStr">
        <is>
          <t>Paspas Yap</t>
        </is>
      </c>
      <c r="I347" s="31" t="n">
        <v>93.0</v>
      </c>
      <c r="J347" s="32" t="n">
        <v>6557.0</v>
      </c>
      <c r="K347" s="33" t="n">
        <v>6036.65</v>
      </c>
      <c r="L347" s="34" t="n">
        <v>22.0</v>
      </c>
      <c r="M347" s="35" t="n">
        <v>4168.7</v>
      </c>
      <c r="N347" s="36" t="inlineStr">
        <is>
          <t>25 Ağustos 08.00-1 Eylül 07.59</t>
        </is>
      </c>
      <c r="O347" s="37" t="n">
        <v>14.9</v>
      </c>
      <c r="P347" s="38" t="n">
        <v>6036.65</v>
      </c>
      <c r="Q347" s="39"/>
      <c r="R347" s="40" t="n">
        <f>=IF(AND(ISBLANK(Q347), ISBLANK(U347)), "", "7 Günlük Fiyat")</f>
        <v>0.0</v>
      </c>
      <c r="S347" s="41" t="n">
        <f>=IF(OR(Q347="", R347=""), "-", IF(ISNUMBER(SEARCH("7 Günlük", R347)), IF(Q347&lt;=M347, O347, "-"), "-"))</f>
        <v>0.0</v>
      </c>
      <c r="T347" s="42" t="str">
        <f>=IF(ISBLANK(Q347), "", "Hayır")</f>
      </c>
      <c r="U347" s="43"/>
      <c r="V347" s="44" t="inlineStr">
        <is>
          <t>50461ed1-c2c8-4393-967e-55d58a3e2664</t>
        </is>
      </c>
    </row>
    <row r="348">
      <c r="A348" s="23" t="inlineStr">
        <is>
          <t>Rampalı Giriş Paspası Toz Ve Nem Alıcı Su Emici Kaymaz Paspas Apartman Dükkan Iş Yeri Paspası</t>
        </is>
      </c>
      <c r="B348" s="24" t="inlineStr">
        <is>
          <t>769993791</t>
        </is>
      </c>
      <c r="C348" s="25" t="inlineStr">
        <is>
          <t>TOZKONTROL-IYP1-KIRMIZI-80300</t>
        </is>
      </c>
      <c r="D348" s="26" t="inlineStr">
        <is>
          <t>TOZKONTROL-IYP1-KIRMIZI-80300</t>
        </is>
      </c>
      <c r="E348" s="27" t="inlineStr">
        <is>
          <t>80 x 300</t>
        </is>
      </c>
      <c r="F348" s="28" t="inlineStr">
        <is>
          <t>TOZKONTROL-IYP1</t>
        </is>
      </c>
      <c r="G348" s="29" t="inlineStr">
        <is>
          <t>Kapı Önü Paspası</t>
        </is>
      </c>
      <c r="H348" s="30" t="inlineStr">
        <is>
          <t>Paspas Yap</t>
        </is>
      </c>
      <c r="I348" s="31" t="n">
        <v>93.0</v>
      </c>
      <c r="J348" s="32" t="n">
        <v>4496.0</v>
      </c>
      <c r="K348" s="33" t="n">
        <v>4116.27</v>
      </c>
      <c r="L348" s="34" t="n">
        <v>22.0</v>
      </c>
      <c r="M348" s="35" t="n">
        <v>2897.22</v>
      </c>
      <c r="N348" s="36" t="inlineStr">
        <is>
          <t>25 Ağustos 08.00-1 Eylül 07.59</t>
        </is>
      </c>
      <c r="O348" s="37" t="n">
        <v>15.1</v>
      </c>
      <c r="P348" s="38" t="n">
        <v>4116.27</v>
      </c>
      <c r="Q348" s="39"/>
      <c r="R348" s="40" t="n">
        <f>=IF(AND(ISBLANK(Q348), ISBLANK(U348)), "", "7 Günlük Fiyat")</f>
        <v>0.0</v>
      </c>
      <c r="S348" s="41" t="n">
        <f>=IF(OR(Q348="", R348=""), "-", IF(ISNUMBER(SEARCH("7 Günlük", R348)), IF(Q348&lt;=M348, O348, "-"), "-"))</f>
        <v>0.0</v>
      </c>
      <c r="T348" s="42" t="str">
        <f>=IF(ISBLANK(Q348), "", "Hayır")</f>
      </c>
      <c r="U348" s="43"/>
      <c r="V348" s="44" t="inlineStr">
        <is>
          <t>50461ed1-c2c8-4393-967e-55d58a3e2664</t>
        </is>
      </c>
    </row>
    <row r="349">
      <c r="A349" s="23" t="inlineStr">
        <is>
          <t>Rampalı Giriş Paspası Toz Ve Nem Alıcı Su Emici Kaymaz Paspas Apartman Dükkan Iş Yeri Paspası</t>
        </is>
      </c>
      <c r="B349" s="24" t="inlineStr">
        <is>
          <t>769993791</t>
        </is>
      </c>
      <c r="C349" s="25" t="inlineStr">
        <is>
          <t>TOZKONTROL-IYP1-KIRMIZI-100400</t>
        </is>
      </c>
      <c r="D349" s="26" t="inlineStr">
        <is>
          <t>TOZKONTROL-IYP1-KIRMIZI-100400</t>
        </is>
      </c>
      <c r="E349" s="27" t="inlineStr">
        <is>
          <t>100 x 400</t>
        </is>
      </c>
      <c r="F349" s="28" t="inlineStr">
        <is>
          <t>TOZKONTROL-IYP1</t>
        </is>
      </c>
      <c r="G349" s="29" t="inlineStr">
        <is>
          <t>Kapı Önü Paspası</t>
        </is>
      </c>
      <c r="H349" s="30" t="inlineStr">
        <is>
          <t>Paspas Yap</t>
        </is>
      </c>
      <c r="I349" s="31" t="n">
        <v>93.0</v>
      </c>
      <c r="J349" s="32" t="n">
        <v>7139.0</v>
      </c>
      <c r="K349" s="33" t="n">
        <v>6574.52</v>
      </c>
      <c r="L349" s="34" t="n">
        <v>22.0</v>
      </c>
      <c r="M349" s="35" t="n">
        <v>4497.88</v>
      </c>
      <c r="N349" s="36" t="inlineStr">
        <is>
          <t>25 Ağustos 08.00-1 Eylül 07.59</t>
        </is>
      </c>
      <c r="O349" s="37" t="n">
        <v>14.7</v>
      </c>
      <c r="P349" s="38" t="n">
        <v>6574.52</v>
      </c>
      <c r="Q349" s="39"/>
      <c r="R349" s="40" t="n">
        <f>=IF(AND(ISBLANK(Q349), ISBLANK(U349)), "", "7 Günlük Fiyat")</f>
        <v>0.0</v>
      </c>
      <c r="S349" s="41" t="n">
        <f>=IF(OR(Q349="", R349=""), "-", IF(ISNUMBER(SEARCH("7 Günlük", R349)), IF(Q349&lt;=M349, O349, "-"), "-"))</f>
        <v>0.0</v>
      </c>
      <c r="T349" s="42" t="str">
        <f>=IF(ISBLANK(Q349), "", "Hayır")</f>
      </c>
      <c r="U349" s="43"/>
      <c r="V349" s="44" t="inlineStr">
        <is>
          <t>50461ed1-c2c8-4393-967e-55d58a3e2664</t>
        </is>
      </c>
    </row>
    <row r="350">
      <c r="A350" s="23" t="inlineStr">
        <is>
          <t>Rampalı Giriş Paspası Toz Ve Nem Alıcı Su Emici Kaymaz Paspas Apartman Dükkan Iş Yeri Paspası</t>
        </is>
      </c>
      <c r="B350" s="24" t="inlineStr">
        <is>
          <t>769993791</t>
        </is>
      </c>
      <c r="C350" s="25" t="inlineStr">
        <is>
          <t>TOZKONTROL-IYP1-KIRMIZI-80700</t>
        </is>
      </c>
      <c r="D350" s="26" t="inlineStr">
        <is>
          <t>TOZKONTROL-IYP1-KIRMIZI-80700</t>
        </is>
      </c>
      <c r="E350" s="27" t="inlineStr">
        <is>
          <t>80 x 700</t>
        </is>
      </c>
      <c r="F350" s="28" t="inlineStr">
        <is>
          <t>TOZKONTROL-IYP1</t>
        </is>
      </c>
      <c r="G350" s="29" t="inlineStr">
        <is>
          <t>Kapı Önü Paspası</t>
        </is>
      </c>
      <c r="H350" s="30" t="inlineStr">
        <is>
          <t>Paspas Yap</t>
        </is>
      </c>
      <c r="I350" s="31" t="n">
        <v>93.0</v>
      </c>
      <c r="J350" s="32" t="n">
        <v>9991.0</v>
      </c>
      <c r="K350" s="33" t="n">
        <v>9286.95</v>
      </c>
      <c r="L350" s="34" t="n">
        <v>22.0</v>
      </c>
      <c r="M350" s="35" t="n">
        <v>6516.35</v>
      </c>
      <c r="N350" s="36" t="inlineStr">
        <is>
          <t>25 Ağustos 08.00-1 Eylül 07.59</t>
        </is>
      </c>
      <c r="O350" s="37" t="n">
        <v>15.3</v>
      </c>
      <c r="P350" s="38" t="n">
        <v>9286.95</v>
      </c>
      <c r="Q350" s="39"/>
      <c r="R350" s="40" t="n">
        <f>=IF(AND(ISBLANK(Q350), ISBLANK(U350)), "", "7 Günlük Fiyat")</f>
        <v>0.0</v>
      </c>
      <c r="S350" s="41" t="n">
        <f>=IF(OR(Q350="", R350=""), "-", IF(ISNUMBER(SEARCH("7 Günlük", R350)), IF(Q350&lt;=M350, O350, "-"), "-"))</f>
        <v>0.0</v>
      </c>
      <c r="T350" s="42" t="str">
        <f>=IF(ISBLANK(Q350), "", "Hayır")</f>
      </c>
      <c r="U350" s="43"/>
      <c r="V350" s="44" t="inlineStr">
        <is>
          <t>50461ed1-c2c8-4393-967e-55d58a3e2664</t>
        </is>
      </c>
    </row>
    <row r="351">
      <c r="A351" s="23" t="inlineStr">
        <is>
          <t>Rampalı Giriş Paspası Toz Ve Nem Alıcı Su Emici Kaymaz Paspas Apartman Dükkan Iş Yeri Paspası</t>
        </is>
      </c>
      <c r="B351" s="24" t="inlineStr">
        <is>
          <t>769993791</t>
        </is>
      </c>
      <c r="C351" s="25" t="inlineStr">
        <is>
          <t>TOZKONTROL-IYP1-KIRMIZI-120800</t>
        </is>
      </c>
      <c r="D351" s="26" t="inlineStr">
        <is>
          <t>TOZKONTROL-IYP1-KIRMIZI-120800</t>
        </is>
      </c>
      <c r="E351" s="27" t="inlineStr">
        <is>
          <t>120 x 800</t>
        </is>
      </c>
      <c r="F351" s="28" t="inlineStr">
        <is>
          <t>TOZKONTROL-IYP1</t>
        </is>
      </c>
      <c r="G351" s="29" t="inlineStr">
        <is>
          <t>Kapı Önü Paspası</t>
        </is>
      </c>
      <c r="H351" s="30" t="inlineStr">
        <is>
          <t>Paspas Yap</t>
        </is>
      </c>
      <c r="I351" s="31" t="n">
        <v>93.0</v>
      </c>
      <c r="J351" s="32" t="n">
        <v>16099.0</v>
      </c>
      <c r="K351" s="33" t="n">
        <v>14946.79</v>
      </c>
      <c r="L351" s="34" t="n">
        <v>22.0</v>
      </c>
      <c r="M351" s="35" t="n">
        <v>10137.84</v>
      </c>
      <c r="N351" s="36" t="inlineStr">
        <is>
          <t>25 Ağustos 08.00-1 Eylül 07.59</t>
        </is>
      </c>
      <c r="O351" s="37" t="n">
        <v>14.7</v>
      </c>
      <c r="P351" s="38" t="n">
        <v>14946.79</v>
      </c>
      <c r="Q351" s="39"/>
      <c r="R351" s="40" t="n">
        <f>=IF(AND(ISBLANK(Q351), ISBLANK(U351)), "", "7 Günlük Fiyat")</f>
        <v>0.0</v>
      </c>
      <c r="S351" s="41" t="n">
        <f>=IF(OR(Q351="", R351=""), "-", IF(ISNUMBER(SEARCH("7 Günlük", R351)), IF(Q351&lt;=M351, O351, "-"), "-"))</f>
        <v>0.0</v>
      </c>
      <c r="T351" s="42" t="str">
        <f>=IF(ISBLANK(Q351), "", "Hayır")</f>
      </c>
      <c r="U351" s="43"/>
      <c r="V351" s="44" t="inlineStr">
        <is>
          <t>50461ed1-c2c8-4393-967e-55d58a3e2664</t>
        </is>
      </c>
    </row>
    <row r="352">
      <c r="A352" s="23" t="inlineStr">
        <is>
          <t>Rampalı Giriş Paspası Toz Ve Nem Alıcı Su Emici Kaymaz Paspas Apartman Dükkan Iş Yeri Paspası</t>
        </is>
      </c>
      <c r="B352" s="24" t="inlineStr">
        <is>
          <t>769993791</t>
        </is>
      </c>
      <c r="C352" s="25" t="inlineStr">
        <is>
          <t>TOZKONTROL-IYP1-KIRMIZI-1201100</t>
        </is>
      </c>
      <c r="D352" s="26" t="inlineStr">
        <is>
          <t>TOZKONTROL-IYP1-KIRMIZI-1201100</t>
        </is>
      </c>
      <c r="E352" s="27" t="inlineStr">
        <is>
          <t>120 x 1100</t>
        </is>
      </c>
      <c r="F352" s="28" t="inlineStr">
        <is>
          <t>TOZKONTROL-IYP1</t>
        </is>
      </c>
      <c r="G352" s="29" t="inlineStr">
        <is>
          <t>Kapı Önü Paspası</t>
        </is>
      </c>
      <c r="H352" s="30" t="inlineStr">
        <is>
          <t>Paspas Yap</t>
        </is>
      </c>
      <c r="I352" s="31" t="n">
        <v>93.0</v>
      </c>
      <c r="J352" s="32" t="n">
        <v>24129.0</v>
      </c>
      <c r="K352" s="33" t="n">
        <v>22247.28</v>
      </c>
      <c r="L352" s="34" t="n">
        <v>22.0</v>
      </c>
      <c r="M352" s="35" t="n">
        <v>15360.37</v>
      </c>
      <c r="N352" s="36" t="inlineStr">
        <is>
          <t>25 Ağustos 08.00-1 Eylül 07.59</t>
        </is>
      </c>
      <c r="O352" s="37" t="n">
        <v>14.8</v>
      </c>
      <c r="P352" s="38" t="n">
        <v>22247.28</v>
      </c>
      <c r="Q352" s="39"/>
      <c r="R352" s="40" t="n">
        <f>=IF(AND(ISBLANK(Q352), ISBLANK(U352)), "", "7 Günlük Fiyat")</f>
        <v>0.0</v>
      </c>
      <c r="S352" s="41" t="n">
        <f>=IF(OR(Q352="", R352=""), "-", IF(ISNUMBER(SEARCH("7 Günlük", R352)), IF(Q352&lt;=M352, O352, "-"), "-"))</f>
        <v>0.0</v>
      </c>
      <c r="T352" s="42" t="str">
        <f>=IF(ISBLANK(Q352), "", "Hayır")</f>
      </c>
      <c r="U352" s="43"/>
      <c r="V352" s="44" t="inlineStr">
        <is>
          <t>50461ed1-c2c8-4393-967e-55d58a3e2664</t>
        </is>
      </c>
    </row>
    <row r="353">
      <c r="A353" s="23" t="inlineStr">
        <is>
          <t>Rampalı Giriş Paspası Toz Ve Nem Alıcı Su Emici Kaymaz Paspas Apartman Dükkan Iş Yeri Paspası</t>
        </is>
      </c>
      <c r="B353" s="24" t="inlineStr">
        <is>
          <t>769993791</t>
        </is>
      </c>
      <c r="C353" s="25" t="inlineStr">
        <is>
          <t>TOZKONTROL-IYP1-KIRMIZI-1201200</t>
        </is>
      </c>
      <c r="D353" s="26" t="inlineStr">
        <is>
          <t>TOZKONTROL-IYP1-KIRMIZI-1201200</t>
        </is>
      </c>
      <c r="E353" s="27" t="inlineStr">
        <is>
          <t>120 x 1200</t>
        </is>
      </c>
      <c r="F353" s="28" t="inlineStr">
        <is>
          <t>TOZKONTROL-IYP1</t>
        </is>
      </c>
      <c r="G353" s="29" t="inlineStr">
        <is>
          <t>Kapı Önü Paspası</t>
        </is>
      </c>
      <c r="H353" s="30" t="inlineStr">
        <is>
          <t>Paspas Yap</t>
        </is>
      </c>
      <c r="I353" s="31" t="n">
        <v>93.0</v>
      </c>
      <c r="J353" s="32" t="n">
        <v>25926.0</v>
      </c>
      <c r="K353" s="33" t="n">
        <v>23851.14</v>
      </c>
      <c r="L353" s="34" t="n">
        <v>22.0</v>
      </c>
      <c r="M353" s="35" t="n">
        <v>16376.93</v>
      </c>
      <c r="N353" s="36" t="inlineStr">
        <is>
          <t>25 Ağustos 08.00-1 Eylül 07.59</t>
        </is>
      </c>
      <c r="O353" s="37" t="n">
        <v>14.7</v>
      </c>
      <c r="P353" s="38" t="n">
        <v>23851.14</v>
      </c>
      <c r="Q353" s="39"/>
      <c r="R353" s="40" t="n">
        <f>=IF(AND(ISBLANK(Q353), ISBLANK(U353)), "", "7 Günlük Fiyat")</f>
        <v>0.0</v>
      </c>
      <c r="S353" s="41" t="n">
        <f>=IF(OR(Q353="", R353=""), "-", IF(ISNUMBER(SEARCH("7 Günlük", R353)), IF(Q353&lt;=M353, O353, "-"), "-"))</f>
        <v>0.0</v>
      </c>
      <c r="T353" s="42" t="str">
        <f>=IF(ISBLANK(Q353), "", "Hayır")</f>
      </c>
      <c r="U353" s="43"/>
      <c r="V353" s="44" t="inlineStr">
        <is>
          <t>50461ed1-c2c8-4393-967e-55d58a3e2664</t>
        </is>
      </c>
    </row>
    <row r="354">
      <c r="A354" s="23" t="inlineStr">
        <is>
          <t>Rampalı Giriş Paspası Toz Ve Nem Alıcı Su Emici Kaymaz Paspas Apartman Dükkan Iş Yeri Paspası</t>
        </is>
      </c>
      <c r="B354" s="24" t="inlineStr">
        <is>
          <t>769993791</t>
        </is>
      </c>
      <c r="C354" s="25" t="inlineStr">
        <is>
          <t>TOZKONTROL-IYP1-KIRMIZI-120x1350</t>
        </is>
      </c>
      <c r="D354" s="26" t="inlineStr">
        <is>
          <t>TOZKONTROL-IYP1-KIRMIZI-120x1350</t>
        </is>
      </c>
      <c r="E354" s="27" t="inlineStr">
        <is>
          <t>120 x 1350</t>
        </is>
      </c>
      <c r="F354" s="28" t="inlineStr">
        <is>
          <t>TOZKONTROL-IYP1</t>
        </is>
      </c>
      <c r="G354" s="29" t="inlineStr">
        <is>
          <t>Kapı Önü Paspası</t>
        </is>
      </c>
      <c r="H354" s="30" t="inlineStr">
        <is>
          <t>Paspas Yap</t>
        </is>
      </c>
      <c r="I354" s="31" t="n">
        <v>93.0</v>
      </c>
      <c r="J354" s="32" t="n">
        <v>28572.0</v>
      </c>
      <c r="K354" s="33" t="n">
        <v>23803.41</v>
      </c>
      <c r="L354" s="34" t="n">
        <v>22.0</v>
      </c>
      <c r="M354" s="35" t="n">
        <v>15762.57</v>
      </c>
      <c r="N354" s="36" t="inlineStr">
        <is>
          <t>25 Ağustos 08.00-1 Eylül 07.59</t>
        </is>
      </c>
      <c r="O354" s="37" t="n">
        <v>13.1</v>
      </c>
      <c r="P354" s="38" t="n">
        <v>23803.41</v>
      </c>
      <c r="Q354" s="39"/>
      <c r="R354" s="40" t="n">
        <f>=IF(AND(ISBLANK(Q354), ISBLANK(U354)), "", "7 Günlük Fiyat")</f>
        <v>0.0</v>
      </c>
      <c r="S354" s="41" t="n">
        <f>=IF(OR(Q354="", R354=""), "-", IF(ISNUMBER(SEARCH("7 Günlük", R354)), IF(Q354&lt;=M354, O354, "-"), "-"))</f>
        <v>0.0</v>
      </c>
      <c r="T354" s="42" t="str">
        <f>=IF(ISBLANK(Q354), "", "Hayır")</f>
      </c>
      <c r="U354" s="43"/>
      <c r="V354" s="44" t="inlineStr">
        <is>
          <t>50461ed1-c2c8-4393-967e-55d58a3e2664</t>
        </is>
      </c>
    </row>
    <row r="355">
      <c r="A355" s="23" t="inlineStr">
        <is>
          <t>Rampalı Giriş Paspası Toz Ve Nem Alıcı Su Emici Kaymaz Paspas Apartman Dükkan Iş Yeri Paspası</t>
        </is>
      </c>
      <c r="B355" s="24" t="inlineStr">
        <is>
          <t>769993791</t>
        </is>
      </c>
      <c r="C355" s="25" t="inlineStr">
        <is>
          <t>TOZKONTROL-IYP1-KIRMIZI-1001200</t>
        </is>
      </c>
      <c r="D355" s="26" t="inlineStr">
        <is>
          <t>TOZKONTROL-IYP1-KIRMIZI-1001200</t>
        </is>
      </c>
      <c r="E355" s="27" t="inlineStr">
        <is>
          <t>100 x 1200</t>
        </is>
      </c>
      <c r="F355" s="28" t="inlineStr">
        <is>
          <t>TOZKONTROL-IYP1</t>
        </is>
      </c>
      <c r="G355" s="29" t="inlineStr">
        <is>
          <t>Kapı Önü Paspası</t>
        </is>
      </c>
      <c r="H355" s="30" t="inlineStr">
        <is>
          <t>Paspas Yap</t>
        </is>
      </c>
      <c r="I355" s="31" t="n">
        <v>93.0</v>
      </c>
      <c r="J355" s="32" t="n">
        <v>22715.0</v>
      </c>
      <c r="K355" s="33" t="n">
        <v>20887.38</v>
      </c>
      <c r="L355" s="34" t="n">
        <v>22.0</v>
      </c>
      <c r="M355" s="35" t="n">
        <v>14340.76</v>
      </c>
      <c r="N355" s="36" t="inlineStr">
        <is>
          <t>25 Ağustos 08.00-1 Eylül 07.59</t>
        </is>
      </c>
      <c r="O355" s="37" t="n">
        <v>14.7</v>
      </c>
      <c r="P355" s="38" t="n">
        <v>20887.38</v>
      </c>
      <c r="Q355" s="39"/>
      <c r="R355" s="40" t="n">
        <f>=IF(AND(ISBLANK(Q355), ISBLANK(U355)), "", "7 Günlük Fiyat")</f>
        <v>0.0</v>
      </c>
      <c r="S355" s="41" t="n">
        <f>=IF(OR(Q355="", R355=""), "-", IF(ISNUMBER(SEARCH("7 Günlük", R355)), IF(Q355&lt;=M355, O355, "-"), "-"))</f>
        <v>0.0</v>
      </c>
      <c r="T355" s="42" t="str">
        <f>=IF(ISBLANK(Q355), "", "Hayır")</f>
      </c>
      <c r="U355" s="43"/>
      <c r="V355" s="44" t="inlineStr">
        <is>
          <t>50461ed1-c2c8-4393-967e-55d58a3e2664</t>
        </is>
      </c>
    </row>
    <row r="356">
      <c r="A356" s="23" t="inlineStr">
        <is>
          <t>Rampalı Giriş Paspası Toz Ve Nem Alıcı Su Emici Kaymaz Paspas Apartman Dükkan Iş Yeri Paspası</t>
        </is>
      </c>
      <c r="B356" s="24" t="inlineStr">
        <is>
          <t>769993791</t>
        </is>
      </c>
      <c r="C356" s="25" t="inlineStr">
        <is>
          <t>TOZKONTROL-IYP1-KIRMIZI-5090</t>
        </is>
      </c>
      <c r="D356" s="26" t="inlineStr">
        <is>
          <t>TOZKONTROL-IYP1-KIRMIZI-5090</t>
        </is>
      </c>
      <c r="E356" s="27" t="inlineStr">
        <is>
          <t>50 x 90</t>
        </is>
      </c>
      <c r="F356" s="28" t="inlineStr">
        <is>
          <t>TOZKONTROL-IYP1</t>
        </is>
      </c>
      <c r="G356" s="29" t="inlineStr">
        <is>
          <t>Kapı Önü Paspası</t>
        </is>
      </c>
      <c r="H356" s="30" t="inlineStr">
        <is>
          <t>Paspas Yap</t>
        </is>
      </c>
      <c r="I356" s="31" t="n">
        <v>93.0</v>
      </c>
      <c r="J356" s="32" t="n">
        <v>1149.0</v>
      </c>
      <c r="K356" s="33" t="n">
        <v>985.35</v>
      </c>
      <c r="L356" s="34" t="n">
        <v>22.0</v>
      </c>
      <c r="M356" s="35" t="n">
        <v>710.61</v>
      </c>
      <c r="N356" s="36" t="inlineStr">
        <is>
          <t>25 Ağustos 08.00-1 Eylül 07.59</t>
        </is>
      </c>
      <c r="O356" s="37" t="n">
        <v>14.8</v>
      </c>
      <c r="P356" s="38" t="n">
        <v>985.35</v>
      </c>
      <c r="Q356" s="39"/>
      <c r="R356" s="40" t="n">
        <f>=IF(AND(ISBLANK(Q356), ISBLANK(U356)), "", "7 Günlük Fiyat")</f>
        <v>0.0</v>
      </c>
      <c r="S356" s="41" t="n">
        <f>=IF(OR(Q356="", R356=""), "-", IF(ISNUMBER(SEARCH("7 Günlük", R356)), IF(Q356&lt;=M356, O356, "-"), "-"))</f>
        <v>0.0</v>
      </c>
      <c r="T356" s="42" t="str">
        <f>=IF(ISBLANK(Q356), "", "Hayır")</f>
      </c>
      <c r="U356" s="43"/>
      <c r="V356" s="44" t="inlineStr">
        <is>
          <t>50461ed1-c2c8-4393-967e-55d58a3e2664</t>
        </is>
      </c>
    </row>
    <row r="357">
      <c r="A357" s="23" t="inlineStr">
        <is>
          <t>Rampalı Giriş Paspası Toz Ve Nem Alıcı Su Emici Kaymaz Paspas Apartman Dükkan Iş Yeri Paspası</t>
        </is>
      </c>
      <c r="B357" s="24" t="inlineStr">
        <is>
          <t>769993791</t>
        </is>
      </c>
      <c r="C357" s="25" t="inlineStr">
        <is>
          <t>TOZKONTROL-IYP1-KIRMIZI-80150</t>
        </is>
      </c>
      <c r="D357" s="26" t="inlineStr">
        <is>
          <t>TOZKONTROL-IYP1-KIRMIZI-80150</t>
        </is>
      </c>
      <c r="E357" s="27" t="inlineStr">
        <is>
          <t>80 x 150</t>
        </is>
      </c>
      <c r="F357" s="28" t="inlineStr">
        <is>
          <t>TOZKONTROL-IYP1</t>
        </is>
      </c>
      <c r="G357" s="29" t="inlineStr">
        <is>
          <t>Kapı Önü Paspası</t>
        </is>
      </c>
      <c r="H357" s="30" t="inlineStr">
        <is>
          <t>Paspas Yap</t>
        </is>
      </c>
      <c r="I357" s="31" t="n">
        <v>91.0</v>
      </c>
      <c r="J357" s="32" t="n">
        <v>2759.0</v>
      </c>
      <c r="K357" s="33" t="n">
        <v>2453.47</v>
      </c>
      <c r="L357" s="34" t="n">
        <v>22.0</v>
      </c>
      <c r="M357" s="35" t="n">
        <v>1787.01</v>
      </c>
      <c r="N357" s="36" t="inlineStr">
        <is>
          <t>25 Ağustos 08.00-1 Eylül 07.59</t>
        </is>
      </c>
      <c r="O357" s="37" t="n">
        <v>14.8</v>
      </c>
      <c r="P357" s="38" t="n">
        <v>2453.47</v>
      </c>
      <c r="Q357" s="39"/>
      <c r="R357" s="40" t="n">
        <f>=IF(AND(ISBLANK(Q357), ISBLANK(U357)), "", "7 Günlük Fiyat")</f>
        <v>0.0</v>
      </c>
      <c r="S357" s="41" t="n">
        <f>=IF(OR(Q357="", R357=""), "-", IF(ISNUMBER(SEARCH("7 Günlük", R357)), IF(Q357&lt;=M357, O357, "-"), "-"))</f>
        <v>0.0</v>
      </c>
      <c r="T357" s="42" t="str">
        <f>=IF(ISBLANK(Q357), "", "Hayır")</f>
      </c>
      <c r="U357" s="43"/>
      <c r="V357" s="44" t="inlineStr">
        <is>
          <t>50461ed1-c2c8-4393-967e-55d58a3e2664</t>
        </is>
      </c>
    </row>
    <row r="358">
      <c r="A358" s="23" t="inlineStr">
        <is>
          <t>Rampalı Giriş Paspası Toz Ve Nem Alıcı Su Emici Kaymaz Paspas Apartman Dükkan Iş Yeri Paspası</t>
        </is>
      </c>
      <c r="B358" s="24" t="inlineStr">
        <is>
          <t>769993791</t>
        </is>
      </c>
      <c r="C358" s="25" t="inlineStr">
        <is>
          <t>TOZKONTROL-IYP1-KIRMIZI-100300</t>
        </is>
      </c>
      <c r="D358" s="26" t="inlineStr">
        <is>
          <t>TOZKONTROL-IYP1-KIRMIZI-100300</t>
        </is>
      </c>
      <c r="E358" s="27" t="inlineStr">
        <is>
          <t>100 x 300</t>
        </is>
      </c>
      <c r="F358" s="28" t="inlineStr">
        <is>
          <t>TOZKONTROL-IYP1</t>
        </is>
      </c>
      <c r="G358" s="29" t="inlineStr">
        <is>
          <t>Kapı Önü Paspası</t>
        </is>
      </c>
      <c r="H358" s="30" t="inlineStr">
        <is>
          <t>Paspas Yap</t>
        </is>
      </c>
      <c r="I358" s="31" t="n">
        <v>93.0</v>
      </c>
      <c r="J358" s="32" t="n">
        <v>5278.0</v>
      </c>
      <c r="K358" s="33" t="n">
        <v>4922.8</v>
      </c>
      <c r="L358" s="34" t="n">
        <v>22.0</v>
      </c>
      <c r="M358" s="35" t="n">
        <v>3787.2</v>
      </c>
      <c r="N358" s="36" t="inlineStr">
        <is>
          <t>25 Ağustos 08.00-1 Eylül 07.59</t>
        </is>
      </c>
      <c r="O358" s="37" t="n">
        <v>16.6</v>
      </c>
      <c r="P358" s="38" t="n">
        <v>4922.8</v>
      </c>
      <c r="Q358" s="39"/>
      <c r="R358" s="40" t="n">
        <f>=IF(AND(ISBLANK(Q358), ISBLANK(U358)), "", "7 Günlük Fiyat")</f>
        <v>0.0</v>
      </c>
      <c r="S358" s="41" t="n">
        <f>=IF(OR(Q358="", R358=""), "-", IF(ISNUMBER(SEARCH("7 Günlük", R358)), IF(Q358&lt;=M358, O358, "-"), "-"))</f>
        <v>0.0</v>
      </c>
      <c r="T358" s="42" t="str">
        <f>=IF(ISBLANK(Q358), "", "Hayır")</f>
      </c>
      <c r="U358" s="43"/>
      <c r="V358" s="44" t="inlineStr">
        <is>
          <t>50461ed1-c2c8-4393-967e-55d58a3e2664</t>
        </is>
      </c>
    </row>
    <row r="359">
      <c r="A359" s="23" t="inlineStr">
        <is>
          <t>Rampalı Giriş Paspası Toz Ve Nem Alıcı Su Emici Kaymaz Paspas Apartman Dükkan Iş Yeri Paspası</t>
        </is>
      </c>
      <c r="B359" s="24" t="inlineStr">
        <is>
          <t>769993791</t>
        </is>
      </c>
      <c r="C359" s="25" t="inlineStr">
        <is>
          <t>TOZKONTROL-IYP1-KIRMIZI-120200</t>
        </is>
      </c>
      <c r="D359" s="26" t="inlineStr">
        <is>
          <t>TOZKONTROL-IYP1-KIRMIZI-120200</t>
        </is>
      </c>
      <c r="E359" s="27" t="inlineStr">
        <is>
          <t>120 x 200</t>
        </is>
      </c>
      <c r="F359" s="28" t="inlineStr">
        <is>
          <t>TOZKONTROL-IYP1</t>
        </is>
      </c>
      <c r="G359" s="29" t="inlineStr">
        <is>
          <t>Kapı Önü Paspası</t>
        </is>
      </c>
      <c r="H359" s="30" t="inlineStr">
        <is>
          <t>Paspas Yap</t>
        </is>
      </c>
      <c r="I359" s="31" t="n">
        <v>92.0</v>
      </c>
      <c r="J359" s="32" t="n">
        <v>4496.0</v>
      </c>
      <c r="K359" s="33" t="n">
        <v>3714.85</v>
      </c>
      <c r="L359" s="34" t="n">
        <v>22.0</v>
      </c>
      <c r="M359" s="35" t="n">
        <v>2629.41</v>
      </c>
      <c r="N359" s="36" t="inlineStr">
        <is>
          <t>25 Ağustos 08.00-1 Eylül 07.59</t>
        </is>
      </c>
      <c r="O359" s="37" t="n">
        <v>14.1</v>
      </c>
      <c r="P359" s="38" t="n">
        <v>3714.85</v>
      </c>
      <c r="Q359" s="39"/>
      <c r="R359" s="40" t="n">
        <f>=IF(AND(ISBLANK(Q359), ISBLANK(U359)), "", "7 Günlük Fiyat")</f>
        <v>0.0</v>
      </c>
      <c r="S359" s="41" t="n">
        <f>=IF(OR(Q359="", R359=""), "-", IF(ISNUMBER(SEARCH("7 Günlük", R359)), IF(Q359&lt;=M359, O359, "-"), "-"))</f>
        <v>0.0</v>
      </c>
      <c r="T359" s="42" t="str">
        <f>=IF(ISBLANK(Q359), "", "Hayır")</f>
      </c>
      <c r="U359" s="43"/>
      <c r="V359" s="44" t="inlineStr">
        <is>
          <t>50461ed1-c2c8-4393-967e-55d58a3e2664</t>
        </is>
      </c>
    </row>
    <row r="360">
      <c r="A360" s="23" t="inlineStr">
        <is>
          <t>Rampalı Giriş Paspası Toz Ve Nem Alıcı Su Emici Kaymaz Paspas Apartman Dükkan Iş Yeri Paspası</t>
        </is>
      </c>
      <c r="B360" s="24" t="inlineStr">
        <is>
          <t>769993791</t>
        </is>
      </c>
      <c r="C360" s="25" t="inlineStr">
        <is>
          <t>TOZKONTROL-IYP1-KIRMIZI-1001150</t>
        </is>
      </c>
      <c r="D360" s="26" t="inlineStr">
        <is>
          <t>TOZKONTROL-IYP1-KIRMIZI-1001150</t>
        </is>
      </c>
      <c r="E360" s="27" t="inlineStr">
        <is>
          <t>100 x 1150</t>
        </is>
      </c>
      <c r="F360" s="28" t="inlineStr">
        <is>
          <t>TOZKONTROL-IYP1</t>
        </is>
      </c>
      <c r="G360" s="29" t="inlineStr">
        <is>
          <t>Kapı Önü Paspası</t>
        </is>
      </c>
      <c r="H360" s="30" t="inlineStr">
        <is>
          <t>Paspas Yap</t>
        </is>
      </c>
      <c r="I360" s="31" t="n">
        <v>93.0</v>
      </c>
      <c r="J360" s="32" t="n">
        <v>21700.0</v>
      </c>
      <c r="K360" s="33" t="n">
        <v>20010.8</v>
      </c>
      <c r="L360" s="34" t="n">
        <v>22.0</v>
      </c>
      <c r="M360" s="35" t="n">
        <v>13955.05</v>
      </c>
      <c r="N360" s="36" t="inlineStr">
        <is>
          <t>25 Ağustos 08.00-1 Eylül 07.59</t>
        </is>
      </c>
      <c r="O360" s="37" t="n">
        <v>15.0</v>
      </c>
      <c r="P360" s="38" t="n">
        <v>20010.8</v>
      </c>
      <c r="Q360" s="39"/>
      <c r="R360" s="40" t="n">
        <f>=IF(AND(ISBLANK(Q360), ISBLANK(U360)), "", "7 Günlük Fiyat")</f>
        <v>0.0</v>
      </c>
      <c r="S360" s="41" t="n">
        <f>=IF(OR(Q360="", R360=""), "-", IF(ISNUMBER(SEARCH("7 Günlük", R360)), IF(Q360&lt;=M360, O360, "-"), "-"))</f>
        <v>0.0</v>
      </c>
      <c r="T360" s="42" t="str">
        <f>=IF(ISBLANK(Q360), "", "Hayır")</f>
      </c>
      <c r="U360" s="43"/>
      <c r="V360" s="44" t="inlineStr">
        <is>
          <t>50461ed1-c2c8-4393-967e-55d58a3e2664</t>
        </is>
      </c>
    </row>
    <row r="361">
      <c r="A361" s="23" t="inlineStr">
        <is>
          <t>Rampalı Giriş Paspası Toz Ve Nem Alıcı Su Emici Kaymaz Paspas Apartman Dükkan Iş Yeri Paspası</t>
        </is>
      </c>
      <c r="B361" s="24" t="inlineStr">
        <is>
          <t>769993791</t>
        </is>
      </c>
      <c r="C361" s="25" t="inlineStr">
        <is>
          <t>TOZKONTROL-IYP1-KIRMIZI-80x1400</t>
        </is>
      </c>
      <c r="D361" s="26" t="inlineStr">
        <is>
          <t>TOZKONTROL-IYP1-KIRMIZI-80x1400</t>
        </is>
      </c>
      <c r="E361" s="27" t="inlineStr">
        <is>
          <t>80 x 1400</t>
        </is>
      </c>
      <c r="F361" s="28" t="inlineStr">
        <is>
          <t>TOZKONTROL-IYP1</t>
        </is>
      </c>
      <c r="G361" s="29" t="inlineStr">
        <is>
          <t>Kapı Önü Paspası</t>
        </is>
      </c>
      <c r="H361" s="30" t="inlineStr">
        <is>
          <t>Paspas Yap</t>
        </is>
      </c>
      <c r="I361" s="31" t="n">
        <v>93.0</v>
      </c>
      <c r="J361" s="32" t="n">
        <v>21459.0</v>
      </c>
      <c r="K361" s="33" t="n">
        <v>20027.11</v>
      </c>
      <c r="L361" s="34" t="n">
        <v>22.0</v>
      </c>
      <c r="M361" s="35" t="n">
        <v>13109.21</v>
      </c>
      <c r="N361" s="36" t="inlineStr">
        <is>
          <t>25 Ağustos 08.00-1 Eylül 07.59</t>
        </is>
      </c>
      <c r="O361" s="37" t="n">
        <v>14.1</v>
      </c>
      <c r="P361" s="38" t="n">
        <v>20027.11</v>
      </c>
      <c r="Q361" s="39"/>
      <c r="R361" s="40" t="n">
        <f>=IF(AND(ISBLANK(Q361), ISBLANK(U361)), "", "7 Günlük Fiyat")</f>
        <v>0.0</v>
      </c>
      <c r="S361" s="41" t="n">
        <f>=IF(OR(Q361="", R361=""), "-", IF(ISNUMBER(SEARCH("7 Günlük", R361)), IF(Q361&lt;=M361, O361, "-"), "-"))</f>
        <v>0.0</v>
      </c>
      <c r="T361" s="42" t="str">
        <f>=IF(ISBLANK(Q361), "", "Hayır")</f>
      </c>
      <c r="U361" s="43"/>
      <c r="V361" s="44" t="inlineStr">
        <is>
          <t>50461ed1-c2c8-4393-967e-55d58a3e2664</t>
        </is>
      </c>
    </row>
    <row r="362">
      <c r="A362" s="23" t="inlineStr">
        <is>
          <t>Rampalı Giriş Paspası Toz Ve Nem Alıcı Su Emici Kaymaz Paspas Apartman Dükkan Iş Yeri Paspası</t>
        </is>
      </c>
      <c r="B362" s="24" t="inlineStr">
        <is>
          <t>769993791</t>
        </is>
      </c>
      <c r="C362" s="25" t="inlineStr">
        <is>
          <t>TOZKONTROL-IYP1-KIRMIZI-80x1350</t>
        </is>
      </c>
      <c r="D362" s="26" t="inlineStr">
        <is>
          <t>TOZKONTROL-IYP1-KIRMIZI-80x1350</t>
        </is>
      </c>
      <c r="E362" s="27" t="inlineStr">
        <is>
          <t>80 x 1350</t>
        </is>
      </c>
      <c r="F362" s="28" t="inlineStr">
        <is>
          <t>TOZKONTROL-IYP1</t>
        </is>
      </c>
      <c r="G362" s="29" t="inlineStr">
        <is>
          <t>Kapı Önü Paspası</t>
        </is>
      </c>
      <c r="H362" s="30" t="inlineStr">
        <is>
          <t>Paspas Yap</t>
        </is>
      </c>
      <c r="I362" s="31" t="n">
        <v>93.0</v>
      </c>
      <c r="J362" s="32" t="n">
        <v>20833.0</v>
      </c>
      <c r="K362" s="33" t="n">
        <v>17814.2</v>
      </c>
      <c r="L362" s="34" t="n">
        <v>22.0</v>
      </c>
      <c r="M362" s="35" t="n">
        <v>12620.73</v>
      </c>
      <c r="N362" s="36" t="inlineStr">
        <is>
          <t>25 Ağustos 08.00-1 Eylül 07.59</t>
        </is>
      </c>
      <c r="O362" s="37" t="n">
        <v>14.6</v>
      </c>
      <c r="P362" s="38" t="n">
        <v>17814.2</v>
      </c>
      <c r="Q362" s="39"/>
      <c r="R362" s="40" t="n">
        <f>=IF(AND(ISBLANK(Q362), ISBLANK(U362)), "", "7 Günlük Fiyat")</f>
        <v>0.0</v>
      </c>
      <c r="S362" s="41" t="n">
        <f>=IF(OR(Q362="", R362=""), "-", IF(ISNUMBER(SEARCH("7 Günlük", R362)), IF(Q362&lt;=M362, O362, "-"), "-"))</f>
        <v>0.0</v>
      </c>
      <c r="T362" s="42" t="str">
        <f>=IF(ISBLANK(Q362), "", "Hayır")</f>
      </c>
      <c r="U362" s="43"/>
      <c r="V362" s="44" t="inlineStr">
        <is>
          <t>50461ed1-c2c8-4393-967e-55d58a3e2664</t>
        </is>
      </c>
    </row>
    <row r="363">
      <c r="A363" s="23" t="inlineStr">
        <is>
          <t>Rampalı Giriş Paspası Toz Ve Nem Alıcı Su Emici Kaymaz Paspas Apartman Dükkan Iş Yeri Paspası</t>
        </is>
      </c>
      <c r="B363" s="24" t="inlineStr">
        <is>
          <t>769993791</t>
        </is>
      </c>
      <c r="C363" s="25" t="inlineStr">
        <is>
          <t>TOZKONTROL-IYP1-KIRMIZI-120500</t>
        </is>
      </c>
      <c r="D363" s="26" t="inlineStr">
        <is>
          <t>TOZKONTROL-IYP1-KIRMIZI-120500</t>
        </is>
      </c>
      <c r="E363" s="27" t="inlineStr">
        <is>
          <t>120 x 500</t>
        </is>
      </c>
      <c r="F363" s="28" t="inlineStr">
        <is>
          <t>TOZKONTROL-IYP1</t>
        </is>
      </c>
      <c r="G363" s="29" t="inlineStr">
        <is>
          <t>Kapı Önü Paspası</t>
        </is>
      </c>
      <c r="H363" s="30" t="inlineStr">
        <is>
          <t>Paspas Yap</t>
        </is>
      </c>
      <c r="I363" s="31" t="n">
        <v>93.0</v>
      </c>
      <c r="J363" s="32" t="n">
        <v>10655.0</v>
      </c>
      <c r="K363" s="33" t="n">
        <v>9862.6</v>
      </c>
      <c r="L363" s="34" t="n">
        <v>22.0</v>
      </c>
      <c r="M363" s="35" t="n">
        <v>6713.07</v>
      </c>
      <c r="N363" s="36" t="inlineStr">
        <is>
          <t>25 Ağustos 08.00-1 Eylül 07.59</t>
        </is>
      </c>
      <c r="O363" s="37" t="n">
        <v>14.7</v>
      </c>
      <c r="P363" s="38" t="n">
        <v>9862.6</v>
      </c>
      <c r="Q363" s="39"/>
      <c r="R363" s="40" t="n">
        <f>=IF(AND(ISBLANK(Q363), ISBLANK(U363)), "", "7 Günlük Fiyat")</f>
        <v>0.0</v>
      </c>
      <c r="S363" s="41" t="n">
        <f>=IF(OR(Q363="", R363=""), "-", IF(ISNUMBER(SEARCH("7 Günlük", R363)), IF(Q363&lt;=M363, O363, "-"), "-"))</f>
        <v>0.0</v>
      </c>
      <c r="T363" s="42" t="str">
        <f>=IF(ISBLANK(Q363), "", "Hayır")</f>
      </c>
      <c r="U363" s="43"/>
      <c r="V363" s="44" t="inlineStr">
        <is>
          <t>50461ed1-c2c8-4393-967e-55d58a3e2664</t>
        </is>
      </c>
    </row>
    <row r="364">
      <c r="A364" s="23" t="inlineStr">
        <is>
          <t>Rampalı Giriş Paspası Toz Ve Nem Alıcı Su Emici Kaymaz Paspas Apartman Dükkan Iş Yeri Paspası</t>
        </is>
      </c>
      <c r="B364" s="24" t="inlineStr">
        <is>
          <t>769993791</t>
        </is>
      </c>
      <c r="C364" s="25" t="inlineStr">
        <is>
          <t>TOZKONTROL-IYP1-KIRMIZI-100150</t>
        </is>
      </c>
      <c r="D364" s="26" t="inlineStr">
        <is>
          <t>TOZKONTROL-IYP1-KIRMIZI-100150</t>
        </is>
      </c>
      <c r="E364" s="27" t="inlineStr">
        <is>
          <t>100 x 150</t>
        </is>
      </c>
      <c r="F364" s="28" t="inlineStr">
        <is>
          <t>TOZKONTROL-IYP1</t>
        </is>
      </c>
      <c r="G364" s="29" t="inlineStr">
        <is>
          <t>Kapı Önü Paspası</t>
        </is>
      </c>
      <c r="H364" s="30" t="inlineStr">
        <is>
          <t>Paspas Yap</t>
        </is>
      </c>
      <c r="I364" s="31" t="n">
        <v>93.0</v>
      </c>
      <c r="J364" s="32" t="n">
        <v>2980.0</v>
      </c>
      <c r="K364" s="33" t="n">
        <v>2445.69</v>
      </c>
      <c r="L364" s="34" t="n">
        <v>22.0</v>
      </c>
      <c r="M364" s="35" t="n">
        <v>1838.15</v>
      </c>
      <c r="N364" s="36" t="inlineStr">
        <is>
          <t>25 Ağustos 08.00-1 Eylül 07.59</t>
        </is>
      </c>
      <c r="O364" s="37" t="n">
        <v>15.0</v>
      </c>
      <c r="P364" s="38" t="n">
        <v>2445.69</v>
      </c>
      <c r="Q364" s="39"/>
      <c r="R364" s="40" t="n">
        <f>=IF(AND(ISBLANK(Q364), ISBLANK(U364)), "", "7 Günlük Fiyat")</f>
        <v>0.0</v>
      </c>
      <c r="S364" s="41" t="n">
        <f>=IF(OR(Q364="", R364=""), "-", IF(ISNUMBER(SEARCH("7 Günlük", R364)), IF(Q364&lt;=M364, O364, "-"), "-"))</f>
        <v>0.0</v>
      </c>
      <c r="T364" s="42" t="str">
        <f>=IF(ISBLANK(Q364), "", "Hayır")</f>
      </c>
      <c r="U364" s="43"/>
      <c r="V364" s="44" t="inlineStr">
        <is>
          <t>50461ed1-c2c8-4393-967e-55d58a3e2664</t>
        </is>
      </c>
    </row>
    <row r="365">
      <c r="A365" s="23" t="inlineStr">
        <is>
          <t>Rampalı Giriş Paspası Toz Ve Nem Alıcı Su Emici Kaymaz Paspas Apartman Dükkan Iş Yeri Paspası</t>
        </is>
      </c>
      <c r="B365" s="24" t="inlineStr">
        <is>
          <t>769993791</t>
        </is>
      </c>
      <c r="C365" s="25" t="inlineStr">
        <is>
          <t>TOZKONTROL-IYP1-KIRMIZI-80800</t>
        </is>
      </c>
      <c r="D365" s="26" t="inlineStr">
        <is>
          <t>TOZKONTROL-IYP1-KIRMIZI-80800</t>
        </is>
      </c>
      <c r="E365" s="27" t="inlineStr">
        <is>
          <t>80 x 800</t>
        </is>
      </c>
      <c r="F365" s="28" t="inlineStr">
        <is>
          <t>TOZKONTROL-IYP1</t>
        </is>
      </c>
      <c r="G365" s="29" t="inlineStr">
        <is>
          <t>Kapı Önü Paspası</t>
        </is>
      </c>
      <c r="H365" s="30" t="inlineStr">
        <is>
          <t>Paspas Yap</t>
        </is>
      </c>
      <c r="I365" s="31" t="n">
        <v>93.0</v>
      </c>
      <c r="J365" s="32" t="n">
        <v>11335.0</v>
      </c>
      <c r="K365" s="33" t="n">
        <v>10549.48</v>
      </c>
      <c r="L365" s="34" t="n">
        <v>22.0</v>
      </c>
      <c r="M365" s="35" t="n">
        <v>7392.91</v>
      </c>
      <c r="N365" s="36" t="inlineStr">
        <is>
          <t>25 Ağustos 08.00-1 Eylül 07.59</t>
        </is>
      </c>
      <c r="O365" s="37" t="n">
        <v>15.3</v>
      </c>
      <c r="P365" s="38" t="n">
        <v>10549.48</v>
      </c>
      <c r="Q365" s="39"/>
      <c r="R365" s="40" t="n">
        <f>=IF(AND(ISBLANK(Q365), ISBLANK(U365)), "", "7 Günlük Fiyat")</f>
        <v>0.0</v>
      </c>
      <c r="S365" s="41" t="n">
        <f>=IF(OR(Q365="", R365=""), "-", IF(ISNUMBER(SEARCH("7 Günlük", R365)), IF(Q365&lt;=M365, O365, "-"), "-"))</f>
        <v>0.0</v>
      </c>
      <c r="T365" s="42" t="str">
        <f>=IF(ISBLANK(Q365), "", "Hayır")</f>
      </c>
      <c r="U365" s="43"/>
      <c r="V365" s="44" t="inlineStr">
        <is>
          <t>50461ed1-c2c8-4393-967e-55d58a3e2664</t>
        </is>
      </c>
    </row>
    <row r="366">
      <c r="A366" s="23" t="inlineStr">
        <is>
          <t>Rampalı Giriş Paspası Toz Ve Nem Alıcı Su Emici Kaymaz Paspas Apartman Dükkan Iş Yeri Paspası</t>
        </is>
      </c>
      <c r="B366" s="24" t="inlineStr">
        <is>
          <t>769993791</t>
        </is>
      </c>
      <c r="C366" s="25" t="inlineStr">
        <is>
          <t>TOZKONTROL-IYP1-KIRMIZI-80x1200</t>
        </is>
      </c>
      <c r="D366" s="26" t="inlineStr">
        <is>
          <t>TOZKONTROL-IYP1-KIRMIZI-80x1200</t>
        </is>
      </c>
      <c r="E366" s="27" t="inlineStr">
        <is>
          <t>80 x 1200</t>
        </is>
      </c>
      <c r="F366" s="28" t="inlineStr">
        <is>
          <t>TOZKONTROL-IYP1</t>
        </is>
      </c>
      <c r="G366" s="29" t="inlineStr">
        <is>
          <t>Kapı Önü Paspası</t>
        </is>
      </c>
      <c r="H366" s="30" t="inlineStr">
        <is>
          <t>Paspas Yap</t>
        </is>
      </c>
      <c r="I366" s="31" t="n">
        <v>93.0</v>
      </c>
      <c r="J366" s="32" t="n">
        <v>16099.0</v>
      </c>
      <c r="K366" s="33" t="n">
        <v>13665.81</v>
      </c>
      <c r="L366" s="34" t="n">
        <v>22.0</v>
      </c>
      <c r="M366" s="35" t="n">
        <v>9756.62</v>
      </c>
      <c r="N366" s="36" t="inlineStr">
        <is>
          <t>25 Ağustos 08.00-1 Eylül 07.59</t>
        </is>
      </c>
      <c r="O366" s="37" t="n">
        <v>14.4</v>
      </c>
      <c r="P366" s="38" t="n">
        <v>13665.81</v>
      </c>
      <c r="Q366" s="39"/>
      <c r="R366" s="40" t="n">
        <f>=IF(AND(ISBLANK(Q366), ISBLANK(U366)), "", "7 Günlük Fiyat")</f>
        <v>0.0</v>
      </c>
      <c r="S366" s="41" t="n">
        <f>=IF(OR(Q366="", R366=""), "-", IF(ISNUMBER(SEARCH("7 Günlük", R366)), IF(Q366&lt;=M366, O366, "-"), "-"))</f>
        <v>0.0</v>
      </c>
      <c r="T366" s="42" t="str">
        <f>=IF(ISBLANK(Q366), "", "Hayır")</f>
      </c>
      <c r="U366" s="43"/>
      <c r="V366" s="44" t="inlineStr">
        <is>
          <t>50461ed1-c2c8-4393-967e-55d58a3e2664</t>
        </is>
      </c>
    </row>
    <row r="367">
      <c r="A367" s="23" t="inlineStr">
        <is>
          <t>Rampalı Giriş Paspası Toz Ve Nem Alıcı Su Emici Kaymaz Paspas Apartman Dükkan Iş Yeri Paspası</t>
        </is>
      </c>
      <c r="B367" s="24" t="inlineStr">
        <is>
          <t>769993791</t>
        </is>
      </c>
      <c r="C367" s="25" t="inlineStr">
        <is>
          <t>TOZKONTROL-IYP1-KIRMIZI-100900</t>
        </is>
      </c>
      <c r="D367" s="26" t="inlineStr">
        <is>
          <t>TOZKONTROL-IYP1-KIRMIZI-100900</t>
        </is>
      </c>
      <c r="E367" s="27" t="inlineStr">
        <is>
          <t>100 x 900</t>
        </is>
      </c>
      <c r="F367" s="28" t="inlineStr">
        <is>
          <t>TOZKONTROL-IYP1</t>
        </is>
      </c>
      <c r="G367" s="29" t="inlineStr">
        <is>
          <t>Kapı Önü Paspası</t>
        </is>
      </c>
      <c r="H367" s="30" t="inlineStr">
        <is>
          <t>Paspas Yap</t>
        </is>
      </c>
      <c r="I367" s="31" t="n">
        <v>93.0</v>
      </c>
      <c r="J367" s="32" t="n">
        <v>15170.0</v>
      </c>
      <c r="K367" s="33" t="n">
        <v>14128.99</v>
      </c>
      <c r="L367" s="34" t="n">
        <v>22.0</v>
      </c>
      <c r="M367" s="35" t="n">
        <v>9804.83</v>
      </c>
      <c r="N367" s="36" t="inlineStr">
        <is>
          <t>25 Ağustos 08.00-1 Eylül 07.59</t>
        </is>
      </c>
      <c r="O367" s="37" t="n">
        <v>15.2</v>
      </c>
      <c r="P367" s="38" t="n">
        <v>14128.99</v>
      </c>
      <c r="Q367" s="39"/>
      <c r="R367" s="40" t="n">
        <f>=IF(AND(ISBLANK(Q367), ISBLANK(U367)), "", "7 Günlük Fiyat")</f>
        <v>0.0</v>
      </c>
      <c r="S367" s="41" t="n">
        <f>=IF(OR(Q367="", R367=""), "-", IF(ISNUMBER(SEARCH("7 Günlük", R367)), IF(Q367&lt;=M367, O367, "-"), "-"))</f>
        <v>0.0</v>
      </c>
      <c r="T367" s="42" t="str">
        <f>=IF(ISBLANK(Q367), "", "Hayır")</f>
      </c>
      <c r="U367" s="43"/>
      <c r="V367" s="44" t="inlineStr">
        <is>
          <t>50461ed1-c2c8-4393-967e-55d58a3e2664</t>
        </is>
      </c>
    </row>
    <row r="368">
      <c r="A368" s="23" t="inlineStr">
        <is>
          <t>Rampalı Giriş Paspası Toz Ve Nem Alıcı Su Emici Kaymaz Paspas Apartman Dükkan Iş Yeri Paspası</t>
        </is>
      </c>
      <c r="B368" s="24" t="inlineStr">
        <is>
          <t>769993791</t>
        </is>
      </c>
      <c r="C368" s="25" t="inlineStr">
        <is>
          <t>TOZKONTROL-IYP1-KIRMIZI-80x1150</t>
        </is>
      </c>
      <c r="D368" s="26" t="inlineStr">
        <is>
          <t>TOZKONTROL-IYP1-KIRMIZI-80x1150</t>
        </is>
      </c>
      <c r="E368" s="27" t="inlineStr">
        <is>
          <t>80 x 1150</t>
        </is>
      </c>
      <c r="F368" s="28" t="inlineStr">
        <is>
          <t>TOZKONTROL-IYP1</t>
        </is>
      </c>
      <c r="G368" s="29" t="inlineStr">
        <is>
          <t>Kapı Önü Paspası</t>
        </is>
      </c>
      <c r="H368" s="30" t="inlineStr">
        <is>
          <t>Paspas Yap</t>
        </is>
      </c>
      <c r="I368" s="31" t="n">
        <v>93.0</v>
      </c>
      <c r="J368" s="32" t="n">
        <v>15482.0</v>
      </c>
      <c r="K368" s="33" t="n">
        <v>13189.66</v>
      </c>
      <c r="L368" s="34" t="n">
        <v>22.0</v>
      </c>
      <c r="M368" s="35" t="n">
        <v>9366.77</v>
      </c>
      <c r="N368" s="36" t="inlineStr">
        <is>
          <t>25 Ağustos 08.00-1 Eylül 07.59</t>
        </is>
      </c>
      <c r="O368" s="37" t="n">
        <v>14.3</v>
      </c>
      <c r="P368" s="38" t="n">
        <v>13189.66</v>
      </c>
      <c r="Q368" s="39"/>
      <c r="R368" s="40" t="n">
        <f>=IF(AND(ISBLANK(Q368), ISBLANK(U368)), "", "7 Günlük Fiyat")</f>
        <v>0.0</v>
      </c>
      <c r="S368" s="41" t="n">
        <f>=IF(OR(Q368="", R368=""), "-", IF(ISNUMBER(SEARCH("7 Günlük", R368)), IF(Q368&lt;=M368, O368, "-"), "-"))</f>
        <v>0.0</v>
      </c>
      <c r="T368" s="42" t="str">
        <f>=IF(ISBLANK(Q368), "", "Hayır")</f>
      </c>
      <c r="U368" s="43"/>
      <c r="V368" s="44" t="inlineStr">
        <is>
          <t>50461ed1-c2c8-4393-967e-55d58a3e2664</t>
        </is>
      </c>
    </row>
    <row r="369">
      <c r="A369" s="23" t="inlineStr">
        <is>
          <t>Rampalı Giriş Paspası Toz Ve Nem Alıcı Su Emici Kaymaz Paspas Apartman Dükkan Iş Yeri Paspası</t>
        </is>
      </c>
      <c r="B369" s="24" t="inlineStr">
        <is>
          <t>769993791</t>
        </is>
      </c>
      <c r="C369" s="25" t="inlineStr">
        <is>
          <t>TOZKONTROL-IYP1-KIRMIZI-1001500</t>
        </is>
      </c>
      <c r="D369" s="26" t="inlineStr">
        <is>
          <t>TOZKONTROL-IYP1-KIRMIZI-1001500</t>
        </is>
      </c>
      <c r="E369" s="27" t="inlineStr">
        <is>
          <t>100 x 1500</t>
        </is>
      </c>
      <c r="F369" s="28" t="inlineStr">
        <is>
          <t>TOZKONTROL-IYP1</t>
        </is>
      </c>
      <c r="G369" s="29" t="inlineStr">
        <is>
          <t>Kapı Önü Paspası</t>
        </is>
      </c>
      <c r="H369" s="30" t="inlineStr">
        <is>
          <t>Paspas Yap</t>
        </is>
      </c>
      <c r="I369" s="31" t="n">
        <v>93.0</v>
      </c>
      <c r="J369" s="32" t="n">
        <v>26967.0</v>
      </c>
      <c r="K369" s="33" t="n">
        <v>24771.5</v>
      </c>
      <c r="L369" s="34" t="n">
        <v>22.0</v>
      </c>
      <c r="M369" s="35" t="n">
        <v>16898.99</v>
      </c>
      <c r="N369" s="36" t="inlineStr">
        <is>
          <t>25 Ağustos 08.00-1 Eylül 07.59</t>
        </is>
      </c>
      <c r="O369" s="37" t="n">
        <v>14.6</v>
      </c>
      <c r="P369" s="38" t="n">
        <v>24771.5</v>
      </c>
      <c r="Q369" s="39"/>
      <c r="R369" s="40" t="n">
        <f>=IF(AND(ISBLANK(Q369), ISBLANK(U369)), "", "7 Günlük Fiyat")</f>
        <v>0.0</v>
      </c>
      <c r="S369" s="41" t="n">
        <f>=IF(OR(Q369="", R369=""), "-", IF(ISNUMBER(SEARCH("7 Günlük", R369)), IF(Q369&lt;=M369, O369, "-"), "-"))</f>
        <v>0.0</v>
      </c>
      <c r="T369" s="42" t="str">
        <f>=IF(ISBLANK(Q369), "", "Hayır")</f>
      </c>
      <c r="U369" s="43"/>
      <c r="V369" s="44" t="inlineStr">
        <is>
          <t>50461ed1-c2c8-4393-967e-55d58a3e2664</t>
        </is>
      </c>
    </row>
    <row r="370">
      <c r="A370" s="23" t="inlineStr">
        <is>
          <t>Rampalı Giriş Paspası Toz Ve Nem Alıcı Su Emici Kaymaz Paspas Apartman Dükkan Iş Yeri Paspası</t>
        </is>
      </c>
      <c r="B370" s="24" t="inlineStr">
        <is>
          <t>769993791</t>
        </is>
      </c>
      <c r="C370" s="25" t="inlineStr">
        <is>
          <t>TOZKONTROL-IYP1-KIRMIZI-100600</t>
        </is>
      </c>
      <c r="D370" s="26" t="inlineStr">
        <is>
          <t>TOZKONTROL-IYP1-KIRMIZI-100600</t>
        </is>
      </c>
      <c r="E370" s="27" t="inlineStr">
        <is>
          <t>100 x 600</t>
        </is>
      </c>
      <c r="F370" s="28" t="inlineStr">
        <is>
          <t>TOZKONTROL-IYP1</t>
        </is>
      </c>
      <c r="G370" s="29" t="inlineStr">
        <is>
          <t>Kapı Önü Paspası</t>
        </is>
      </c>
      <c r="H370" s="30" t="inlineStr">
        <is>
          <t>Paspas Yap</t>
        </is>
      </c>
      <c r="I370" s="31" t="n">
        <v>93.0</v>
      </c>
      <c r="J370" s="32" t="n">
        <v>10655.0</v>
      </c>
      <c r="K370" s="33" t="n">
        <v>9829.63</v>
      </c>
      <c r="L370" s="34" t="n">
        <v>22.0</v>
      </c>
      <c r="M370" s="35" t="n">
        <v>6438.27</v>
      </c>
      <c r="N370" s="36" t="inlineStr">
        <is>
          <t>25 Ağustos 08.00-1 Eylül 07.59</t>
        </is>
      </c>
      <c r="O370" s="37" t="n">
        <v>13.9</v>
      </c>
      <c r="P370" s="38" t="n">
        <v>9829.63</v>
      </c>
      <c r="Q370" s="39"/>
      <c r="R370" s="40" t="n">
        <f>=IF(AND(ISBLANK(Q370), ISBLANK(U370)), "", "7 Günlük Fiyat")</f>
        <v>0.0</v>
      </c>
      <c r="S370" s="41" t="n">
        <f>=IF(OR(Q370="", R370=""), "-", IF(ISNUMBER(SEARCH("7 Günlük", R370)), IF(Q370&lt;=M370, O370, "-"), "-"))</f>
        <v>0.0</v>
      </c>
      <c r="T370" s="42" t="str">
        <f>=IF(ISBLANK(Q370), "", "Hayır")</f>
      </c>
      <c r="U370" s="43"/>
      <c r="V370" s="44" t="inlineStr">
        <is>
          <t>50461ed1-c2c8-4393-967e-55d58a3e2664</t>
        </is>
      </c>
    </row>
    <row r="371">
      <c r="A371" s="23" t="inlineStr">
        <is>
          <t>Rampalı Giriş Paspası Toz Ve Nem Alıcı Su Emici Kaymaz Paspas Apartman Dükkan Iş Yeri Paspası</t>
        </is>
      </c>
      <c r="B371" s="24" t="inlineStr">
        <is>
          <t>769993791</t>
        </is>
      </c>
      <c r="C371" s="25" t="inlineStr">
        <is>
          <t>TOZKONTROL-IYP1-KIRMIZI-100120</t>
        </is>
      </c>
      <c r="D371" s="26" t="inlineStr">
        <is>
          <t>TOZKONTROL-IYP1-KIRMIZI-100120</t>
        </is>
      </c>
      <c r="E371" s="27" t="inlineStr">
        <is>
          <t>100 x 120</t>
        </is>
      </c>
      <c r="F371" s="28" t="inlineStr">
        <is>
          <t>TOZKONTROL-IYP1</t>
        </is>
      </c>
      <c r="G371" s="29" t="inlineStr">
        <is>
          <t>Kapı Önü Paspası</t>
        </is>
      </c>
      <c r="H371" s="30" t="inlineStr">
        <is>
          <t>Paspas Yap</t>
        </is>
      </c>
      <c r="I371" s="31" t="n">
        <v>92.0</v>
      </c>
      <c r="J371" s="32" t="n">
        <v>2759.0</v>
      </c>
      <c r="K371" s="33" t="n">
        <v>2436.63</v>
      </c>
      <c r="L371" s="34" t="n">
        <v>22.0</v>
      </c>
      <c r="M371" s="35" t="n">
        <v>1795.3</v>
      </c>
      <c r="N371" s="36" t="inlineStr">
        <is>
          <t>25 Ağustos 08.00-1 Eylül 07.59</t>
        </is>
      </c>
      <c r="O371" s="37" t="n">
        <v>14.9</v>
      </c>
      <c r="P371" s="38" t="n">
        <v>2436.63</v>
      </c>
      <c r="Q371" s="39"/>
      <c r="R371" s="40" t="n">
        <f>=IF(AND(ISBLANK(Q371), ISBLANK(U371)), "", "7 Günlük Fiyat")</f>
        <v>0.0</v>
      </c>
      <c r="S371" s="41" t="n">
        <f>=IF(OR(Q371="", R371=""), "-", IF(ISNUMBER(SEARCH("7 Günlük", R371)), IF(Q371&lt;=M371, O371, "-"), "-"))</f>
        <v>0.0</v>
      </c>
      <c r="T371" s="42" t="str">
        <f>=IF(ISBLANK(Q371), "", "Hayır")</f>
      </c>
      <c r="U371" s="43"/>
      <c r="V371" s="44" t="inlineStr">
        <is>
          <t>50461ed1-c2c8-4393-967e-55d58a3e2664</t>
        </is>
      </c>
    </row>
    <row r="372">
      <c r="A372" s="23" t="inlineStr">
        <is>
          <t>Rampalı Giriş Paspası Toz Ve Nem Alıcı Su Emici Kaymaz Paspas Apartman Dükkan Iş Yeri Paspası</t>
        </is>
      </c>
      <c r="B372" s="24" t="inlineStr">
        <is>
          <t>769993791</t>
        </is>
      </c>
      <c r="C372" s="25" t="inlineStr">
        <is>
          <t>TOZKONTROL-IYP1-KIRMIZI-100650</t>
        </is>
      </c>
      <c r="D372" s="26" t="inlineStr">
        <is>
          <t>TOZKONTROL-IYP1-KIRMIZI-100650</t>
        </is>
      </c>
      <c r="E372" s="27" t="inlineStr">
        <is>
          <t>100 x 650</t>
        </is>
      </c>
      <c r="F372" s="28" t="inlineStr">
        <is>
          <t>TOZKONTROL-IYP1</t>
        </is>
      </c>
      <c r="G372" s="29" t="inlineStr">
        <is>
          <t>Kapı Önü Paspası</t>
        </is>
      </c>
      <c r="H372" s="30" t="inlineStr">
        <is>
          <t>Paspas Yap</t>
        </is>
      </c>
      <c r="I372" s="31" t="n">
        <v>93.0</v>
      </c>
      <c r="J372" s="32" t="n">
        <v>11146.0</v>
      </c>
      <c r="K372" s="33" t="n">
        <v>10358.04</v>
      </c>
      <c r="L372" s="34" t="n">
        <v>22.0</v>
      </c>
      <c r="M372" s="35" t="n">
        <v>7217.41</v>
      </c>
      <c r="N372" s="36" t="inlineStr">
        <is>
          <t>25 Ağustos 08.00-1 Eylül 07.59</t>
        </is>
      </c>
      <c r="O372" s="37" t="n">
        <v>15.2</v>
      </c>
      <c r="P372" s="38" t="n">
        <v>10358.04</v>
      </c>
      <c r="Q372" s="39"/>
      <c r="R372" s="40" t="n">
        <f>=IF(AND(ISBLANK(Q372), ISBLANK(U372)), "", "7 Günlük Fiyat")</f>
        <v>0.0</v>
      </c>
      <c r="S372" s="41" t="n">
        <f>=IF(OR(Q372="", R372=""), "-", IF(ISNUMBER(SEARCH("7 Günlük", R372)), IF(Q372&lt;=M372, O372, "-"), "-"))</f>
        <v>0.0</v>
      </c>
      <c r="T372" s="42" t="str">
        <f>=IF(ISBLANK(Q372), "", "Hayır")</f>
      </c>
      <c r="U372" s="43"/>
      <c r="V372" s="44" t="inlineStr">
        <is>
          <t>50461ed1-c2c8-4393-967e-55d58a3e2664</t>
        </is>
      </c>
    </row>
    <row r="373">
      <c r="A373" s="23" t="inlineStr">
        <is>
          <t>Rampalı Giriş Paspası Toz Ve Nem Alıcı Su Emici Kaymaz Paspas Apartman Dükkan Iş Yeri Paspası</t>
        </is>
      </c>
      <c r="B373" s="24" t="inlineStr">
        <is>
          <t>769993791</t>
        </is>
      </c>
      <c r="C373" s="25" t="inlineStr">
        <is>
          <t>TOZKONTROL-IYP1-KIRMIZI-80120</t>
        </is>
      </c>
      <c r="D373" s="26" t="inlineStr">
        <is>
          <t>TOZKONTROL-IYP1-KIRMIZI-80120</t>
        </is>
      </c>
      <c r="E373" s="27" t="inlineStr">
        <is>
          <t>80 x 120</t>
        </is>
      </c>
      <c r="F373" s="28" t="inlineStr">
        <is>
          <t>TOZKONTROL-IYP1</t>
        </is>
      </c>
      <c r="G373" s="29" t="inlineStr">
        <is>
          <t>Kapı Önü Paspası</t>
        </is>
      </c>
      <c r="H373" s="30" t="inlineStr">
        <is>
          <t>Paspas Yap</t>
        </is>
      </c>
      <c r="I373" s="31" t="n">
        <v>91.0</v>
      </c>
      <c r="J373" s="32" t="n">
        <v>2128.0</v>
      </c>
      <c r="K373" s="33" t="n">
        <v>1831.24</v>
      </c>
      <c r="L373" s="34" t="n">
        <v>22.0</v>
      </c>
      <c r="M373" s="35" t="n">
        <v>1412.4</v>
      </c>
      <c r="N373" s="36" t="inlineStr">
        <is>
          <t>25 Ağustos 08.00-1 Eylül 07.59</t>
        </is>
      </c>
      <c r="O373" s="37" t="n">
        <v>16.2</v>
      </c>
      <c r="P373" s="38" t="n">
        <v>1831.24</v>
      </c>
      <c r="Q373" s="39"/>
      <c r="R373" s="40" t="n">
        <f>=IF(AND(ISBLANK(Q373), ISBLANK(U373)), "", "7 Günlük Fiyat")</f>
        <v>0.0</v>
      </c>
      <c r="S373" s="41" t="n">
        <f>=IF(OR(Q373="", R373=""), "-", IF(ISNUMBER(SEARCH("7 Günlük", R373)), IF(Q373&lt;=M373, O373, "-"), "-"))</f>
        <v>0.0</v>
      </c>
      <c r="T373" s="42" t="str">
        <f>=IF(ISBLANK(Q373), "", "Hayır")</f>
      </c>
      <c r="U373" s="43"/>
      <c r="V373" s="44" t="inlineStr">
        <is>
          <t>50461ed1-c2c8-4393-967e-55d58a3e2664</t>
        </is>
      </c>
    </row>
    <row r="374">
      <c r="A374" s="23" t="inlineStr">
        <is>
          <t>Rampalı Giriş Paspası Toz Ve Nem Alıcı Su Emici Kaymaz Paspas Apartman Dükkan Iş Yeri Paspası</t>
        </is>
      </c>
      <c r="B374" s="24" t="inlineStr">
        <is>
          <t>769993791</t>
        </is>
      </c>
      <c r="C374" s="25" t="inlineStr">
        <is>
          <t>TOZKONTROL-IYP1-KIRMIZI-80850</t>
        </is>
      </c>
      <c r="D374" s="26" t="inlineStr">
        <is>
          <t>TOZKONTROL-IYP1-KIRMIZI-80850</t>
        </is>
      </c>
      <c r="E374" s="27" t="inlineStr">
        <is>
          <t>80 x 850</t>
        </is>
      </c>
      <c r="F374" s="28" t="inlineStr">
        <is>
          <t>TOZKONTROL-IYP1</t>
        </is>
      </c>
      <c r="G374" s="29" t="inlineStr">
        <is>
          <t>Kapı Önü Paspası</t>
        </is>
      </c>
      <c r="H374" s="30" t="inlineStr">
        <is>
          <t>Paspas Yap</t>
        </is>
      </c>
      <c r="I374" s="31" t="n">
        <v>93.0</v>
      </c>
      <c r="J374" s="32" t="n">
        <v>11939.0</v>
      </c>
      <c r="K374" s="33" t="n">
        <v>11089.94</v>
      </c>
      <c r="L374" s="34" t="n">
        <v>22.0</v>
      </c>
      <c r="M374" s="35" t="n">
        <v>7668.45</v>
      </c>
      <c r="N374" s="36" t="inlineStr">
        <is>
          <t>25 Ağustos 08.00-1 Eylül 07.59</t>
        </is>
      </c>
      <c r="O374" s="37" t="n">
        <v>15.1</v>
      </c>
      <c r="P374" s="38" t="n">
        <v>11089.94</v>
      </c>
      <c r="Q374" s="39"/>
      <c r="R374" s="40" t="n">
        <f>=IF(AND(ISBLANK(Q374), ISBLANK(U374)), "", "7 Günlük Fiyat")</f>
        <v>0.0</v>
      </c>
      <c r="S374" s="41" t="n">
        <f>=IF(OR(Q374="", R374=""), "-", IF(ISNUMBER(SEARCH("7 Günlük", R374)), IF(Q374&lt;=M374, O374, "-"), "-"))</f>
        <v>0.0</v>
      </c>
      <c r="T374" s="42" t="str">
        <f>=IF(ISBLANK(Q374), "", "Hayır")</f>
      </c>
      <c r="U374" s="43"/>
      <c r="V374" s="44" t="inlineStr">
        <is>
          <t>50461ed1-c2c8-4393-967e-55d58a3e2664</t>
        </is>
      </c>
    </row>
    <row r="375">
      <c r="A375" s="23" t="inlineStr">
        <is>
          <t>Rampalı Giriş Paspası Toz Ve Nem Alıcı Su Emici Kaymaz Paspas Apartman Dükkan Iş Yeri Paspası</t>
        </is>
      </c>
      <c r="B375" s="24" t="inlineStr">
        <is>
          <t>769993791</t>
        </is>
      </c>
      <c r="C375" s="25" t="inlineStr">
        <is>
          <t>TOZKONTROL-IYP1-KIRMIZI-100200</t>
        </is>
      </c>
      <c r="D375" s="26" t="inlineStr">
        <is>
          <t>TOZKONTROL-IYP1-KIRMIZI-100200</t>
        </is>
      </c>
      <c r="E375" s="27" t="inlineStr">
        <is>
          <t>100 x 200</t>
        </is>
      </c>
      <c r="F375" s="28" t="inlineStr">
        <is>
          <t>TOZKONTROL-IYP1</t>
        </is>
      </c>
      <c r="G375" s="29" t="inlineStr">
        <is>
          <t>Kapı Önü Paspası</t>
        </is>
      </c>
      <c r="H375" s="30" t="inlineStr">
        <is>
          <t>Paspas Yap</t>
        </is>
      </c>
      <c r="I375" s="31" t="n">
        <v>92.0</v>
      </c>
      <c r="J375" s="32" t="n">
        <v>3729.0</v>
      </c>
      <c r="K375" s="33" t="n">
        <v>3036.1</v>
      </c>
      <c r="L375" s="34" t="n">
        <v>22.0</v>
      </c>
      <c r="M375" s="35" t="n">
        <v>2158.09</v>
      </c>
      <c r="N375" s="36" t="inlineStr">
        <is>
          <t>25 Ağustos 08.00-1 Eylül 07.59</t>
        </is>
      </c>
      <c r="O375" s="37" t="n">
        <v>13.9</v>
      </c>
      <c r="P375" s="38" t="n">
        <v>3036.1</v>
      </c>
      <c r="Q375" s="39"/>
      <c r="R375" s="40" t="n">
        <f>=IF(AND(ISBLANK(Q375), ISBLANK(U375)), "", "7 Günlük Fiyat")</f>
        <v>0.0</v>
      </c>
      <c r="S375" s="41" t="n">
        <f>=IF(OR(Q375="", R375=""), "-", IF(ISNUMBER(SEARCH("7 Günlük", R375)), IF(Q375&lt;=M375, O375, "-"), "-"))</f>
        <v>0.0</v>
      </c>
      <c r="T375" s="42" t="str">
        <f>=IF(ISBLANK(Q375), "", "Hayır")</f>
      </c>
      <c r="U375" s="43"/>
      <c r="V375" s="44" t="inlineStr">
        <is>
          <t>50461ed1-c2c8-4393-967e-55d58a3e2664</t>
        </is>
      </c>
    </row>
    <row r="376">
      <c r="A376" s="23" t="inlineStr">
        <is>
          <t>Rampalı Giriş Paspası Toz Ve Nem Alıcı Su Emici Kaymaz Paspas Apartman Dükkan Iş Yeri Paspası</t>
        </is>
      </c>
      <c r="B376" s="24" t="inlineStr">
        <is>
          <t>769993791</t>
        </is>
      </c>
      <c r="C376" s="25" t="inlineStr">
        <is>
          <t>TOZKONTROL-IYP1-KIRMIZI-80400</t>
        </is>
      </c>
      <c r="D376" s="26" t="inlineStr">
        <is>
          <t>TOZKONTROL-IYP1-KIRMIZI-80400</t>
        </is>
      </c>
      <c r="E376" s="27" t="inlineStr">
        <is>
          <t>80 x 400</t>
        </is>
      </c>
      <c r="F376" s="28" t="inlineStr">
        <is>
          <t>TOZKONTROL-IYP1</t>
        </is>
      </c>
      <c r="G376" s="29" t="inlineStr">
        <is>
          <t>Kapı Önü Paspası</t>
        </is>
      </c>
      <c r="H376" s="30" t="inlineStr">
        <is>
          <t>Paspas Yap</t>
        </is>
      </c>
      <c r="I376" s="31" t="n">
        <v>93.0</v>
      </c>
      <c r="J376" s="32" t="n">
        <v>5963.0</v>
      </c>
      <c r="K376" s="33" t="n">
        <v>5506.85</v>
      </c>
      <c r="L376" s="34" t="n">
        <v>22.0</v>
      </c>
      <c r="M376" s="35" t="n">
        <v>3892.13</v>
      </c>
      <c r="N376" s="36" t="inlineStr">
        <is>
          <t>25 Ağustos 08.00-1 Eylül 07.59</t>
        </is>
      </c>
      <c r="O376" s="37" t="n">
        <v>15.4</v>
      </c>
      <c r="P376" s="38" t="n">
        <v>5506.85</v>
      </c>
      <c r="Q376" s="39"/>
      <c r="R376" s="40" t="n">
        <f>=IF(AND(ISBLANK(Q376), ISBLANK(U376)), "", "7 Günlük Fiyat")</f>
        <v>0.0</v>
      </c>
      <c r="S376" s="41" t="n">
        <f>=IF(OR(Q376="", R376=""), "-", IF(ISNUMBER(SEARCH("7 Günlük", R376)), IF(Q376&lt;=M376, O376, "-"), "-"))</f>
        <v>0.0</v>
      </c>
      <c r="T376" s="42" t="str">
        <f>=IF(ISBLANK(Q376), "", "Hayır")</f>
      </c>
      <c r="U376" s="43"/>
      <c r="V376" s="44" t="inlineStr">
        <is>
          <t>50461ed1-c2c8-4393-967e-55d58a3e2664</t>
        </is>
      </c>
    </row>
    <row r="377">
      <c r="A377" s="23" t="inlineStr">
        <is>
          <t>Rampalı Giriş Paspası Toz Ve Nem Alıcı Su Emici Kaymaz Paspas Apartman Dükkan Iş Yeri Paspası</t>
        </is>
      </c>
      <c r="B377" s="24" t="inlineStr">
        <is>
          <t>769993791</t>
        </is>
      </c>
      <c r="C377" s="25" t="inlineStr">
        <is>
          <t>TOZKONTROL-IYP1-KIRMIZI-100950</t>
        </is>
      </c>
      <c r="D377" s="26" t="inlineStr">
        <is>
          <t>TOZKONTROL-IYP1-KIRMIZI-100950</t>
        </is>
      </c>
      <c r="E377" s="27" t="inlineStr">
        <is>
          <t>100 x 950</t>
        </is>
      </c>
      <c r="F377" s="28" t="inlineStr">
        <is>
          <t>TOZKONTROL-IYP1</t>
        </is>
      </c>
      <c r="G377" s="29" t="inlineStr">
        <is>
          <t>Kapı Önü Paspası</t>
        </is>
      </c>
      <c r="H377" s="30" t="inlineStr">
        <is>
          <t>Paspas Yap</t>
        </is>
      </c>
      <c r="I377" s="31" t="n">
        <v>93.0</v>
      </c>
      <c r="J377" s="32" t="n">
        <v>15908.0</v>
      </c>
      <c r="K377" s="33" t="n">
        <v>14790.98</v>
      </c>
      <c r="L377" s="34" t="n">
        <v>22.0</v>
      </c>
      <c r="M377" s="35" t="n">
        <v>10127.24</v>
      </c>
      <c r="N377" s="36" t="inlineStr">
        <is>
          <t>25 Ağustos 08.00-1 Eylül 07.59</t>
        </is>
      </c>
      <c r="O377" s="37" t="n">
        <v>14.9</v>
      </c>
      <c r="P377" s="38" t="n">
        <v>14790.98</v>
      </c>
      <c r="Q377" s="39"/>
      <c r="R377" s="40" t="n">
        <f>=IF(AND(ISBLANK(Q377), ISBLANK(U377)), "", "7 Günlük Fiyat")</f>
        <v>0.0</v>
      </c>
      <c r="S377" s="41" t="n">
        <f>=IF(OR(Q377="", R377=""), "-", IF(ISNUMBER(SEARCH("7 Günlük", R377)), IF(Q377&lt;=M377, O377, "-"), "-"))</f>
        <v>0.0</v>
      </c>
      <c r="T377" s="42" t="str">
        <f>=IF(ISBLANK(Q377), "", "Hayır")</f>
      </c>
      <c r="U377" s="43"/>
      <c r="V377" s="44" t="inlineStr">
        <is>
          <t>50461ed1-c2c8-4393-967e-55d58a3e2664</t>
        </is>
      </c>
    </row>
    <row r="378">
      <c r="A378" s="23" t="inlineStr">
        <is>
          <t>Rampalı Giriş Paspası Toz Ve Nem Alıcı Su Emici Kaymaz Paspas Apartman Dükkan Iş Yeri Paspası</t>
        </is>
      </c>
      <c r="B378" s="24" t="inlineStr">
        <is>
          <t>769993791</t>
        </is>
      </c>
      <c r="C378" s="25" t="inlineStr">
        <is>
          <t>TOZKONTROL-IYP1-KIRMIZI-120700</t>
        </is>
      </c>
      <c r="D378" s="26" t="inlineStr">
        <is>
          <t>TOZKONTROL-IYP1-KIRMIZI-120700</t>
        </is>
      </c>
      <c r="E378" s="27" t="inlineStr">
        <is>
          <t>120 x 700</t>
        </is>
      </c>
      <c r="F378" s="28" t="inlineStr">
        <is>
          <t>TOZKONTROL-IYP1</t>
        </is>
      </c>
      <c r="G378" s="29" t="inlineStr">
        <is>
          <t>Kapı Önü Paspası</t>
        </is>
      </c>
      <c r="H378" s="30" t="inlineStr">
        <is>
          <t>Paspas Yap</t>
        </is>
      </c>
      <c r="I378" s="31" t="n">
        <v>93.0</v>
      </c>
      <c r="J378" s="32" t="n">
        <v>14351.0</v>
      </c>
      <c r="K378" s="33" t="n">
        <v>13290.92</v>
      </c>
      <c r="L378" s="34" t="n">
        <v>22.0</v>
      </c>
      <c r="M378" s="35" t="n">
        <v>8915.2</v>
      </c>
      <c r="N378" s="36" t="inlineStr">
        <is>
          <t>25 Ağustos 08.00-1 Eylül 07.59</t>
        </is>
      </c>
      <c r="O378" s="37" t="n">
        <v>14.5</v>
      </c>
      <c r="P378" s="38" t="n">
        <v>13290.92</v>
      </c>
      <c r="Q378" s="39"/>
      <c r="R378" s="40" t="n">
        <f>=IF(AND(ISBLANK(Q378), ISBLANK(U378)), "", "7 Günlük Fiyat")</f>
        <v>0.0</v>
      </c>
      <c r="S378" s="41" t="n">
        <f>=IF(OR(Q378="", R378=""), "-", IF(ISNUMBER(SEARCH("7 Günlük", R378)), IF(Q378&lt;=M378, O378, "-"), "-"))</f>
        <v>0.0</v>
      </c>
      <c r="T378" s="42" t="str">
        <f>=IF(ISBLANK(Q378), "", "Hayır")</f>
      </c>
      <c r="U378" s="43"/>
      <c r="V378" s="44" t="inlineStr">
        <is>
          <t>50461ed1-c2c8-4393-967e-55d58a3e2664</t>
        </is>
      </c>
    </row>
    <row r="379">
      <c r="A379" s="23" t="inlineStr">
        <is>
          <t>Rampalı Giriş Paspası Toz Ve Nem Alıcı Su Emici Kaymaz Paspas Apartman Dükkan Iş Yeri Paspası</t>
        </is>
      </c>
      <c r="B379" s="24" t="inlineStr">
        <is>
          <t>769993791</t>
        </is>
      </c>
      <c r="C379" s="25" t="inlineStr">
        <is>
          <t>TOZKONTROL-IYP1-KIRMIZI-50120</t>
        </is>
      </c>
      <c r="D379" s="26" t="inlineStr">
        <is>
          <t>TOZKONTROL-IYP1-KIRMIZI-50120</t>
        </is>
      </c>
      <c r="E379" s="27" t="inlineStr">
        <is>
          <t>50 x 120</t>
        </is>
      </c>
      <c r="F379" s="28" t="inlineStr">
        <is>
          <t>TOZKONTROL-IYP1</t>
        </is>
      </c>
      <c r="G379" s="29" t="inlineStr">
        <is>
          <t>Kapı Önü Paspası</t>
        </is>
      </c>
      <c r="H379" s="30" t="inlineStr">
        <is>
          <t>Paspas Yap</t>
        </is>
      </c>
      <c r="I379" s="31" t="n">
        <v>90.0</v>
      </c>
      <c r="J379" s="32" t="n">
        <v>1599.0</v>
      </c>
      <c r="K379" s="33" t="n">
        <v>1390.35</v>
      </c>
      <c r="L379" s="34" t="n">
        <v>22.0</v>
      </c>
      <c r="M379" s="35" t="n">
        <v>1110.24</v>
      </c>
      <c r="N379" s="36" t="inlineStr">
        <is>
          <t>25 Ağustos 08.00-1 Eylül 07.59</t>
        </is>
      </c>
      <c r="O379" s="37" t="n">
        <v>16.5</v>
      </c>
      <c r="P379" s="38" t="n">
        <v>1390.35</v>
      </c>
      <c r="Q379" s="39"/>
      <c r="R379" s="40" t="n">
        <f>=IF(AND(ISBLANK(Q379), ISBLANK(U379)), "", "7 Günlük Fiyat")</f>
        <v>0.0</v>
      </c>
      <c r="S379" s="41" t="n">
        <f>=IF(OR(Q379="", R379=""), "-", IF(ISNUMBER(SEARCH("7 Günlük", R379)), IF(Q379&lt;=M379, O379, "-"), "-"))</f>
        <v>0.0</v>
      </c>
      <c r="T379" s="42" t="str">
        <f>=IF(ISBLANK(Q379), "", "Hayır")</f>
      </c>
      <c r="U379" s="43"/>
      <c r="V379" s="44" t="inlineStr">
        <is>
          <t>50461ed1-c2c8-4393-967e-55d58a3e2664</t>
        </is>
      </c>
    </row>
    <row r="380">
      <c r="A380" s="23" t="inlineStr">
        <is>
          <t>Rampalı Giriş Paspası Toz Ve Nem Alıcı Su Emici Kaymaz Paspas Apartman Dükkan Iş Yeri Paspası</t>
        </is>
      </c>
      <c r="B380" s="24" t="inlineStr">
        <is>
          <t>769993791</t>
        </is>
      </c>
      <c r="C380" s="25" t="inlineStr">
        <is>
          <t>TOZKONTROL-IYP1-KIRMIZI-1001000</t>
        </is>
      </c>
      <c r="D380" s="26" t="inlineStr">
        <is>
          <t>TOZKONTROL-IYP1-KIRMIZI-1001000</t>
        </is>
      </c>
      <c r="E380" s="27" t="inlineStr">
        <is>
          <t>100 x 1000</t>
        </is>
      </c>
      <c r="F380" s="28" t="inlineStr">
        <is>
          <t>TOZKONTROL-IYP1</t>
        </is>
      </c>
      <c r="G380" s="29" t="inlineStr">
        <is>
          <t>Kapı Önü Paspası</t>
        </is>
      </c>
      <c r="H380" s="30" t="inlineStr">
        <is>
          <t>Paspas Yap</t>
        </is>
      </c>
      <c r="I380" s="31" t="n">
        <v>93.0</v>
      </c>
      <c r="J380" s="32" t="n">
        <v>16738.0</v>
      </c>
      <c r="K380" s="33" t="n">
        <v>14177.08</v>
      </c>
      <c r="L380" s="34" t="n">
        <v>22.0</v>
      </c>
      <c r="M380" s="35" t="n">
        <v>9707.81</v>
      </c>
      <c r="N380" s="36" t="inlineStr">
        <is>
          <t>25 Ağustos 08.00-1 Eylül 07.59</t>
        </is>
      </c>
      <c r="O380" s="37" t="n">
        <v>13.6</v>
      </c>
      <c r="P380" s="38" t="n">
        <v>14177.08</v>
      </c>
      <c r="Q380" s="39"/>
      <c r="R380" s="40" t="n">
        <f>=IF(AND(ISBLANK(Q380), ISBLANK(U380)), "", "7 Günlük Fiyat")</f>
        <v>0.0</v>
      </c>
      <c r="S380" s="41" t="n">
        <f>=IF(OR(Q380="", R380=""), "-", IF(ISNUMBER(SEARCH("7 Günlük", R380)), IF(Q380&lt;=M380, O380, "-"), "-"))</f>
        <v>0.0</v>
      </c>
      <c r="T380" s="42" t="str">
        <f>=IF(ISBLANK(Q380), "", "Hayır")</f>
      </c>
      <c r="U380" s="43"/>
      <c r="V380" s="44" t="inlineStr">
        <is>
          <t>50461ed1-c2c8-4393-967e-55d58a3e2664</t>
        </is>
      </c>
    </row>
    <row r="381">
      <c r="A381" s="23" t="inlineStr">
        <is>
          <t>Rampalı Giriş Paspası Toz Ve Nem Alıcı Su Emici Kaymaz Paspas Apartman Dükkan Iş Yeri Paspası</t>
        </is>
      </c>
      <c r="B381" s="24" t="inlineStr">
        <is>
          <t>769993791</t>
        </is>
      </c>
      <c r="C381" s="25" t="inlineStr">
        <is>
          <t>TOZKONTROL-IYP1-KIRMIZI-100550</t>
        </is>
      </c>
      <c r="D381" s="26" t="inlineStr">
        <is>
          <t>TOZKONTROL-IYP1-KIRMIZI-100550</t>
        </is>
      </c>
      <c r="E381" s="27" t="inlineStr">
        <is>
          <t>100 x 550</t>
        </is>
      </c>
      <c r="F381" s="28" t="inlineStr">
        <is>
          <t>TOZKONTROL-IYP1</t>
        </is>
      </c>
      <c r="G381" s="29" t="inlineStr">
        <is>
          <t>Kapı Önü Paspası</t>
        </is>
      </c>
      <c r="H381" s="30" t="inlineStr">
        <is>
          <t>Paspas Yap</t>
        </is>
      </c>
      <c r="I381" s="31" t="n">
        <v>93.0</v>
      </c>
      <c r="J381" s="32" t="n">
        <v>9734.0</v>
      </c>
      <c r="K381" s="33" t="n">
        <v>9022.26</v>
      </c>
      <c r="L381" s="34" t="n">
        <v>22.0</v>
      </c>
      <c r="M381" s="35" t="n">
        <v>6240.8</v>
      </c>
      <c r="N381" s="36" t="inlineStr">
        <is>
          <t>25 Ağustos 08.00-1 Eylül 07.59</t>
        </is>
      </c>
      <c r="O381" s="37" t="n">
        <v>15.0</v>
      </c>
      <c r="P381" s="38" t="n">
        <v>9022.26</v>
      </c>
      <c r="Q381" s="39"/>
      <c r="R381" s="40" t="n">
        <f>=IF(AND(ISBLANK(Q381), ISBLANK(U381)), "", "7 Günlük Fiyat")</f>
        <v>0.0</v>
      </c>
      <c r="S381" s="41" t="n">
        <f>=IF(OR(Q381="", R381=""), "-", IF(ISNUMBER(SEARCH("7 Günlük", R381)), IF(Q381&lt;=M381, O381, "-"), "-"))</f>
        <v>0.0</v>
      </c>
      <c r="T381" s="42" t="str">
        <f>=IF(ISBLANK(Q381), "", "Hayır")</f>
      </c>
      <c r="U381" s="43"/>
      <c r="V381" s="44" t="inlineStr">
        <is>
          <t>50461ed1-c2c8-4393-967e-55d58a3e2664</t>
        </is>
      </c>
    </row>
    <row r="382">
      <c r="A382" s="23" t="inlineStr">
        <is>
          <t>Rampalı Giriş Paspası Toz Ve Nem Alıcı Su Emici Kaymaz Paspas Apartman Dükkan Iş Yeri Paspası</t>
        </is>
      </c>
      <c r="B382" s="24" t="inlineStr">
        <is>
          <t>769993791</t>
        </is>
      </c>
      <c r="C382" s="25" t="inlineStr">
        <is>
          <t>TOZKONTROL-IYP1-KIRMIZI-120400</t>
        </is>
      </c>
      <c r="D382" s="26" t="inlineStr">
        <is>
          <t>TOZKONTROL-IYP1-KIRMIZI-120400</t>
        </is>
      </c>
      <c r="E382" s="27" t="inlineStr">
        <is>
          <t>120 x 400</t>
        </is>
      </c>
      <c r="F382" s="28" t="inlineStr">
        <is>
          <t>TOZKONTROL-IYP1</t>
        </is>
      </c>
      <c r="G382" s="29" t="inlineStr">
        <is>
          <t>Kapı Önü Paspası</t>
        </is>
      </c>
      <c r="H382" s="30" t="inlineStr">
        <is>
          <t>Paspas Yap</t>
        </is>
      </c>
      <c r="I382" s="31" t="n">
        <v>93.0</v>
      </c>
      <c r="J382" s="32" t="n">
        <v>8238.0</v>
      </c>
      <c r="K382" s="33" t="n">
        <v>7597.28</v>
      </c>
      <c r="L382" s="34" t="n">
        <v>22.0</v>
      </c>
      <c r="M382" s="35" t="n">
        <v>5140.16</v>
      </c>
      <c r="N382" s="36" t="inlineStr">
        <is>
          <t>25 Ağustos 08.00-1 Eylül 07.59</t>
        </is>
      </c>
      <c r="O382" s="37" t="n">
        <v>14.6</v>
      </c>
      <c r="P382" s="38" t="n">
        <v>7597.28</v>
      </c>
      <c r="Q382" s="39"/>
      <c r="R382" s="40" t="n">
        <f>=IF(AND(ISBLANK(Q382), ISBLANK(U382)), "", "7 Günlük Fiyat")</f>
        <v>0.0</v>
      </c>
      <c r="S382" s="41" t="n">
        <f>=IF(OR(Q382="", R382=""), "-", IF(ISNUMBER(SEARCH("7 Günlük", R382)), IF(Q382&lt;=M382, O382, "-"), "-"))</f>
        <v>0.0</v>
      </c>
      <c r="T382" s="42" t="str">
        <f>=IF(ISBLANK(Q382), "", "Hayır")</f>
      </c>
      <c r="U382" s="43"/>
      <c r="V382" s="44" t="inlineStr">
        <is>
          <t>50461ed1-c2c8-4393-967e-55d58a3e2664</t>
        </is>
      </c>
    </row>
    <row r="383">
      <c r="A383" s="23" t="inlineStr">
        <is>
          <t>Rampalı Giriş Paspası Toz Ve Nem Alıcı Su Emici Kaymaz Paspas Apartman Dükkan Iş Yeri Paspası</t>
        </is>
      </c>
      <c r="B383" s="24" t="inlineStr">
        <is>
          <t>769993791</t>
        </is>
      </c>
      <c r="C383" s="25" t="inlineStr">
        <is>
          <t>TOZKONTROL-IYP1-KIRMIZI-120550</t>
        </is>
      </c>
      <c r="D383" s="26" t="inlineStr">
        <is>
          <t>TOZKONTROL-IYP1-KIRMIZI-120550</t>
        </is>
      </c>
      <c r="E383" s="27" t="inlineStr">
        <is>
          <t>120 x 550</t>
        </is>
      </c>
      <c r="F383" s="28" t="inlineStr">
        <is>
          <t>TOZKONTROL-IYP1</t>
        </is>
      </c>
      <c r="G383" s="29" t="inlineStr">
        <is>
          <t>Kapı Önü Paspası</t>
        </is>
      </c>
      <c r="H383" s="30" t="inlineStr">
        <is>
          <t>Paspas Yap</t>
        </is>
      </c>
      <c r="I383" s="31" t="n">
        <v>93.0</v>
      </c>
      <c r="J383" s="32" t="n">
        <v>11272.0</v>
      </c>
      <c r="K383" s="33" t="n">
        <v>10468.42</v>
      </c>
      <c r="L383" s="34" t="n">
        <v>22.0</v>
      </c>
      <c r="M383" s="35" t="n">
        <v>7259.52</v>
      </c>
      <c r="N383" s="36" t="inlineStr">
        <is>
          <t>25 Ağustos 08.00-1 Eylül 07.59</t>
        </is>
      </c>
      <c r="O383" s="37" t="n">
        <v>15.1</v>
      </c>
      <c r="P383" s="38" t="n">
        <v>10468.42</v>
      </c>
      <c r="Q383" s="39"/>
      <c r="R383" s="40" t="n">
        <f>=IF(AND(ISBLANK(Q383), ISBLANK(U383)), "", "7 Günlük Fiyat")</f>
        <v>0.0</v>
      </c>
      <c r="S383" s="41" t="n">
        <f>=IF(OR(Q383="", R383=""), "-", IF(ISNUMBER(SEARCH("7 Günlük", R383)), IF(Q383&lt;=M383, O383, "-"), "-"))</f>
        <v>0.0</v>
      </c>
      <c r="T383" s="42" t="str">
        <f>=IF(ISBLANK(Q383), "", "Hayır")</f>
      </c>
      <c r="U383" s="43"/>
      <c r="V383" s="44" t="inlineStr">
        <is>
          <t>50461ed1-c2c8-4393-967e-55d58a3e2664</t>
        </is>
      </c>
    </row>
    <row r="384">
      <c r="A384" s="23" t="inlineStr">
        <is>
          <t>Rampalı Giriş Paspası Toz Ve Nem Alıcı Su Emici Kaymaz Paspas Apartman Dükkan Iş Yeri Paspası</t>
        </is>
      </c>
      <c r="B384" s="24" t="inlineStr">
        <is>
          <t>769993791</t>
        </is>
      </c>
      <c r="C384" s="25" t="inlineStr">
        <is>
          <t>TOZKONTROL-IYP1-KIRMIZI-50100</t>
        </is>
      </c>
      <c r="D384" s="26" t="inlineStr">
        <is>
          <t>TOZKONTROL-IYP1-KIRMIZI-50100</t>
        </is>
      </c>
      <c r="E384" s="27" t="inlineStr">
        <is>
          <t>50 x 100</t>
        </is>
      </c>
      <c r="F384" s="28" t="inlineStr">
        <is>
          <t>TOZKONTROL-IYP1</t>
        </is>
      </c>
      <c r="G384" s="29" t="inlineStr">
        <is>
          <t>Kapı Önü Paspası</t>
        </is>
      </c>
      <c r="H384" s="30" t="inlineStr">
        <is>
          <t>Paspas Yap</t>
        </is>
      </c>
      <c r="I384" s="31" t="n">
        <v>91.0</v>
      </c>
      <c r="J384" s="32" t="n">
        <v>1264.0</v>
      </c>
      <c r="K384" s="33" t="n">
        <v>1055.16</v>
      </c>
      <c r="L384" s="34" t="n">
        <v>22.0</v>
      </c>
      <c r="M384" s="35" t="n">
        <v>827.65</v>
      </c>
      <c r="N384" s="36" t="inlineStr">
        <is>
          <t>25 Ağustos 08.00-1 Eylül 07.59</t>
        </is>
      </c>
      <c r="O384" s="37" t="n">
        <v>16.3</v>
      </c>
      <c r="P384" s="38" t="n">
        <v>1055.16</v>
      </c>
      <c r="Q384" s="39"/>
      <c r="R384" s="40" t="n">
        <f>=IF(AND(ISBLANK(Q384), ISBLANK(U384)), "", "7 Günlük Fiyat")</f>
        <v>0.0</v>
      </c>
      <c r="S384" s="41" t="n">
        <f>=IF(OR(Q384="", R384=""), "-", IF(ISNUMBER(SEARCH("7 Günlük", R384)), IF(Q384&lt;=M384, O384, "-"), "-"))</f>
        <v>0.0</v>
      </c>
      <c r="T384" s="42" t="str">
        <f>=IF(ISBLANK(Q384), "", "Hayır")</f>
      </c>
      <c r="U384" s="43"/>
      <c r="V384" s="44" t="inlineStr">
        <is>
          <t>50461ed1-c2c8-4393-967e-55d58a3e2664</t>
        </is>
      </c>
    </row>
    <row r="385">
      <c r="A385" s="23" t="inlineStr">
        <is>
          <t>Rampalı Giriş Paspası Toz Ve Nem Alıcı Su Emici Kaymaz Paspas Apartman Dükkan Iş Yeri Paspası</t>
        </is>
      </c>
      <c r="B385" s="24" t="inlineStr">
        <is>
          <t>769993791</t>
        </is>
      </c>
      <c r="C385" s="25" t="inlineStr">
        <is>
          <t>TOZKONTROL-IYP1-KIRMIZI-80500</t>
        </is>
      </c>
      <c r="D385" s="26" t="inlineStr">
        <is>
          <t>TOZKONTROL-IYP1-KIRMIZI-80500</t>
        </is>
      </c>
      <c r="E385" s="27" t="inlineStr">
        <is>
          <t>80 x 500</t>
        </is>
      </c>
      <c r="F385" s="28" t="inlineStr">
        <is>
          <t>TOZKONTROL-IYP1</t>
        </is>
      </c>
      <c r="G385" s="29" t="inlineStr">
        <is>
          <t>Kapı Önü Paspası</t>
        </is>
      </c>
      <c r="H385" s="30" t="inlineStr">
        <is>
          <t>Paspas Yap</t>
        </is>
      </c>
      <c r="I385" s="31" t="n">
        <v>93.0</v>
      </c>
      <c r="J385" s="32" t="n">
        <v>7139.0</v>
      </c>
      <c r="K385" s="33" t="n">
        <v>6614.85</v>
      </c>
      <c r="L385" s="34" t="n">
        <v>22.0</v>
      </c>
      <c r="M385" s="35" t="n">
        <v>4674.47</v>
      </c>
      <c r="N385" s="36" t="inlineStr">
        <is>
          <t>25 Ağustos 08.00-1 Eylül 07.59</t>
        </is>
      </c>
      <c r="O385" s="37" t="n">
        <v>15.4</v>
      </c>
      <c r="P385" s="38" t="n">
        <v>6614.85</v>
      </c>
      <c r="Q385" s="39"/>
      <c r="R385" s="40" t="n">
        <f>=IF(AND(ISBLANK(Q385), ISBLANK(U385)), "", "7 Günlük Fiyat")</f>
        <v>0.0</v>
      </c>
      <c r="S385" s="41" t="n">
        <f>=IF(OR(Q385="", R385=""), "-", IF(ISNUMBER(SEARCH("7 Günlük", R385)), IF(Q385&lt;=M385, O385, "-"), "-"))</f>
        <v>0.0</v>
      </c>
      <c r="T385" s="42" t="str">
        <f>=IF(ISBLANK(Q385), "", "Hayır")</f>
      </c>
      <c r="U385" s="43"/>
      <c r="V385" s="44" t="inlineStr">
        <is>
          <t>50461ed1-c2c8-4393-967e-55d58a3e2664</t>
        </is>
      </c>
    </row>
    <row r="386">
      <c r="A386" s="23" t="inlineStr">
        <is>
          <t>Rampalı Giriş Paspası Toz Ve Nem Alıcı Su Emici Kaymaz Paspas Apartman Dükkan Iş Yeri Paspası</t>
        </is>
      </c>
      <c r="B386" s="24" t="inlineStr">
        <is>
          <t>769993791</t>
        </is>
      </c>
      <c r="C386" s="25" t="inlineStr">
        <is>
          <t>TOZKONTROL-IYP1-KIRMIZI-1201500</t>
        </is>
      </c>
      <c r="D386" s="26" t="inlineStr">
        <is>
          <t>TOZKONTROL-IYP1-KIRMIZI-1201500</t>
        </is>
      </c>
      <c r="E386" s="27" t="inlineStr">
        <is>
          <t>120 x 1500</t>
        </is>
      </c>
      <c r="F386" s="28" t="inlineStr">
        <is>
          <t>TOZKONTROL-IYP1</t>
        </is>
      </c>
      <c r="G386" s="29" t="inlineStr">
        <is>
          <t>Kapı Önü Paspası</t>
        </is>
      </c>
      <c r="H386" s="30" t="inlineStr">
        <is>
          <t>Paspas Yap</t>
        </is>
      </c>
      <c r="I386" s="31" t="n">
        <v>93.0</v>
      </c>
      <c r="J386" s="32" t="n">
        <v>31217.0</v>
      </c>
      <c r="K386" s="33" t="n">
        <v>24050.79</v>
      </c>
      <c r="L386" s="34" t="n">
        <v>22.0</v>
      </c>
      <c r="M386" s="35" t="n">
        <v>15093.71</v>
      </c>
      <c r="N386" s="36" t="inlineStr">
        <is>
          <t>25 Ağustos 08.00-1 Eylül 07.59</t>
        </is>
      </c>
      <c r="O386" s="37" t="n">
        <v>11.3</v>
      </c>
      <c r="P386" s="38" t="n">
        <v>24050.79</v>
      </c>
      <c r="Q386" s="39"/>
      <c r="R386" s="40" t="n">
        <f>=IF(AND(ISBLANK(Q386), ISBLANK(U386)), "", "7 Günlük Fiyat")</f>
        <v>0.0</v>
      </c>
      <c r="S386" s="41" t="n">
        <f>=IF(OR(Q386="", R386=""), "-", IF(ISNUMBER(SEARCH("7 Günlük", R386)), IF(Q386&lt;=M386, O386, "-"), "-"))</f>
        <v>0.0</v>
      </c>
      <c r="T386" s="42" t="str">
        <f>=IF(ISBLANK(Q386), "", "Hayır")</f>
      </c>
      <c r="U386" s="43"/>
      <c r="V386" s="44" t="inlineStr">
        <is>
          <t>50461ed1-c2c8-4393-967e-55d58a3e2664</t>
        </is>
      </c>
    </row>
    <row r="387">
      <c r="A387" s="23" t="inlineStr">
        <is>
          <t>Rampalı Giriş Paspası Toz Ve Nem Alıcı Su Emici Kaymaz Paspas Apartman Dükkan Iş Yeri Paspası</t>
        </is>
      </c>
      <c r="B387" s="24" t="inlineStr">
        <is>
          <t>769993791</t>
        </is>
      </c>
      <c r="C387" s="25" t="inlineStr">
        <is>
          <t>TOZKONTROL-IYP1-KIRMIZI-120850</t>
        </is>
      </c>
      <c r="D387" s="26" t="inlineStr">
        <is>
          <t>TOZKONTROL-IYP1-KIRMIZI-120850</t>
        </is>
      </c>
      <c r="E387" s="27" t="inlineStr">
        <is>
          <t>120 x 850</t>
        </is>
      </c>
      <c r="F387" s="28" t="inlineStr">
        <is>
          <t>TOZKONTROL-IYP1</t>
        </is>
      </c>
      <c r="G387" s="29" t="inlineStr">
        <is>
          <t>Kapı Önü Paspası</t>
        </is>
      </c>
      <c r="H387" s="30" t="inlineStr">
        <is>
          <t>Paspas Yap</t>
        </is>
      </c>
      <c r="I387" s="31" t="n">
        <v>93.0</v>
      </c>
      <c r="J387" s="32" t="n">
        <v>19685.0</v>
      </c>
      <c r="K387" s="33" t="n">
        <v>18230.25</v>
      </c>
      <c r="L387" s="34" t="n">
        <v>22.0</v>
      </c>
      <c r="M387" s="35" t="n">
        <v>12969.46</v>
      </c>
      <c r="N387" s="36" t="inlineStr">
        <is>
          <t>25 Ağustos 08.00-1 Eylül 07.59</t>
        </is>
      </c>
      <c r="O387" s="37" t="n">
        <v>15.4</v>
      </c>
      <c r="P387" s="38" t="n">
        <v>18230.25</v>
      </c>
      <c r="Q387" s="39"/>
      <c r="R387" s="40" t="n">
        <f>=IF(AND(ISBLANK(Q387), ISBLANK(U387)), "", "7 Günlük Fiyat")</f>
        <v>0.0</v>
      </c>
      <c r="S387" s="41" t="n">
        <f>=IF(OR(Q387="", R387=""), "-", IF(ISNUMBER(SEARCH("7 Günlük", R387)), IF(Q387&lt;=M387, O387, "-"), "-"))</f>
        <v>0.0</v>
      </c>
      <c r="T387" s="42" t="str">
        <f>=IF(ISBLANK(Q387), "", "Hayır")</f>
      </c>
      <c r="U387" s="43"/>
      <c r="V387" s="44" t="inlineStr">
        <is>
          <t>50461ed1-c2c8-4393-967e-55d58a3e2664</t>
        </is>
      </c>
    </row>
    <row r="388">
      <c r="A388" s="23" t="inlineStr">
        <is>
          <t>Rampalı Giriş Paspası Toz Ve Nem Alıcı Su Emici Kaymaz Paspas Apartman Dükkan Iş Yeri Paspası</t>
        </is>
      </c>
      <c r="B388" s="24" t="inlineStr">
        <is>
          <t>769993791</t>
        </is>
      </c>
      <c r="C388" s="25" t="inlineStr">
        <is>
          <t>TOZKONTROL-IYP1-KIRMIZI-80750</t>
        </is>
      </c>
      <c r="D388" s="26" t="inlineStr">
        <is>
          <t>TOZKONTROL-IYP1-KIRMIZI-80750</t>
        </is>
      </c>
      <c r="E388" s="27" t="inlineStr">
        <is>
          <t>80 x 750</t>
        </is>
      </c>
      <c r="F388" s="28" t="inlineStr">
        <is>
          <t>TOZKONTROL-IYP1</t>
        </is>
      </c>
      <c r="G388" s="29" t="inlineStr">
        <is>
          <t>Kapı Önü Paspası</t>
        </is>
      </c>
      <c r="H388" s="30" t="inlineStr">
        <is>
          <t>Paspas Yap</t>
        </is>
      </c>
      <c r="I388" s="31" t="n">
        <v>93.0</v>
      </c>
      <c r="J388" s="32" t="n">
        <v>10655.0</v>
      </c>
      <c r="K388" s="33" t="n">
        <v>9860.38</v>
      </c>
      <c r="L388" s="34" t="n">
        <v>22.0</v>
      </c>
      <c r="M388" s="35" t="n">
        <v>6732.81</v>
      </c>
      <c r="N388" s="36" t="inlineStr">
        <is>
          <t>25 Ağustos 08.00-1 Eylül 07.59</t>
        </is>
      </c>
      <c r="O388" s="37" t="n">
        <v>14.8</v>
      </c>
      <c r="P388" s="38" t="n">
        <v>9860.38</v>
      </c>
      <c r="Q388" s="39"/>
      <c r="R388" s="40" t="n">
        <f>=IF(AND(ISBLANK(Q388), ISBLANK(U388)), "", "7 Günlük Fiyat")</f>
        <v>0.0</v>
      </c>
      <c r="S388" s="41" t="n">
        <f>=IF(OR(Q388="", R388=""), "-", IF(ISNUMBER(SEARCH("7 Günlük", R388)), IF(Q388&lt;=M388, O388, "-"), "-"))</f>
        <v>0.0</v>
      </c>
      <c r="T388" s="42" t="str">
        <f>=IF(ISBLANK(Q388), "", "Hayır")</f>
      </c>
      <c r="U388" s="43"/>
      <c r="V388" s="44" t="inlineStr">
        <is>
          <t>50461ed1-c2c8-4393-967e-55d58a3e2664</t>
        </is>
      </c>
    </row>
    <row r="389">
      <c r="A389" s="23" t="inlineStr">
        <is>
          <t>Rampalı Giriş Paspası Toz Ve Nem Alıcı Su Emici Kaymaz Paspas Apartman Dükkan Iş Yeri Paspası</t>
        </is>
      </c>
      <c r="B389" s="24" t="inlineStr">
        <is>
          <t>769993791</t>
        </is>
      </c>
      <c r="C389" s="25" t="inlineStr">
        <is>
          <t>TOZKONTROL-IYP1-KIRMIZI-120900</t>
        </is>
      </c>
      <c r="D389" s="26" t="inlineStr">
        <is>
          <t>TOZKONTROL-IYP1-KIRMIZI-120900</t>
        </is>
      </c>
      <c r="E389" s="27" t="inlineStr">
        <is>
          <t>120 x 900</t>
        </is>
      </c>
      <c r="F389" s="28" t="inlineStr">
        <is>
          <t>TOZKONTROL-IYP1</t>
        </is>
      </c>
      <c r="G389" s="29" t="inlineStr">
        <is>
          <t>Kapı Önü Paspası</t>
        </is>
      </c>
      <c r="H389" s="30" t="inlineStr">
        <is>
          <t>Paspas Yap</t>
        </is>
      </c>
      <c r="I389" s="31" t="n">
        <v>93.0</v>
      </c>
      <c r="J389" s="32" t="n">
        <v>20833.0</v>
      </c>
      <c r="K389" s="33" t="n">
        <v>19201.81</v>
      </c>
      <c r="L389" s="34" t="n">
        <v>22.0</v>
      </c>
      <c r="M389" s="35" t="n">
        <v>13335.33</v>
      </c>
      <c r="N389" s="36" t="inlineStr">
        <is>
          <t>25 Ağustos 08.00-1 Eylül 07.59</t>
        </is>
      </c>
      <c r="O389" s="37" t="n">
        <v>14.9</v>
      </c>
      <c r="P389" s="38" t="n">
        <v>19201.81</v>
      </c>
      <c r="Q389" s="39"/>
      <c r="R389" s="40" t="n">
        <f>=IF(AND(ISBLANK(Q389), ISBLANK(U389)), "", "7 Günlük Fiyat")</f>
        <v>0.0</v>
      </c>
      <c r="S389" s="41" t="n">
        <f>=IF(OR(Q389="", R389=""), "-", IF(ISNUMBER(SEARCH("7 Günlük", R389)), IF(Q389&lt;=M389, O389, "-"), "-"))</f>
        <v>0.0</v>
      </c>
      <c r="T389" s="42" t="str">
        <f>=IF(ISBLANK(Q389), "", "Hayır")</f>
      </c>
      <c r="U389" s="43"/>
      <c r="V389" s="44" t="inlineStr">
        <is>
          <t>50461ed1-c2c8-4393-967e-55d58a3e2664</t>
        </is>
      </c>
    </row>
    <row r="390">
      <c r="A390" s="23" t="inlineStr">
        <is>
          <t>Rampalı Giriş Paspası Toz Ve Nem Alıcı Su Emici Kaymaz Paspas Apartman Dükkan Iş Yeri Paspası</t>
        </is>
      </c>
      <c r="B390" s="24" t="inlineStr">
        <is>
          <t>769993791</t>
        </is>
      </c>
      <c r="C390" s="25" t="inlineStr">
        <is>
          <t>TOZKONTROL-IYP1-KIRMIZI-120750</t>
        </is>
      </c>
      <c r="D390" s="26" t="inlineStr">
        <is>
          <t>TOZKONTROL-IYP1-KIRMIZI-120750</t>
        </is>
      </c>
      <c r="E390" s="27" t="inlineStr">
        <is>
          <t>120 x 750</t>
        </is>
      </c>
      <c r="F390" s="28" t="inlineStr">
        <is>
          <t>TOZKONTROL-IYP1</t>
        </is>
      </c>
      <c r="G390" s="29" t="inlineStr">
        <is>
          <t>Kapı Önü Paspası</t>
        </is>
      </c>
      <c r="H390" s="30" t="inlineStr">
        <is>
          <t>Paspas Yap</t>
        </is>
      </c>
      <c r="I390" s="31" t="n">
        <v>93.0</v>
      </c>
      <c r="J390" s="32" t="n">
        <v>15170.0</v>
      </c>
      <c r="K390" s="33" t="n">
        <v>14066.78</v>
      </c>
      <c r="L390" s="34" t="n">
        <v>22.0</v>
      </c>
      <c r="M390" s="35" t="n">
        <v>9481.62</v>
      </c>
      <c r="N390" s="36" t="inlineStr">
        <is>
          <t>25 Ağustos 08.00-1 Eylül 07.59</t>
        </is>
      </c>
      <c r="O390" s="37" t="n">
        <v>14.6</v>
      </c>
      <c r="P390" s="38" t="n">
        <v>14066.78</v>
      </c>
      <c r="Q390" s="39"/>
      <c r="R390" s="40" t="n">
        <f>=IF(AND(ISBLANK(Q390), ISBLANK(U390)), "", "7 Günlük Fiyat")</f>
        <v>0.0</v>
      </c>
      <c r="S390" s="41" t="n">
        <f>=IF(OR(Q390="", R390=""), "-", IF(ISNUMBER(SEARCH("7 Günlük", R390)), IF(Q390&lt;=M390, O390, "-"), "-"))</f>
        <v>0.0</v>
      </c>
      <c r="T390" s="42" t="str">
        <f>=IF(ISBLANK(Q390), "", "Hayır")</f>
      </c>
      <c r="U390" s="43"/>
      <c r="V390" s="44" t="inlineStr">
        <is>
          <t>50461ed1-c2c8-4393-967e-55d58a3e2664</t>
        </is>
      </c>
    </row>
    <row r="391">
      <c r="A391" s="23" t="inlineStr">
        <is>
          <t>Rampalı Giriş Paspası Toz Ve Nem Alıcı Su Emici Kaymaz Paspas Apartman Dükkan Iş Yeri Paspası</t>
        </is>
      </c>
      <c r="B391" s="24" t="inlineStr">
        <is>
          <t>769993791</t>
        </is>
      </c>
      <c r="C391" s="25" t="inlineStr">
        <is>
          <t>TOZKONTROL-IYP1-KIRMIZI-80900</t>
        </is>
      </c>
      <c r="D391" s="26" t="inlineStr">
        <is>
          <t>TOZKONTROL-IYP1-KIRMIZI-80900</t>
        </is>
      </c>
      <c r="E391" s="27" t="inlineStr">
        <is>
          <t>80 x 900</t>
        </is>
      </c>
      <c r="F391" s="28" t="inlineStr">
        <is>
          <t>TOZKONTROL-IYP1</t>
        </is>
      </c>
      <c r="G391" s="29" t="inlineStr">
        <is>
          <t>Kapı Önü Paspası</t>
        </is>
      </c>
      <c r="H391" s="30" t="inlineStr">
        <is>
          <t>Paspas Yap</t>
        </is>
      </c>
      <c r="I391" s="31" t="n">
        <v>93.0</v>
      </c>
      <c r="J391" s="32" t="n">
        <v>12542.0</v>
      </c>
      <c r="K391" s="33" t="n">
        <v>11688.96</v>
      </c>
      <c r="L391" s="34" t="n">
        <v>22.0</v>
      </c>
      <c r="M391" s="35" t="n">
        <v>8208.14</v>
      </c>
      <c r="N391" s="36" t="inlineStr">
        <is>
          <t>25 Ağustos 08.00-1 Eylül 07.59</t>
        </is>
      </c>
      <c r="O391" s="37" t="n">
        <v>15.4</v>
      </c>
      <c r="P391" s="38" t="n">
        <v>11688.96</v>
      </c>
      <c r="Q391" s="39"/>
      <c r="R391" s="40" t="n">
        <f>=IF(AND(ISBLANK(Q391), ISBLANK(U391)), "", "7 Günlük Fiyat")</f>
        <v>0.0</v>
      </c>
      <c r="S391" s="41" t="n">
        <f>=IF(OR(Q391="", R391=""), "-", IF(ISNUMBER(SEARCH("7 Günlük", R391)), IF(Q391&lt;=M391, O391, "-"), "-"))</f>
        <v>0.0</v>
      </c>
      <c r="T391" s="42" t="str">
        <f>=IF(ISBLANK(Q391), "", "Hayır")</f>
      </c>
      <c r="U391" s="43"/>
      <c r="V391" s="44" t="inlineStr">
        <is>
          <t>50461ed1-c2c8-4393-967e-55d58a3e2664</t>
        </is>
      </c>
    </row>
    <row r="392">
      <c r="A392" s="23" t="inlineStr">
        <is>
          <t>Hello Yazılı Siyah Kalpli Kapı Önü Paspası</t>
        </is>
      </c>
      <c r="B392" s="24" t="inlineStr">
        <is>
          <t>472349167</t>
        </is>
      </c>
      <c r="C392" s="25" t="inlineStr">
        <is>
          <t>ST145-5090</t>
        </is>
      </c>
      <c r="D392" s="26" t="inlineStr">
        <is>
          <t>KOKO--50x90--ST145</t>
        </is>
      </c>
      <c r="E392" s="27" t="inlineStr">
        <is>
          <t>50 x 90</t>
        </is>
      </c>
      <c r="F392" s="28" t="inlineStr">
        <is>
          <t>ST145</t>
        </is>
      </c>
      <c r="G392" s="29" t="inlineStr">
        <is>
          <t>Kapı Önü Paspası</t>
        </is>
      </c>
      <c r="H392" s="30" t="inlineStr">
        <is>
          <t>Paspas Yap</t>
        </is>
      </c>
      <c r="I392" s="31" t="n">
        <v>87.0</v>
      </c>
      <c r="J392" s="32" t="n">
        <v>2199.0</v>
      </c>
      <c r="K392" s="33" t="n">
        <v>1754.99</v>
      </c>
      <c r="L392" s="34" t="n">
        <v>22.0</v>
      </c>
      <c r="M392" s="35" t="n">
        <v>954.59</v>
      </c>
      <c r="N392" s="36" t="inlineStr">
        <is>
          <t>25 Ağustos 08.00-1 Eylül 07.59</t>
        </is>
      </c>
      <c r="O392" s="37" t="n">
        <v>9.8</v>
      </c>
      <c r="P392" s="38" t="n">
        <v>1754.99</v>
      </c>
      <c r="Q392" s="39"/>
      <c r="R392" s="40" t="n">
        <f>=IF(AND(ISBLANK(Q392), ISBLANK(U392)), "", "7 Günlük Fiyat")</f>
        <v>0.0</v>
      </c>
      <c r="S392" s="41" t="n">
        <f>=IF(OR(Q392="", R392=""), "-", IF(ISNUMBER(SEARCH("7 Günlük", R392)), IF(Q392&lt;=M392, O392, "-"), "-"))</f>
        <v>0.0</v>
      </c>
      <c r="T392" s="42" t="str">
        <f>=IF(ISBLANK(Q392), "", "Hayır")</f>
      </c>
      <c r="U392" s="43"/>
      <c r="V392" s="44" t="inlineStr">
        <is>
          <t>50461ed1-c2c8-4393-967e-55d58a3e2664</t>
        </is>
      </c>
    </row>
    <row r="393">
      <c r="A393" s="23" t="inlineStr">
        <is>
          <t>Hello Yazılı Siyah Kalpli Kapı Önü Paspası</t>
        </is>
      </c>
      <c r="B393" s="24" t="inlineStr">
        <is>
          <t>472349167</t>
        </is>
      </c>
      <c r="C393" s="25" t="inlineStr">
        <is>
          <t>ST145-3360</t>
        </is>
      </c>
      <c r="D393" s="26" t="inlineStr">
        <is>
          <t>KOKO--33x60--ST145</t>
        </is>
      </c>
      <c r="E393" s="27" t="inlineStr">
        <is>
          <t>33 x 60</t>
        </is>
      </c>
      <c r="F393" s="28" t="inlineStr">
        <is>
          <t>ST145</t>
        </is>
      </c>
      <c r="G393" s="29" t="inlineStr">
        <is>
          <t>Kapı Önü Paspası</t>
        </is>
      </c>
      <c r="H393" s="30" t="inlineStr">
        <is>
          <t>Paspas Yap</t>
        </is>
      </c>
      <c r="I393" s="31" t="n">
        <v>92.0</v>
      </c>
      <c r="J393" s="32" t="n">
        <v>799.0</v>
      </c>
      <c r="K393" s="33" t="n">
        <v>799.0</v>
      </c>
      <c r="L393" s="34" t="n">
        <v>22.0</v>
      </c>
      <c r="M393" s="35" t="n">
        <v>528.58</v>
      </c>
      <c r="N393" s="36" t="inlineStr">
        <is>
          <t>25 Ağustos 08.00-1 Eylül 07.59</t>
        </is>
      </c>
      <c r="O393" s="37" t="n">
        <v>14.6</v>
      </c>
      <c r="P393" s="38" t="n">
        <v>799.0</v>
      </c>
      <c r="Q393" s="39"/>
      <c r="R393" s="40" t="n">
        <f>=IF(AND(ISBLANK(Q393), ISBLANK(U393)), "", "7 Günlük Fiyat")</f>
        <v>0.0</v>
      </c>
      <c r="S393" s="41" t="n">
        <f>=IF(OR(Q393="", R393=""), "-", IF(ISNUMBER(SEARCH("7 Günlük", R393)), IF(Q393&lt;=M393, O393, "-"), "-"))</f>
        <v>0.0</v>
      </c>
      <c r="T393" s="42" t="str">
        <f>=IF(ISBLANK(Q393), "", "Hayır")</f>
      </c>
      <c r="U393" s="43"/>
      <c r="V393" s="44" t="inlineStr">
        <is>
          <t>50461ed1-c2c8-4393-967e-55d58a3e2664</t>
        </is>
      </c>
    </row>
    <row r="394">
      <c r="A394" s="23" t="inlineStr">
        <is>
          <t>Hello Yazılı Siyah Kalpli Kapı Önü Paspası</t>
        </is>
      </c>
      <c r="B394" s="24" t="inlineStr">
        <is>
          <t>472349167</t>
        </is>
      </c>
      <c r="C394" s="25" t="inlineStr">
        <is>
          <t>ST145-4070</t>
        </is>
      </c>
      <c r="D394" s="26" t="inlineStr">
        <is>
          <t>KOKO--40x70--ST145</t>
        </is>
      </c>
      <c r="E394" s="27" t="inlineStr">
        <is>
          <t>40 x 70</t>
        </is>
      </c>
      <c r="F394" s="28" t="inlineStr">
        <is>
          <t>ST145</t>
        </is>
      </c>
      <c r="G394" s="29" t="inlineStr">
        <is>
          <t>Kapı Önü Paspası</t>
        </is>
      </c>
      <c r="H394" s="30" t="inlineStr">
        <is>
          <t>Paspas Yap</t>
        </is>
      </c>
      <c r="I394" s="31" t="n">
        <v>90.0</v>
      </c>
      <c r="J394" s="32" t="n">
        <v>1506.0</v>
      </c>
      <c r="K394" s="33" t="n">
        <v>1092.2</v>
      </c>
      <c r="L394" s="34" t="n">
        <v>22.0</v>
      </c>
      <c r="M394" s="35" t="n">
        <v>694.27</v>
      </c>
      <c r="N394" s="36" t="inlineStr">
        <is>
          <t>25 Ağustos 08.00-1 Eylül 07.59</t>
        </is>
      </c>
      <c r="O394" s="37" t="n">
        <v>9.6</v>
      </c>
      <c r="P394" s="38" t="n">
        <v>1092.2</v>
      </c>
      <c r="Q394" s="39"/>
      <c r="R394" s="40" t="n">
        <f>=IF(AND(ISBLANK(Q394), ISBLANK(U394)), "", "7 Günlük Fiyat")</f>
        <v>0.0</v>
      </c>
      <c r="S394" s="41" t="n">
        <f>=IF(OR(Q394="", R394=""), "-", IF(ISNUMBER(SEARCH("7 Günlük", R394)), IF(Q394&lt;=M394, O394, "-"), "-"))</f>
        <v>0.0</v>
      </c>
      <c r="T394" s="42" t="str">
        <f>=IF(ISBLANK(Q394), "", "Hayır")</f>
      </c>
      <c r="U394" s="43"/>
      <c r="V394" s="44" t="inlineStr">
        <is>
          <t>50461ed1-c2c8-4393-967e-55d58a3e2664</t>
        </is>
      </c>
    </row>
    <row r="395">
      <c r="A395" s="23" t="inlineStr">
        <is>
          <t>Hello Yazılı Siyah Kalpli Kapı Önü Paspası</t>
        </is>
      </c>
      <c r="B395" s="24" t="inlineStr">
        <is>
          <t>472349167</t>
        </is>
      </c>
      <c r="C395" s="25" t="inlineStr">
        <is>
          <t>ST145-4060</t>
        </is>
      </c>
      <c r="D395" s="26" t="inlineStr">
        <is>
          <t>KOKO--40x60--ST145</t>
        </is>
      </c>
      <c r="E395" s="27" t="inlineStr">
        <is>
          <t>40 x 60</t>
        </is>
      </c>
      <c r="F395" s="28" t="inlineStr">
        <is>
          <t>ST145</t>
        </is>
      </c>
      <c r="G395" s="29" t="inlineStr">
        <is>
          <t>Kapı Önü Paspası</t>
        </is>
      </c>
      <c r="H395" s="30" t="inlineStr">
        <is>
          <t>Paspas Yap</t>
        </is>
      </c>
      <c r="I395" s="31" t="n">
        <v>92.0</v>
      </c>
      <c r="J395" s="32" t="n">
        <v>988.0</v>
      </c>
      <c r="K395" s="33" t="n">
        <v>988.0</v>
      </c>
      <c r="L395" s="34" t="n">
        <v>22.0</v>
      </c>
      <c r="M395" s="35" t="n">
        <v>637.6</v>
      </c>
      <c r="N395" s="36" t="inlineStr">
        <is>
          <t>25 Ağustos 08.00-1 Eylül 07.59</t>
        </is>
      </c>
      <c r="O395" s="37" t="n">
        <v>15.5</v>
      </c>
      <c r="P395" s="38" t="n">
        <v>988.0</v>
      </c>
      <c r="Q395" s="39"/>
      <c r="R395" s="40" t="n">
        <f>=IF(AND(ISBLANK(Q395), ISBLANK(U395)), "", "7 Günlük Fiyat")</f>
        <v>0.0</v>
      </c>
      <c r="S395" s="41" t="n">
        <f>=IF(OR(Q395="", R395=""), "-", IF(ISNUMBER(SEARCH("7 Günlük", R395)), IF(Q395&lt;=M395, O395, "-"), "-"))</f>
        <v>0.0</v>
      </c>
      <c r="T395" s="42" t="str">
        <f>=IF(ISBLANK(Q395), "", "Hayır")</f>
      </c>
      <c r="U395" s="43"/>
      <c r="V395" s="44" t="inlineStr">
        <is>
          <t>50461ed1-c2c8-4393-967e-55d58a3e2664</t>
        </is>
      </c>
    </row>
    <row r="396">
      <c r="A396" s="23" t="inlineStr">
        <is>
          <t>Welcome Yazılı Gri Kıvırcık Paspas Iş Yeri Paspası Apartman Giriş Paspası Su Emici</t>
        </is>
      </c>
      <c r="B396" s="24" t="inlineStr">
        <is>
          <t>249077562</t>
        </is>
      </c>
      <c r="C396" s="25" t="inlineStr">
        <is>
          <t>ST103-4070</t>
        </is>
      </c>
      <c r="D396" s="26" t="inlineStr">
        <is>
          <t>KIVIRCIKPASPASGRI4070</t>
        </is>
      </c>
      <c r="E396" s="27" t="inlineStr">
        <is>
          <t>40 x 70</t>
        </is>
      </c>
      <c r="F396" s="28" t="inlineStr">
        <is>
          <t>ST103</t>
        </is>
      </c>
      <c r="G396" s="29" t="inlineStr">
        <is>
          <t>Kapı Önü Paspası</t>
        </is>
      </c>
      <c r="H396" s="30" t="inlineStr">
        <is>
          <t>Paspas Yap</t>
        </is>
      </c>
      <c r="I396" s="31" t="n">
        <v>91.0</v>
      </c>
      <c r="J396" s="32" t="n">
        <v>749.0</v>
      </c>
      <c r="K396" s="33" t="n">
        <v>683.9</v>
      </c>
      <c r="L396" s="34" t="n">
        <v>22.0</v>
      </c>
      <c r="M396" s="35" t="n">
        <v>544.42</v>
      </c>
      <c r="N396" s="36" t="inlineStr">
        <is>
          <t>25 Ağustos 08.00-1 Eylül 07.59</t>
        </is>
      </c>
      <c r="O396" s="37" t="n">
        <v>17.0</v>
      </c>
      <c r="P396" s="38" t="n">
        <v>683.9</v>
      </c>
      <c r="Q396" s="39"/>
      <c r="R396" s="40" t="n">
        <f>=IF(AND(ISBLANK(Q396), ISBLANK(U396)), "", "7 Günlük Fiyat")</f>
        <v>0.0</v>
      </c>
      <c r="S396" s="41" t="n">
        <f>=IF(OR(Q396="", R396=""), "-", IF(ISNUMBER(SEARCH("7 Günlük", R396)), IF(Q396&lt;=M396, O396, "-"), "-"))</f>
        <v>0.0</v>
      </c>
      <c r="T396" s="42" t="str">
        <f>=IF(ISBLANK(Q396), "", "Hayır")</f>
      </c>
      <c r="U396" s="43"/>
      <c r="V396" s="44" t="inlineStr">
        <is>
          <t>50461ed1-c2c8-4393-967e-55d58a3e2664</t>
        </is>
      </c>
    </row>
    <row r="397">
      <c r="A397" s="23" t="inlineStr">
        <is>
          <t>Welcome Yazılı Gri Kıvırcık Paspas Iş Yeri Paspası Apartman Giriş Paspası Su Emici</t>
        </is>
      </c>
      <c r="B397" s="24" t="inlineStr">
        <is>
          <t>249077562</t>
        </is>
      </c>
      <c r="C397" s="25" t="inlineStr">
        <is>
          <t>ST103-5090</t>
        </is>
      </c>
      <c r="D397" s="26" t="inlineStr">
        <is>
          <t>KIVIRCIKPASPASGRI5090</t>
        </is>
      </c>
      <c r="E397" s="27" t="inlineStr">
        <is>
          <t>50 x 90</t>
        </is>
      </c>
      <c r="F397" s="28" t="inlineStr">
        <is>
          <t>ST103</t>
        </is>
      </c>
      <c r="G397" s="29" t="inlineStr">
        <is>
          <t>Kapı Önü Paspası</t>
        </is>
      </c>
      <c r="H397" s="30" t="inlineStr">
        <is>
          <t>Paspas Yap</t>
        </is>
      </c>
      <c r="I397" s="31" t="n">
        <v>90.0</v>
      </c>
      <c r="J397" s="32" t="n">
        <v>999.0</v>
      </c>
      <c r="K397" s="33" t="n">
        <v>999.0</v>
      </c>
      <c r="L397" s="34" t="n">
        <v>22.0</v>
      </c>
      <c r="M397" s="35" t="n">
        <v>653.74</v>
      </c>
      <c r="N397" s="36" t="inlineStr">
        <is>
          <t>25 Ağustos 08.00-1 Eylül 07.59</t>
        </is>
      </c>
      <c r="O397" s="37" t="n">
        <v>15.8</v>
      </c>
      <c r="P397" s="38" t="n">
        <v>999.0</v>
      </c>
      <c r="Q397" s="39"/>
      <c r="R397" s="40" t="n">
        <f>=IF(AND(ISBLANK(Q397), ISBLANK(U397)), "", "7 Günlük Fiyat")</f>
        <v>0.0</v>
      </c>
      <c r="S397" s="41" t="n">
        <f>=IF(OR(Q397="", R397=""), "-", IF(ISNUMBER(SEARCH("7 Günlük", R397)), IF(Q397&lt;=M397, O397, "-"), "-"))</f>
        <v>0.0</v>
      </c>
      <c r="T397" s="42" t="str">
        <f>=IF(ISBLANK(Q397), "", "Hayır")</f>
      </c>
      <c r="U397" s="43"/>
      <c r="V397" s="44" t="inlineStr">
        <is>
          <t>50461ed1-c2c8-4393-967e-55d58a3e2664</t>
        </is>
      </c>
    </row>
    <row r="398">
      <c r="A398" s="23" t="inlineStr">
        <is>
          <t>Dikdörtgen Çerçeveli Gri Kıvırcık Paspas Iş Yeri Paspası Apartman Giriş Paspası Su Emici</t>
        </is>
      </c>
      <c r="B398" s="24" t="inlineStr">
        <is>
          <t>249077560</t>
        </is>
      </c>
      <c r="C398" s="25" t="inlineStr">
        <is>
          <t>ST102-4070</t>
        </is>
      </c>
      <c r="D398" s="26" t="inlineStr">
        <is>
          <t>KIVIRCIKPASPASGRI4070</t>
        </is>
      </c>
      <c r="E398" s="27" t="inlineStr">
        <is>
          <t>40 x 70</t>
        </is>
      </c>
      <c r="F398" s="28" t="inlineStr">
        <is>
          <t>ST102</t>
        </is>
      </c>
      <c r="G398" s="29" t="inlineStr">
        <is>
          <t>Kapı Önü Paspası</t>
        </is>
      </c>
      <c r="H398" s="30" t="inlineStr">
        <is>
          <t>Paspas Yap</t>
        </is>
      </c>
      <c r="I398" s="31" t="n">
        <v>91.0</v>
      </c>
      <c r="J398" s="32" t="n">
        <v>749.0</v>
      </c>
      <c r="K398" s="33" t="n">
        <v>669.71</v>
      </c>
      <c r="L398" s="34" t="n">
        <v>22.0</v>
      </c>
      <c r="M398" s="35" t="n">
        <v>520.72</v>
      </c>
      <c r="N398" s="36" t="inlineStr">
        <is>
          <t>25 Ağustos 08.00-1 Eylül 07.59</t>
        </is>
      </c>
      <c r="O398" s="37" t="n">
        <v>16.7</v>
      </c>
      <c r="P398" s="38" t="n">
        <v>669.71</v>
      </c>
      <c r="Q398" s="39"/>
      <c r="R398" s="40" t="n">
        <f>=IF(AND(ISBLANK(Q398), ISBLANK(U398)), "", "7 Günlük Fiyat")</f>
        <v>0.0</v>
      </c>
      <c r="S398" s="41" t="n">
        <f>=IF(OR(Q398="", R398=""), "-", IF(ISNUMBER(SEARCH("7 Günlük", R398)), IF(Q398&lt;=M398, O398, "-"), "-"))</f>
        <v>0.0</v>
      </c>
      <c r="T398" s="42" t="str">
        <f>=IF(ISBLANK(Q398), "", "Hayır")</f>
      </c>
      <c r="U398" s="43"/>
      <c r="V398" s="44" t="inlineStr">
        <is>
          <t>50461ed1-c2c8-4393-967e-55d58a3e2664</t>
        </is>
      </c>
    </row>
    <row r="399">
      <c r="A399" s="23" t="inlineStr">
        <is>
          <t>Dikdörtgen Çerçeveli Gri Kıvırcık Paspas Iş Yeri Paspası Apartman Giriş Paspası Su Emici</t>
        </is>
      </c>
      <c r="B399" s="24" t="inlineStr">
        <is>
          <t>249077560</t>
        </is>
      </c>
      <c r="C399" s="25" t="inlineStr">
        <is>
          <t>ST102-5090</t>
        </is>
      </c>
      <c r="D399" s="26" t="inlineStr">
        <is>
          <t>ST102-BASKILI-KIVIRCIK-GRI-50x90</t>
        </is>
      </c>
      <c r="E399" s="27" t="inlineStr">
        <is>
          <t>50 x 90</t>
        </is>
      </c>
      <c r="F399" s="28" t="inlineStr">
        <is>
          <t>ST102</t>
        </is>
      </c>
      <c r="G399" s="29" t="inlineStr">
        <is>
          <t>Kapı Önü Paspası</t>
        </is>
      </c>
      <c r="H399" s="30" t="inlineStr">
        <is>
          <t>Paspas Yap</t>
        </is>
      </c>
      <c r="I399" s="31" t="n">
        <v>91.0</v>
      </c>
      <c r="J399" s="32" t="n">
        <v>999.0</v>
      </c>
      <c r="K399" s="33" t="n">
        <v>999.0</v>
      </c>
      <c r="L399" s="34" t="n">
        <v>22.0</v>
      </c>
      <c r="M399" s="35" t="n">
        <v>651.69</v>
      </c>
      <c r="N399" s="36" t="inlineStr">
        <is>
          <t>25 Ağustos 08.00-1 Eylül 07.59</t>
        </is>
      </c>
      <c r="O399" s="37" t="n">
        <v>15.6</v>
      </c>
      <c r="P399" s="38" t="n">
        <v>999.0</v>
      </c>
      <c r="Q399" s="39"/>
      <c r="R399" s="40" t="n">
        <f>=IF(AND(ISBLANK(Q399), ISBLANK(U399)), "", "7 Günlük Fiyat")</f>
        <v>0.0</v>
      </c>
      <c r="S399" s="41" t="n">
        <f>=IF(OR(Q399="", R399=""), "-", IF(ISNUMBER(SEARCH("7 Günlük", R399)), IF(Q399&lt;=M399, O399, "-"), "-"))</f>
        <v>0.0</v>
      </c>
      <c r="T399" s="42" t="str">
        <f>=IF(ISBLANK(Q399), "", "Hayır")</f>
      </c>
      <c r="U399" s="43"/>
      <c r="V399" s="44" t="inlineStr">
        <is>
          <t>50461ed1-c2c8-4393-967e-55d58a3e2664</t>
        </is>
      </c>
    </row>
    <row r="400">
      <c r="A400" s="23" t="inlineStr">
        <is>
          <t>Dikdörtgen Çerçeveli Gri Kıvırcık Paspas Iş Yeri Paspası Apartman Giriş Paspası Su Emici</t>
        </is>
      </c>
      <c r="B400" s="24" t="inlineStr">
        <is>
          <t>249077560</t>
        </is>
      </c>
      <c r="C400" s="25" t="inlineStr">
        <is>
          <t>ST102-BASKILI-KIVIRCIK-GRI-60x100</t>
        </is>
      </c>
      <c r="D400" s="26" t="inlineStr">
        <is>
          <t>ST102-BASKILI-KIVIRCIK-GRI-60x100</t>
        </is>
      </c>
      <c r="E400" s="27" t="inlineStr">
        <is>
          <t>60 x 100</t>
        </is>
      </c>
      <c r="F400" s="28" t="inlineStr">
        <is>
          <t>ST102</t>
        </is>
      </c>
      <c r="G400" s="29" t="inlineStr">
        <is>
          <t>Kapı Önü Paspası</t>
        </is>
      </c>
      <c r="H400" s="30" t="inlineStr">
        <is>
          <t>Paspas Yap</t>
        </is>
      </c>
      <c r="I400" s="31" t="n">
        <v>92.0</v>
      </c>
      <c r="J400" s="32" t="n">
        <v>1249.0</v>
      </c>
      <c r="K400" s="33" t="n">
        <v>956.9</v>
      </c>
      <c r="L400" s="34" t="n">
        <v>22.0</v>
      </c>
      <c r="M400" s="35" t="n">
        <v>688.28</v>
      </c>
      <c r="N400" s="36" t="inlineStr">
        <is>
          <t>25 Ağustos 08.00-1 Eylül 07.59</t>
        </is>
      </c>
      <c r="O400" s="37" t="n">
        <v>14.3</v>
      </c>
      <c r="P400" s="38" t="n">
        <v>956.9</v>
      </c>
      <c r="Q400" s="39"/>
      <c r="R400" s="40" t="n">
        <f>=IF(AND(ISBLANK(Q400), ISBLANK(U400)), "", "7 Günlük Fiyat")</f>
        <v>0.0</v>
      </c>
      <c r="S400" s="41" t="n">
        <f>=IF(OR(Q400="", R400=""), "-", IF(ISNUMBER(SEARCH("7 Günlük", R400)), IF(Q400&lt;=M400, O400, "-"), "-"))</f>
        <v>0.0</v>
      </c>
      <c r="T400" s="42" t="str">
        <f>=IF(ISBLANK(Q400), "", "Hayır")</f>
      </c>
      <c r="U400" s="43"/>
      <c r="V400" s="44" t="inlineStr">
        <is>
          <t>50461ed1-c2c8-4393-967e-55d58a3e2664</t>
        </is>
      </c>
    </row>
    <row r="401">
      <c r="A401" s="23" t="inlineStr">
        <is>
          <t>Dikdörtgen Çerçeveli Gri Kıvırcık Paspas Iş Yeri Paspası Apartman Giriş Paspası Su Emici</t>
        </is>
      </c>
      <c r="B401" s="24" t="inlineStr">
        <is>
          <t>249077560</t>
        </is>
      </c>
      <c r="C401" s="25" t="inlineStr">
        <is>
          <t>ST102-BASKILI-KIVIRCIK-GRI-80x120</t>
        </is>
      </c>
      <c r="D401" s="26" t="inlineStr">
        <is>
          <t>ST102-BASKILI-KIVIRCIK-GRI-80x120</t>
        </is>
      </c>
      <c r="E401" s="27" t="inlineStr">
        <is>
          <t>80 x 120</t>
        </is>
      </c>
      <c r="F401" s="28" t="inlineStr">
        <is>
          <t>ST102</t>
        </is>
      </c>
      <c r="G401" s="29" t="inlineStr">
        <is>
          <t>Kapı Önü Paspası</t>
        </is>
      </c>
      <c r="H401" s="30" t="inlineStr">
        <is>
          <t>Paspas Yap</t>
        </is>
      </c>
      <c r="I401" s="31" t="n">
        <v>92.0</v>
      </c>
      <c r="J401" s="32" t="n">
        <v>1824.0</v>
      </c>
      <c r="K401" s="33" t="n">
        <v>1524.19</v>
      </c>
      <c r="L401" s="34" t="n">
        <v>22.0</v>
      </c>
      <c r="M401" s="35" t="n">
        <v>1055.97</v>
      </c>
      <c r="N401" s="36" t="inlineStr">
        <is>
          <t>25 Ağustos 08.00-1 Eylül 07.59</t>
        </is>
      </c>
      <c r="O401" s="37" t="n">
        <v>14.1</v>
      </c>
      <c r="P401" s="38" t="n">
        <v>1524.19</v>
      </c>
      <c r="Q401" s="39"/>
      <c r="R401" s="40" t="n">
        <f>=IF(AND(ISBLANK(Q401), ISBLANK(U401)), "", "7 Günlük Fiyat")</f>
        <v>0.0</v>
      </c>
      <c r="S401" s="41" t="n">
        <f>=IF(OR(Q401="", R401=""), "-", IF(ISNUMBER(SEARCH("7 Günlük", R401)), IF(Q401&lt;=M401, O401, "-"), "-"))</f>
        <v>0.0</v>
      </c>
      <c r="T401" s="42" t="str">
        <f>=IF(ISBLANK(Q401), "", "Hayır")</f>
      </c>
      <c r="U401" s="43"/>
      <c r="V401" s="44" t="inlineStr">
        <is>
          <t>50461ed1-c2c8-4393-967e-55d58a3e2664</t>
        </is>
      </c>
    </row>
    <row r="402">
      <c r="A402" s="23" t="inlineStr">
        <is>
          <t>Hoşgeldiniz Yazılı Yeşil Yonca Tasarımlı Kapı Paspası Koko Paspas Dış Kapı Paspası Kıl Paspas</t>
        </is>
      </c>
      <c r="B402" s="24" t="inlineStr">
        <is>
          <t>117280223</t>
        </is>
      </c>
      <c r="C402" s="25" t="inlineStr">
        <is>
          <t>ST28-5090</t>
        </is>
      </c>
      <c r="D402" s="26" t="inlineStr">
        <is>
          <t>KOKO--50x90--ST28</t>
        </is>
      </c>
      <c r="E402" s="27" t="inlineStr">
        <is>
          <t>50 x 90</t>
        </is>
      </c>
      <c r="F402" s="28" t="inlineStr">
        <is>
          <t>ST28</t>
        </is>
      </c>
      <c r="G402" s="29" t="inlineStr">
        <is>
          <t>Kapı Önü Paspası</t>
        </is>
      </c>
      <c r="H402" s="30" t="inlineStr">
        <is>
          <t>Paspas Yap</t>
        </is>
      </c>
      <c r="I402" s="31" t="n">
        <v>90.0</v>
      </c>
      <c r="J402" s="32" t="n">
        <v>2199.0</v>
      </c>
      <c r="K402" s="33" t="n">
        <v>1968.3</v>
      </c>
      <c r="L402" s="34" t="n">
        <v>22.0</v>
      </c>
      <c r="M402" s="35" t="n">
        <v>1055.78</v>
      </c>
      <c r="N402" s="36" t="inlineStr">
        <is>
          <t>25 Ağustos 08.00-1 Eylül 07.59</t>
        </is>
      </c>
      <c r="O402" s="37" t="n">
        <v>9.7</v>
      </c>
      <c r="P402" s="38" t="n">
        <v>1968.3</v>
      </c>
      <c r="Q402" s="39"/>
      <c r="R402" s="40" t="n">
        <f>=IF(AND(ISBLANK(Q402), ISBLANK(U402)), "", "7 Günlük Fiyat")</f>
        <v>0.0</v>
      </c>
      <c r="S402" s="41" t="n">
        <f>=IF(OR(Q402="", R402=""), "-", IF(ISNUMBER(SEARCH("7 Günlük", R402)), IF(Q402&lt;=M402, O402, "-"), "-"))</f>
        <v>0.0</v>
      </c>
      <c r="T402" s="42" t="str">
        <f>=IF(ISBLANK(Q402), "", "Hayır")</f>
      </c>
      <c r="U402" s="43"/>
      <c r="V402" s="44" t="inlineStr">
        <is>
          <t>50461ed1-c2c8-4393-967e-55d58a3e2664</t>
        </is>
      </c>
    </row>
    <row r="403">
      <c r="A403" s="23" t="inlineStr">
        <is>
          <t>Hoşgeldiniz Yazılı Yeşil Yonca Tasarımlı Kapı Paspası Koko Paspas Dış Kapı Paspası Kıl Paspas</t>
        </is>
      </c>
      <c r="B403" s="24" t="inlineStr">
        <is>
          <t>117280223</t>
        </is>
      </c>
      <c r="C403" s="25" t="inlineStr">
        <is>
          <t>ST28-3360</t>
        </is>
      </c>
      <c r="D403" s="26" t="inlineStr">
        <is>
          <t>KOKO--33x60--ST28</t>
        </is>
      </c>
      <c r="E403" s="27" t="inlineStr">
        <is>
          <t>33 x 60</t>
        </is>
      </c>
      <c r="F403" s="28" t="inlineStr">
        <is>
          <t>ST28</t>
        </is>
      </c>
      <c r="G403" s="29" t="inlineStr">
        <is>
          <t>Kapı Önü Paspası</t>
        </is>
      </c>
      <c r="H403" s="30" t="inlineStr">
        <is>
          <t>Paspas Yap</t>
        </is>
      </c>
      <c r="I403" s="31" t="n">
        <v>89.0</v>
      </c>
      <c r="J403" s="32" t="n">
        <v>799.0</v>
      </c>
      <c r="K403" s="33" t="n">
        <v>799.0</v>
      </c>
      <c r="L403" s="34" t="n">
        <v>22.0</v>
      </c>
      <c r="M403" s="35" t="n">
        <v>504.67</v>
      </c>
      <c r="N403" s="36" t="inlineStr">
        <is>
          <t>25 Ağustos 08.00-1 Eylül 07.59</t>
        </is>
      </c>
      <c r="O403" s="37" t="n">
        <v>13.4</v>
      </c>
      <c r="P403" s="38" t="n">
        <v>799.0</v>
      </c>
      <c r="Q403" s="39"/>
      <c r="R403" s="40" t="n">
        <f>=IF(AND(ISBLANK(Q403), ISBLANK(U403)), "", "7 Günlük Fiyat")</f>
        <v>0.0</v>
      </c>
      <c r="S403" s="41" t="n">
        <f>=IF(OR(Q403="", R403=""), "-", IF(ISNUMBER(SEARCH("7 Günlük", R403)), IF(Q403&lt;=M403, O403, "-"), "-"))</f>
        <v>0.0</v>
      </c>
      <c r="T403" s="42" t="str">
        <f>=IF(ISBLANK(Q403), "", "Hayır")</f>
      </c>
      <c r="U403" s="43"/>
      <c r="V403" s="44" t="inlineStr">
        <is>
          <t>50461ed1-c2c8-4393-967e-55d58a3e2664</t>
        </is>
      </c>
    </row>
    <row r="404">
      <c r="A404" s="23" t="inlineStr">
        <is>
          <t>Hoşgeldiniz Yazılı Yeşil Yonca Tasarımlı Kapı Paspası Koko Paspas Dış Kapı Paspası Kıl Paspas</t>
        </is>
      </c>
      <c r="B404" s="24" t="inlineStr">
        <is>
          <t>117280223</t>
        </is>
      </c>
      <c r="C404" s="25" t="inlineStr">
        <is>
          <t>ST28-4060</t>
        </is>
      </c>
      <c r="D404" s="26" t="inlineStr">
        <is>
          <t>KOKO--40x60--ST28</t>
        </is>
      </c>
      <c r="E404" s="27" t="inlineStr">
        <is>
          <t>40 x 60</t>
        </is>
      </c>
      <c r="F404" s="28" t="inlineStr">
        <is>
          <t>ST28</t>
        </is>
      </c>
      <c r="G404" s="29" t="inlineStr">
        <is>
          <t>Kapı Önü Paspası</t>
        </is>
      </c>
      <c r="H404" s="30" t="inlineStr">
        <is>
          <t>Paspas Yap</t>
        </is>
      </c>
      <c r="I404" s="31" t="n">
        <v>90.0</v>
      </c>
      <c r="J404" s="32" t="n">
        <v>988.0</v>
      </c>
      <c r="K404" s="33" t="n">
        <v>988.0</v>
      </c>
      <c r="L404" s="34" t="n">
        <v>22.0</v>
      </c>
      <c r="M404" s="35" t="n">
        <v>652.82</v>
      </c>
      <c r="N404" s="36" t="inlineStr">
        <is>
          <t>25 Ağustos 08.00-1 Eylül 07.59</t>
        </is>
      </c>
      <c r="O404" s="37" t="n">
        <v>16.0</v>
      </c>
      <c r="P404" s="38" t="n">
        <v>988.0</v>
      </c>
      <c r="Q404" s="39"/>
      <c r="R404" s="40" t="n">
        <f>=IF(AND(ISBLANK(Q404), ISBLANK(U404)), "", "7 Günlük Fiyat")</f>
        <v>0.0</v>
      </c>
      <c r="S404" s="41" t="n">
        <f>=IF(OR(Q404="", R404=""), "-", IF(ISNUMBER(SEARCH("7 Günlük", R404)), IF(Q404&lt;=M404, O404, "-"), "-"))</f>
        <v>0.0</v>
      </c>
      <c r="T404" s="42" t="str">
        <f>=IF(ISBLANK(Q404), "", "Hayır")</f>
      </c>
      <c r="U404" s="43"/>
      <c r="V404" s="44" t="inlineStr">
        <is>
          <t>50461ed1-c2c8-4393-967e-55d58a3e2664</t>
        </is>
      </c>
    </row>
    <row r="405">
      <c r="A405" s="23" t="inlineStr">
        <is>
          <t>Hoşgeldiniz Yazılı Yeşil Yonca Tasarımlı Kapı Paspası Koko Paspas Dış Kapı Paspası Kıl Paspas</t>
        </is>
      </c>
      <c r="B405" s="24" t="inlineStr">
        <is>
          <t>117280223</t>
        </is>
      </c>
      <c r="C405" s="25" t="inlineStr">
        <is>
          <t>ST28-4070</t>
        </is>
      </c>
      <c r="D405" s="26" t="inlineStr">
        <is>
          <t>KOKO--40x70--ST28</t>
        </is>
      </c>
      <c r="E405" s="27" t="inlineStr">
        <is>
          <t>40 x 70</t>
        </is>
      </c>
      <c r="F405" s="28" t="inlineStr">
        <is>
          <t>ST28</t>
        </is>
      </c>
      <c r="G405" s="29" t="inlineStr">
        <is>
          <t>Kapı Önü Paspası</t>
        </is>
      </c>
      <c r="H405" s="30" t="inlineStr">
        <is>
          <t>Paspas Yap</t>
        </is>
      </c>
      <c r="I405" s="31" t="n">
        <v>88.0</v>
      </c>
      <c r="J405" s="32" t="n">
        <v>1506.0</v>
      </c>
      <c r="K405" s="33" t="n">
        <v>1027.99</v>
      </c>
      <c r="L405" s="34" t="n">
        <v>22.0</v>
      </c>
      <c r="M405" s="35" t="n">
        <v>694.43</v>
      </c>
      <c r="N405" s="36" t="inlineStr">
        <is>
          <t>25 Ağustos 08.00-1 Eylül 07.59</t>
        </is>
      </c>
      <c r="O405" s="37" t="n">
        <v>11.3</v>
      </c>
      <c r="P405" s="38" t="n">
        <v>1027.99</v>
      </c>
      <c r="Q405" s="39"/>
      <c r="R405" s="40" t="n">
        <f>=IF(AND(ISBLANK(Q405), ISBLANK(U405)), "", "7 Günlük Fiyat")</f>
        <v>0.0</v>
      </c>
      <c r="S405" s="41" t="n">
        <f>=IF(OR(Q405="", R405=""), "-", IF(ISNUMBER(SEARCH("7 Günlük", R405)), IF(Q405&lt;=M405, O405, "-"), "-"))</f>
        <v>0.0</v>
      </c>
      <c r="T405" s="42" t="str">
        <f>=IF(ISBLANK(Q405), "", "Hayır")</f>
      </c>
      <c r="U405" s="43"/>
      <c r="V405" s="44" t="inlineStr">
        <is>
          <t>50461ed1-c2c8-4393-967e-55d58a3e2664</t>
        </is>
      </c>
    </row>
    <row r="406">
      <c r="A406" s="23" t="inlineStr">
        <is>
          <t>Toz Ve Nem Alıcı Paspas Iş Yeri Paspası Iç Ve Dış Mekan Paspası Giriş Paspası Kapı Paspası</t>
        </is>
      </c>
      <c r="B406" s="24" t="inlineStr">
        <is>
          <t>780287237</t>
        </is>
      </c>
      <c r="C406" s="25" t="inlineStr">
        <is>
          <t>TOZKONTROL-IYP2-RAMPASIZ-SIYAH-801050</t>
        </is>
      </c>
      <c r="D406" s="26" t="inlineStr">
        <is>
          <t>TOZKONTROL-IYP2-RAMPASIZ-SIYAH-801050</t>
        </is>
      </c>
      <c r="E406" s="27" t="inlineStr">
        <is>
          <t>80 x 1050</t>
        </is>
      </c>
      <c r="F406" s="28" t="inlineStr">
        <is>
          <t>TOZKONTROL-IYP2-RAMPASIZ</t>
        </is>
      </c>
      <c r="G406" s="29" t="inlineStr">
        <is>
          <t>Kapı Önü Paspası</t>
        </is>
      </c>
      <c r="H406" s="30" t="inlineStr">
        <is>
          <t>Paspas Yap</t>
        </is>
      </c>
      <c r="I406" s="31" t="n">
        <v>93.0</v>
      </c>
      <c r="J406" s="32" t="n">
        <v>11436.0</v>
      </c>
      <c r="K406" s="33" t="n">
        <v>10054.28</v>
      </c>
      <c r="L406" s="34" t="n">
        <v>22.0</v>
      </c>
      <c r="M406" s="35" t="n">
        <v>6600.33</v>
      </c>
      <c r="N406" s="36" t="inlineStr">
        <is>
          <t>25 Ağustos 08.00-1 Eylül 07.59</t>
        </is>
      </c>
      <c r="O406" s="37" t="n">
        <v>14.0</v>
      </c>
      <c r="P406" s="38" t="n">
        <v>10054.28</v>
      </c>
      <c r="Q406" s="39"/>
      <c r="R406" s="40" t="n">
        <f>=IF(AND(ISBLANK(Q406), ISBLANK(U406)), "", "7 Günlük Fiyat")</f>
        <v>0.0</v>
      </c>
      <c r="S406" s="41" t="n">
        <f>=IF(OR(Q406="", R406=""), "-", IF(ISNUMBER(SEARCH("7 Günlük", R406)), IF(Q406&lt;=M406, O406, "-"), "-"))</f>
        <v>0.0</v>
      </c>
      <c r="T406" s="42" t="str">
        <f>=IF(ISBLANK(Q406), "", "Hayır")</f>
      </c>
      <c r="U406" s="43"/>
      <c r="V406" s="44" t="inlineStr">
        <is>
          <t>50461ed1-c2c8-4393-967e-55d58a3e2664</t>
        </is>
      </c>
    </row>
    <row r="407">
      <c r="A407" s="23" t="inlineStr">
        <is>
          <t>Toz Ve Nem Alıcı Paspas Iş Yeri Paspası Iç Ve Dış Mekan Paspası Giriş Paspası Kapı Paspası</t>
        </is>
      </c>
      <c r="B407" s="24" t="inlineStr">
        <is>
          <t>780287237</t>
        </is>
      </c>
      <c r="C407" s="25" t="inlineStr">
        <is>
          <t>TOZKONTROL-IYP2-RAMPASIZ-SIYAH-100950</t>
        </is>
      </c>
      <c r="D407" s="26" t="inlineStr">
        <is>
          <t>TOZKONTROL-IYP2-RAMPASIZ-SIYAH-100950</t>
        </is>
      </c>
      <c r="E407" s="27" t="inlineStr">
        <is>
          <t>100 x 950</t>
        </is>
      </c>
      <c r="F407" s="28" t="inlineStr">
        <is>
          <t>TOZKONTROL-IYP2-RAMPASIZ</t>
        </is>
      </c>
      <c r="G407" s="29" t="inlineStr">
        <is>
          <t>Kapı Önü Paspası</t>
        </is>
      </c>
      <c r="H407" s="30" t="inlineStr">
        <is>
          <t>Paspas Yap</t>
        </is>
      </c>
      <c r="I407" s="31" t="n">
        <v>93.0</v>
      </c>
      <c r="J407" s="32" t="n">
        <v>13053.0</v>
      </c>
      <c r="K407" s="33" t="n">
        <v>10087.17</v>
      </c>
      <c r="L407" s="34" t="n">
        <v>22.0</v>
      </c>
      <c r="M407" s="35" t="n">
        <v>6874.81</v>
      </c>
      <c r="N407" s="36" t="inlineStr">
        <is>
          <t>25 Ağustos 08.00-1 Eylül 07.59</t>
        </is>
      </c>
      <c r="O407" s="37" t="n">
        <v>13.4</v>
      </c>
      <c r="P407" s="38" t="n">
        <v>10087.17</v>
      </c>
      <c r="Q407" s="39"/>
      <c r="R407" s="40" t="n">
        <f>=IF(AND(ISBLANK(Q407), ISBLANK(U407)), "", "7 Günlük Fiyat")</f>
        <v>0.0</v>
      </c>
      <c r="S407" s="41" t="n">
        <f>=IF(OR(Q407="", R407=""), "-", IF(ISNUMBER(SEARCH("7 Günlük", R407)), IF(Q407&lt;=M407, O407, "-"), "-"))</f>
        <v>0.0</v>
      </c>
      <c r="T407" s="42" t="str">
        <f>=IF(ISBLANK(Q407), "", "Hayır")</f>
      </c>
      <c r="U407" s="43"/>
      <c r="V407" s="44" t="inlineStr">
        <is>
          <t>50461ed1-c2c8-4393-967e-55d58a3e2664</t>
        </is>
      </c>
    </row>
    <row r="408">
      <c r="A408" s="23" t="inlineStr">
        <is>
          <t>Toz Ve Nem Alıcı Paspas Iş Yeri Paspası Iç Ve Dış Mekan Paspası Giriş Paspası Kapı Paspası</t>
        </is>
      </c>
      <c r="B408" s="24" t="inlineStr">
        <is>
          <t>780287237</t>
        </is>
      </c>
      <c r="C408" s="25" t="inlineStr">
        <is>
          <t>TOZKONTROL-IYP2-RAMPASIZ-SIYAH-120900</t>
        </is>
      </c>
      <c r="D408" s="26" t="inlineStr">
        <is>
          <t>TOZKONTROL-IYP2-RAMPASIZ-SIYAH-120900</t>
        </is>
      </c>
      <c r="E408" s="27" t="inlineStr">
        <is>
          <t>120 x 900</t>
        </is>
      </c>
      <c r="F408" s="28" t="inlineStr">
        <is>
          <t>TOZKONTROL-IYP2-RAMPASIZ</t>
        </is>
      </c>
      <c r="G408" s="29" t="inlineStr">
        <is>
          <t>Kapı Önü Paspası</t>
        </is>
      </c>
      <c r="H408" s="30" t="inlineStr">
        <is>
          <t>Paspas Yap</t>
        </is>
      </c>
      <c r="I408" s="31" t="n">
        <v>93.0</v>
      </c>
      <c r="J408" s="32" t="n">
        <v>14949.0</v>
      </c>
      <c r="K408" s="33" t="n">
        <v>13116.88</v>
      </c>
      <c r="L408" s="34" t="n">
        <v>22.0</v>
      </c>
      <c r="M408" s="35" t="n">
        <v>8621.14</v>
      </c>
      <c r="N408" s="36" t="inlineStr">
        <is>
          <t>25 Ağustos 08.00-1 Eylül 07.59</t>
        </is>
      </c>
      <c r="O408" s="37" t="n">
        <v>14.1</v>
      </c>
      <c r="P408" s="38" t="n">
        <v>13116.88</v>
      </c>
      <c r="Q408" s="39"/>
      <c r="R408" s="40" t="n">
        <f>=IF(AND(ISBLANK(Q408), ISBLANK(U408)), "", "7 Günlük Fiyat")</f>
        <v>0.0</v>
      </c>
      <c r="S408" s="41" t="n">
        <f>=IF(OR(Q408="", R408=""), "-", IF(ISNUMBER(SEARCH("7 Günlük", R408)), IF(Q408&lt;=M408, O408, "-"), "-"))</f>
        <v>0.0</v>
      </c>
      <c r="T408" s="42" t="str">
        <f>=IF(ISBLANK(Q408), "", "Hayır")</f>
      </c>
      <c r="U408" s="43"/>
      <c r="V408" s="44" t="inlineStr">
        <is>
          <t>50461ed1-c2c8-4393-967e-55d58a3e2664</t>
        </is>
      </c>
    </row>
    <row r="409">
      <c r="A409" s="23" t="inlineStr">
        <is>
          <t>Toz Ve Nem Alıcı Paspas Iş Yeri Paspası Iç Ve Dış Mekan Paspası Giriş Paspası Kapı Paspası</t>
        </is>
      </c>
      <c r="B409" s="24" t="inlineStr">
        <is>
          <t>780287237</t>
        </is>
      </c>
      <c r="C409" s="25" t="inlineStr">
        <is>
          <t>TOZKONTROL-IYP2-RAMPASIZ-SIYAH-80800</t>
        </is>
      </c>
      <c r="D409" s="26" t="inlineStr">
        <is>
          <t>TOZKONTROL-IYP2-RAMPASIZ-SIYAH-80800</t>
        </is>
      </c>
      <c r="E409" s="27" t="inlineStr">
        <is>
          <t>80 x 800</t>
        </is>
      </c>
      <c r="F409" s="28" t="inlineStr">
        <is>
          <t>TOZKONTROL-IYP2-RAMPASIZ</t>
        </is>
      </c>
      <c r="G409" s="29" t="inlineStr">
        <is>
          <t>Kapı Önü Paspası</t>
        </is>
      </c>
      <c r="H409" s="30" t="inlineStr">
        <is>
          <t>Paspas Yap</t>
        </is>
      </c>
      <c r="I409" s="31" t="n">
        <v>93.0</v>
      </c>
      <c r="J409" s="32" t="n">
        <v>8696.0</v>
      </c>
      <c r="K409" s="33" t="n">
        <v>6763.53</v>
      </c>
      <c r="L409" s="34" t="n">
        <v>22.0</v>
      </c>
      <c r="M409" s="35" t="n">
        <v>4625.61</v>
      </c>
      <c r="N409" s="36" t="inlineStr">
        <is>
          <t>25 Ağustos 08.00-1 Eylül 07.59</t>
        </is>
      </c>
      <c r="O409" s="37" t="n">
        <v>13.6</v>
      </c>
      <c r="P409" s="38" t="n">
        <v>6763.53</v>
      </c>
      <c r="Q409" s="39"/>
      <c r="R409" s="40" t="n">
        <f>=IF(AND(ISBLANK(Q409), ISBLANK(U409)), "", "7 Günlük Fiyat")</f>
        <v>0.0</v>
      </c>
      <c r="S409" s="41" t="n">
        <f>=IF(OR(Q409="", R409=""), "-", IF(ISNUMBER(SEARCH("7 Günlük", R409)), IF(Q409&lt;=M409, O409, "-"), "-"))</f>
        <v>0.0</v>
      </c>
      <c r="T409" s="42" t="str">
        <f>=IF(ISBLANK(Q409), "", "Hayır")</f>
      </c>
      <c r="U409" s="43"/>
      <c r="V409" s="44" t="inlineStr">
        <is>
          <t>50461ed1-c2c8-4393-967e-55d58a3e2664</t>
        </is>
      </c>
    </row>
    <row r="410">
      <c r="A410" s="23" t="inlineStr">
        <is>
          <t>Toz Ve Nem Alıcı Paspas Iş Yeri Paspası Iç Ve Dış Mekan Paspası Giriş Paspası Kapı Paspası</t>
        </is>
      </c>
      <c r="B410" s="24" t="inlineStr">
        <is>
          <t>780287237</t>
        </is>
      </c>
      <c r="C410" s="25" t="inlineStr">
        <is>
          <t>TOZKONTROL-IYP2-RAMPASIZ-SIYAH-120350</t>
        </is>
      </c>
      <c r="D410" s="26" t="inlineStr">
        <is>
          <t>TOZKONTROL-IYP2-RAMPASIZ-SIYAH-120350</t>
        </is>
      </c>
      <c r="E410" s="27" t="inlineStr">
        <is>
          <t>120 x 350</t>
        </is>
      </c>
      <c r="F410" s="28" t="inlineStr">
        <is>
          <t>TOZKONTROL-IYP2-RAMPASIZ</t>
        </is>
      </c>
      <c r="G410" s="29" t="inlineStr">
        <is>
          <t>Kapı Önü Paspası</t>
        </is>
      </c>
      <c r="H410" s="30" t="inlineStr">
        <is>
          <t>Paspas Yap</t>
        </is>
      </c>
      <c r="I410" s="31" t="n">
        <v>93.0</v>
      </c>
      <c r="J410" s="32" t="n">
        <v>5762.0</v>
      </c>
      <c r="K410" s="33" t="n">
        <v>4463.13</v>
      </c>
      <c r="L410" s="34" t="n">
        <v>22.0</v>
      </c>
      <c r="M410" s="35" t="n">
        <v>3064.65</v>
      </c>
      <c r="N410" s="36" t="inlineStr">
        <is>
          <t>25 Ağustos 08.00-1 Eylül 07.59</t>
        </is>
      </c>
      <c r="O410" s="37" t="n">
        <v>13.6</v>
      </c>
      <c r="P410" s="38" t="n">
        <v>4463.13</v>
      </c>
      <c r="Q410" s="39"/>
      <c r="R410" s="40" t="n">
        <f>=IF(AND(ISBLANK(Q410), ISBLANK(U410)), "", "7 Günlük Fiyat")</f>
        <v>0.0</v>
      </c>
      <c r="S410" s="41" t="n">
        <f>=IF(OR(Q410="", R410=""), "-", IF(ISNUMBER(SEARCH("7 Günlük", R410)), IF(Q410&lt;=M410, O410, "-"), "-"))</f>
        <v>0.0</v>
      </c>
      <c r="T410" s="42" t="str">
        <f>=IF(ISBLANK(Q410), "", "Hayır")</f>
      </c>
      <c r="U410" s="43"/>
      <c r="V410" s="44" t="inlineStr">
        <is>
          <t>50461ed1-c2c8-4393-967e-55d58a3e2664</t>
        </is>
      </c>
    </row>
    <row r="411">
      <c r="A411" s="23" t="inlineStr">
        <is>
          <t>Toz Ve Nem Alıcı Paspas Iş Yeri Paspası Iç Ve Dış Mekan Paspası Giriş Paspası Kapı Paspası</t>
        </is>
      </c>
      <c r="B411" s="24" t="inlineStr">
        <is>
          <t>780287237</t>
        </is>
      </c>
      <c r="C411" s="25" t="inlineStr">
        <is>
          <t>TOZKONTROL-IYP2-RAMPASIZ-SIYAH-100x700</t>
        </is>
      </c>
      <c r="D411" s="26" t="inlineStr">
        <is>
          <t>TOZKONTROL-IYP2-RAMPASIZ-SIYAH-100x700</t>
        </is>
      </c>
      <c r="E411" s="27" t="inlineStr">
        <is>
          <t>100 x 700</t>
        </is>
      </c>
      <c r="F411" s="28" t="inlineStr">
        <is>
          <t>TOZKONTROL-IYP2-RAMPASIZ</t>
        </is>
      </c>
      <c r="G411" s="29" t="inlineStr">
        <is>
          <t>Kapı Önü Paspası</t>
        </is>
      </c>
      <c r="H411" s="30" t="inlineStr">
        <is>
          <t>Paspas Yap</t>
        </is>
      </c>
      <c r="I411" s="31" t="n">
        <v>93.0</v>
      </c>
      <c r="J411" s="32" t="n">
        <v>9510.0</v>
      </c>
      <c r="K411" s="33" t="n">
        <v>7451.31</v>
      </c>
      <c r="L411" s="34" t="n">
        <v>22.0</v>
      </c>
      <c r="M411" s="35" t="n">
        <v>5099.85</v>
      </c>
      <c r="N411" s="36" t="inlineStr">
        <is>
          <t>25 Ağustos 08.00-1 Eylül 07.59</t>
        </is>
      </c>
      <c r="O411" s="37" t="n">
        <v>13.6</v>
      </c>
      <c r="P411" s="38" t="n">
        <v>7451.31</v>
      </c>
      <c r="Q411" s="39"/>
      <c r="R411" s="40" t="n">
        <f>=IF(AND(ISBLANK(Q411), ISBLANK(U411)), "", "7 Günlük Fiyat")</f>
        <v>0.0</v>
      </c>
      <c r="S411" s="41" t="n">
        <f>=IF(OR(Q411="", R411=""), "-", IF(ISNUMBER(SEARCH("7 Günlük", R411)), IF(Q411&lt;=M411, O411, "-"), "-"))</f>
        <v>0.0</v>
      </c>
      <c r="T411" s="42" t="str">
        <f>=IF(ISBLANK(Q411), "", "Hayır")</f>
      </c>
      <c r="U411" s="43"/>
      <c r="V411" s="44" t="inlineStr">
        <is>
          <t>50461ed1-c2c8-4393-967e-55d58a3e2664</t>
        </is>
      </c>
    </row>
    <row r="412">
      <c r="A412" s="23" t="inlineStr">
        <is>
          <t>Toz Ve Nem Alıcı Paspas Iş Yeri Paspası Iç Ve Dış Mekan Paspası Giriş Paspası Kapı Paspası</t>
        </is>
      </c>
      <c r="B412" s="24" t="inlineStr">
        <is>
          <t>780287237</t>
        </is>
      </c>
      <c r="C412" s="25" t="inlineStr">
        <is>
          <t>TOZKONTROL-IYP2-RAMPASIZ-SIYAH-120800</t>
        </is>
      </c>
      <c r="D412" s="26" t="inlineStr">
        <is>
          <t>TOZKONTROL-IYP2-RAMPASIZ-SIYAH-120800</t>
        </is>
      </c>
      <c r="E412" s="27" t="inlineStr">
        <is>
          <t>120 x 800</t>
        </is>
      </c>
      <c r="F412" s="28" t="inlineStr">
        <is>
          <t>TOZKONTROL-IYP2-RAMPASIZ</t>
        </is>
      </c>
      <c r="G412" s="29" t="inlineStr">
        <is>
          <t>Kapı Önü Paspası</t>
        </is>
      </c>
      <c r="H412" s="30" t="inlineStr">
        <is>
          <t>Paspas Yap</t>
        </is>
      </c>
      <c r="I412" s="31" t="n">
        <v>93.0</v>
      </c>
      <c r="J412" s="32" t="n">
        <v>13163.0</v>
      </c>
      <c r="K412" s="33" t="n">
        <v>11587.2</v>
      </c>
      <c r="L412" s="34" t="n">
        <v>22.0</v>
      </c>
      <c r="M412" s="35" t="n">
        <v>7789.51</v>
      </c>
      <c r="N412" s="36" t="inlineStr">
        <is>
          <t>25 Ağustos 08.00-1 Eylül 07.59</t>
        </is>
      </c>
      <c r="O412" s="37" t="n">
        <v>14.4</v>
      </c>
      <c r="P412" s="38" t="n">
        <v>11587.2</v>
      </c>
      <c r="Q412" s="39"/>
      <c r="R412" s="40" t="n">
        <f>=IF(AND(ISBLANK(Q412), ISBLANK(U412)), "", "7 Günlük Fiyat")</f>
        <v>0.0</v>
      </c>
      <c r="S412" s="41" t="n">
        <f>=IF(OR(Q412="", R412=""), "-", IF(ISNUMBER(SEARCH("7 Günlük", R412)), IF(Q412&lt;=M412, O412, "-"), "-"))</f>
        <v>0.0</v>
      </c>
      <c r="T412" s="42" t="str">
        <f>=IF(ISBLANK(Q412), "", "Hayır")</f>
      </c>
      <c r="U412" s="43"/>
      <c r="V412" s="44" t="inlineStr">
        <is>
          <t>50461ed1-c2c8-4393-967e-55d58a3e2664</t>
        </is>
      </c>
    </row>
    <row r="413">
      <c r="A413" s="23" t="inlineStr">
        <is>
          <t>Toz Ve Nem Alıcı Paspas Iş Yeri Paspası Iç Ve Dış Mekan Paspası Giriş Paspası Kapı Paspası</t>
        </is>
      </c>
      <c r="B413" s="24" t="inlineStr">
        <is>
          <t>780287237</t>
        </is>
      </c>
      <c r="C413" s="25" t="inlineStr">
        <is>
          <t>TOZKONTROL-IYP2-RAMPASIZ-SIYAH-80300</t>
        </is>
      </c>
      <c r="D413" s="26" t="inlineStr">
        <is>
          <t>TOZKONTROL-IYP2-RAMPASIZ-SIYAH-80300</t>
        </is>
      </c>
      <c r="E413" s="27" t="inlineStr">
        <is>
          <t>80 x 300</t>
        </is>
      </c>
      <c r="F413" s="28" t="inlineStr">
        <is>
          <t>TOZKONTROL-IYP2-RAMPASIZ</t>
        </is>
      </c>
      <c r="G413" s="29" t="inlineStr">
        <is>
          <t>Kapı Önü Paspası</t>
        </is>
      </c>
      <c r="H413" s="30" t="inlineStr">
        <is>
          <t>Paspas Yap</t>
        </is>
      </c>
      <c r="I413" s="31" t="n">
        <v>93.0</v>
      </c>
      <c r="J413" s="32" t="n">
        <v>3449.0</v>
      </c>
      <c r="K413" s="33" t="n">
        <v>2986.63</v>
      </c>
      <c r="L413" s="34" t="n">
        <v>22.0</v>
      </c>
      <c r="M413" s="35" t="n">
        <v>2042.1</v>
      </c>
      <c r="N413" s="36" t="inlineStr">
        <is>
          <t>25 Ağustos 08.00-1 Eylül 07.59</t>
        </is>
      </c>
      <c r="O413" s="37" t="n">
        <v>14.5</v>
      </c>
      <c r="P413" s="38" t="n">
        <v>2986.63</v>
      </c>
      <c r="Q413" s="39"/>
      <c r="R413" s="40" t="n">
        <f>=IF(AND(ISBLANK(Q413), ISBLANK(U413)), "", "7 Günlük Fiyat")</f>
        <v>0.0</v>
      </c>
      <c r="S413" s="41" t="n">
        <f>=IF(OR(Q413="", R413=""), "-", IF(ISNUMBER(SEARCH("7 Günlük", R413)), IF(Q413&lt;=M413, O413, "-"), "-"))</f>
        <v>0.0</v>
      </c>
      <c r="T413" s="42" t="str">
        <f>=IF(ISBLANK(Q413), "", "Hayır")</f>
      </c>
      <c r="U413" s="43"/>
      <c r="V413" s="44" t="inlineStr">
        <is>
          <t>50461ed1-c2c8-4393-967e-55d58a3e2664</t>
        </is>
      </c>
    </row>
    <row r="414">
      <c r="A414" s="23" t="inlineStr">
        <is>
          <t>Toz Ve Nem Alıcı Paspas Iş Yeri Paspası Iç Ve Dış Mekan Paspası Giriş Paspası Kapı Paspası</t>
        </is>
      </c>
      <c r="B414" s="24" t="inlineStr">
        <is>
          <t>780287237</t>
        </is>
      </c>
      <c r="C414" s="25" t="inlineStr">
        <is>
          <t>TOZKONTROL-IYP2-RAMPASIZ-SIYAH-50120</t>
        </is>
      </c>
      <c r="D414" s="26" t="inlineStr">
        <is>
          <t>TOZKONTROL-IYP2-RAMPASIZ-SIYAH-50120</t>
        </is>
      </c>
      <c r="E414" s="27" t="inlineStr">
        <is>
          <t>50 x 120</t>
        </is>
      </c>
      <c r="F414" s="28" t="inlineStr">
        <is>
          <t>TOZKONTROL-IYP2-RAMPASIZ</t>
        </is>
      </c>
      <c r="G414" s="29" t="inlineStr">
        <is>
          <t>Kapı Önü Paspası</t>
        </is>
      </c>
      <c r="H414" s="30" t="inlineStr">
        <is>
          <t>Paspas Yap</t>
        </is>
      </c>
      <c r="I414" s="31" t="n">
        <v>93.0</v>
      </c>
      <c r="J414" s="32" t="n">
        <v>1095.0</v>
      </c>
      <c r="K414" s="33" t="n">
        <v>919.54</v>
      </c>
      <c r="L414" s="34" t="n">
        <v>22.0</v>
      </c>
      <c r="M414" s="35" t="n">
        <v>710.2</v>
      </c>
      <c r="N414" s="36" t="inlineStr">
        <is>
          <t>25 Ağustos 08.00-1 Eylül 07.59</t>
        </is>
      </c>
      <c r="O414" s="37" t="n">
        <v>16.1</v>
      </c>
      <c r="P414" s="38" t="n">
        <v>919.54</v>
      </c>
      <c r="Q414" s="39"/>
      <c r="R414" s="40" t="n">
        <f>=IF(AND(ISBLANK(Q414), ISBLANK(U414)), "", "7 Günlük Fiyat")</f>
        <v>0.0</v>
      </c>
      <c r="S414" s="41" t="n">
        <f>=IF(OR(Q414="", R414=""), "-", IF(ISNUMBER(SEARCH("7 Günlük", R414)), IF(Q414&lt;=M414, O414, "-"), "-"))</f>
        <v>0.0</v>
      </c>
      <c r="T414" s="42" t="str">
        <f>=IF(ISBLANK(Q414), "", "Hayır")</f>
      </c>
      <c r="U414" s="43"/>
      <c r="V414" s="44" t="inlineStr">
        <is>
          <t>50461ed1-c2c8-4393-967e-55d58a3e2664</t>
        </is>
      </c>
    </row>
    <row r="415">
      <c r="A415" s="23" t="inlineStr">
        <is>
          <t>Toz Ve Nem Alıcı Paspas Iş Yeri Paspası Iç Ve Dış Mekan Paspası Giriş Paspası Kapı Paspası</t>
        </is>
      </c>
      <c r="B415" s="24" t="inlineStr">
        <is>
          <t>780287237</t>
        </is>
      </c>
      <c r="C415" s="25" t="inlineStr">
        <is>
          <t>TOZKONTROL-IYP2-RAMPASIZ-SIYAH-100850</t>
        </is>
      </c>
      <c r="D415" s="26" t="inlineStr">
        <is>
          <t>TOZKONTROL-IYP2-RAMPASIZ-SIYAH-100850</t>
        </is>
      </c>
      <c r="E415" s="27" t="inlineStr">
        <is>
          <t>100 x 850</t>
        </is>
      </c>
      <c r="F415" s="28" t="inlineStr">
        <is>
          <t>TOZKONTROL-IYP2-RAMPASIZ</t>
        </is>
      </c>
      <c r="G415" s="29" t="inlineStr">
        <is>
          <t>Kapı Önü Paspası</t>
        </is>
      </c>
      <c r="H415" s="30" t="inlineStr">
        <is>
          <t>Paspas Yap</t>
        </is>
      </c>
      <c r="I415" s="31" t="n">
        <v>93.0</v>
      </c>
      <c r="J415" s="32" t="n">
        <v>11546.0</v>
      </c>
      <c r="K415" s="33" t="n">
        <v>10171.07</v>
      </c>
      <c r="L415" s="34" t="n">
        <v>22.0</v>
      </c>
      <c r="M415" s="35" t="n">
        <v>6768.43</v>
      </c>
      <c r="N415" s="36" t="inlineStr">
        <is>
          <t>25 Ağustos 08.00-1 Eylül 07.59</t>
        </is>
      </c>
      <c r="O415" s="37" t="n">
        <v>14.3</v>
      </c>
      <c r="P415" s="38" t="n">
        <v>10171.07</v>
      </c>
      <c r="Q415" s="39"/>
      <c r="R415" s="40" t="n">
        <f>=IF(AND(ISBLANK(Q415), ISBLANK(U415)), "", "7 Günlük Fiyat")</f>
        <v>0.0</v>
      </c>
      <c r="S415" s="41" t="n">
        <f>=IF(OR(Q415="", R415=""), "-", IF(ISNUMBER(SEARCH("7 Günlük", R415)), IF(Q415&lt;=M415, O415, "-"), "-"))</f>
        <v>0.0</v>
      </c>
      <c r="T415" s="42" t="str">
        <f>=IF(ISBLANK(Q415), "", "Hayır")</f>
      </c>
      <c r="U415" s="43"/>
      <c r="V415" s="44" t="inlineStr">
        <is>
          <t>50461ed1-c2c8-4393-967e-55d58a3e2664</t>
        </is>
      </c>
    </row>
    <row r="416">
      <c r="A416" s="23" t="inlineStr">
        <is>
          <t>Toz Ve Nem Alıcı Paspas Iş Yeri Paspası Iç Ve Dış Mekan Paspası Giriş Paspası Kapı Paspası</t>
        </is>
      </c>
      <c r="B416" s="24" t="inlineStr">
        <is>
          <t>780287237</t>
        </is>
      </c>
      <c r="C416" s="25" t="inlineStr">
        <is>
          <t>TOZKONTROL-IYP2-RAMPASIZ-SIYAH-801450</t>
        </is>
      </c>
      <c r="D416" s="26" t="inlineStr">
        <is>
          <t>TOZKONTROL-IYP2-RAMPASIZ-SIYAH-801450</t>
        </is>
      </c>
      <c r="E416" s="27" t="inlineStr">
        <is>
          <t>80 x 1450</t>
        </is>
      </c>
      <c r="F416" s="28" t="inlineStr">
        <is>
          <t>TOZKONTROL-IYP2-RAMPASIZ</t>
        </is>
      </c>
      <c r="G416" s="29" t="inlineStr">
        <is>
          <t>Kapı Önü Paspası</t>
        </is>
      </c>
      <c r="H416" s="30" t="inlineStr">
        <is>
          <t>Paspas Yap</t>
        </is>
      </c>
      <c r="I416" s="31" t="n">
        <v>93.0</v>
      </c>
      <c r="J416" s="32" t="n">
        <v>15968.0</v>
      </c>
      <c r="K416" s="33" t="n">
        <v>12401.12</v>
      </c>
      <c r="L416" s="34" t="n">
        <v>22.0</v>
      </c>
      <c r="M416" s="35" t="n">
        <v>8525.5</v>
      </c>
      <c r="N416" s="36" t="inlineStr">
        <is>
          <t>25 Ağustos 08.00-1 Eylül 07.59</t>
        </is>
      </c>
      <c r="O416" s="37" t="n">
        <v>13.6</v>
      </c>
      <c r="P416" s="38" t="n">
        <v>12401.12</v>
      </c>
      <c r="Q416" s="39"/>
      <c r="R416" s="40" t="n">
        <f>=IF(AND(ISBLANK(Q416), ISBLANK(U416)), "", "7 Günlük Fiyat")</f>
        <v>0.0</v>
      </c>
      <c r="S416" s="41" t="n">
        <f>=IF(OR(Q416="", R416=""), "-", IF(ISNUMBER(SEARCH("7 Günlük", R416)), IF(Q416&lt;=M416, O416, "-"), "-"))</f>
        <v>0.0</v>
      </c>
      <c r="T416" s="42" t="str">
        <f>=IF(ISBLANK(Q416), "", "Hayır")</f>
      </c>
      <c r="U416" s="43"/>
      <c r="V416" s="44" t="inlineStr">
        <is>
          <t>50461ed1-c2c8-4393-967e-55d58a3e2664</t>
        </is>
      </c>
    </row>
    <row r="417">
      <c r="A417" s="23" t="inlineStr">
        <is>
          <t>Toz Ve Nem Alıcı Paspas Iş Yeri Paspası Iç Ve Dış Mekan Paspası Giriş Paspası Kapı Paspası</t>
        </is>
      </c>
      <c r="B417" s="24" t="inlineStr">
        <is>
          <t>780287237</t>
        </is>
      </c>
      <c r="C417" s="25" t="inlineStr">
        <is>
          <t>TOZKONTROL-IYP2-RAMPASIZ-SIYAH-120400</t>
        </is>
      </c>
      <c r="D417" s="26" t="inlineStr">
        <is>
          <t>TOZKONTROL-IYP2-RAMPASIZ-SIYAH-120400</t>
        </is>
      </c>
      <c r="E417" s="27" t="inlineStr">
        <is>
          <t>120 x 400</t>
        </is>
      </c>
      <c r="F417" s="28" t="inlineStr">
        <is>
          <t>TOZKONTROL-IYP2-RAMPASIZ</t>
        </is>
      </c>
      <c r="G417" s="29" t="inlineStr">
        <is>
          <t>Kapı Önü Paspası</t>
        </is>
      </c>
      <c r="H417" s="30" t="inlineStr">
        <is>
          <t>Paspas Yap</t>
        </is>
      </c>
      <c r="I417" s="31" t="n">
        <v>93.0</v>
      </c>
      <c r="J417" s="32" t="n">
        <v>6521.0</v>
      </c>
      <c r="K417" s="33" t="n">
        <v>5709.14</v>
      </c>
      <c r="L417" s="34" t="n">
        <v>22.0</v>
      </c>
      <c r="M417" s="35" t="n">
        <v>3829.15</v>
      </c>
      <c r="N417" s="36" t="inlineStr">
        <is>
          <t>25 Ağustos 08.00-1 Eylül 07.59</t>
        </is>
      </c>
      <c r="O417" s="37" t="n">
        <v>14.4</v>
      </c>
      <c r="P417" s="38" t="n">
        <v>5709.14</v>
      </c>
      <c r="Q417" s="39"/>
      <c r="R417" s="40" t="n">
        <f>=IF(AND(ISBLANK(Q417), ISBLANK(U417)), "", "7 Günlük Fiyat")</f>
        <v>0.0</v>
      </c>
      <c r="S417" s="41" t="n">
        <f>=IF(OR(Q417="", R417=""), "-", IF(ISNUMBER(SEARCH("7 Günlük", R417)), IF(Q417&lt;=M417, O417, "-"), "-"))</f>
        <v>0.0</v>
      </c>
      <c r="T417" s="42" t="str">
        <f>=IF(ISBLANK(Q417), "", "Hayır")</f>
      </c>
      <c r="U417" s="43"/>
      <c r="V417" s="44" t="inlineStr">
        <is>
          <t>50461ed1-c2c8-4393-967e-55d58a3e2664</t>
        </is>
      </c>
    </row>
    <row r="418">
      <c r="A418" s="23" t="inlineStr">
        <is>
          <t>Toz Ve Nem Alıcı Paspas Iş Yeri Paspası Iç Ve Dış Mekan Paspası Giriş Paspası Kapı Paspası</t>
        </is>
      </c>
      <c r="B418" s="24" t="inlineStr">
        <is>
          <t>780287237</t>
        </is>
      </c>
      <c r="C418" s="25" t="inlineStr">
        <is>
          <t>TOZKONTROL-IYP2-RAMPASIZ-SIYAH-120950</t>
        </is>
      </c>
      <c r="D418" s="26" t="inlineStr">
        <is>
          <t>TOZKONTROL-IYP2-RAMPASIZ-SIYAH-120950</t>
        </is>
      </c>
      <c r="E418" s="27" t="inlineStr">
        <is>
          <t>120 x 950</t>
        </is>
      </c>
      <c r="F418" s="28" t="inlineStr">
        <is>
          <t>TOZKONTROL-IYP2-RAMPASIZ</t>
        </is>
      </c>
      <c r="G418" s="29" t="inlineStr">
        <is>
          <t>Kapı Önü Paspası</t>
        </is>
      </c>
      <c r="H418" s="30" t="inlineStr">
        <is>
          <t>Paspas Yap</t>
        </is>
      </c>
      <c r="I418" s="31" t="n">
        <v>93.0</v>
      </c>
      <c r="J418" s="32" t="n">
        <v>15279.0</v>
      </c>
      <c r="K418" s="33" t="n">
        <v>13452.55</v>
      </c>
      <c r="L418" s="34" t="n">
        <v>22.0</v>
      </c>
      <c r="M418" s="35" t="n">
        <v>9582.26</v>
      </c>
      <c r="N418" s="36" t="inlineStr">
        <is>
          <t>25 Ağustos 08.00-1 Eylül 07.59</t>
        </is>
      </c>
      <c r="O418" s="37" t="n">
        <v>15.4</v>
      </c>
      <c r="P418" s="38" t="n">
        <v>13452.55</v>
      </c>
      <c r="Q418" s="39"/>
      <c r="R418" s="40" t="n">
        <f>=IF(AND(ISBLANK(Q418), ISBLANK(U418)), "", "7 Günlük Fiyat")</f>
        <v>0.0</v>
      </c>
      <c r="S418" s="41" t="n">
        <f>=IF(OR(Q418="", R418=""), "-", IF(ISNUMBER(SEARCH("7 Günlük", R418)), IF(Q418&lt;=M418, O418, "-"), "-"))</f>
        <v>0.0</v>
      </c>
      <c r="T418" s="42" t="str">
        <f>=IF(ISBLANK(Q418), "", "Hayır")</f>
      </c>
      <c r="U418" s="43"/>
      <c r="V418" s="44" t="inlineStr">
        <is>
          <t>50461ed1-c2c8-4393-967e-55d58a3e2664</t>
        </is>
      </c>
    </row>
    <row r="419">
      <c r="A419" s="23" t="inlineStr">
        <is>
          <t>Toz Ve Nem Alıcı Paspas Iş Yeri Paspası Iç Ve Dış Mekan Paspası Giriş Paspası Kapı Paspası</t>
        </is>
      </c>
      <c r="B419" s="24" t="inlineStr">
        <is>
          <t>780287237</t>
        </is>
      </c>
      <c r="C419" s="25" t="inlineStr">
        <is>
          <t>TOZKONTROL-IYP2-RAMPASIZ-SIYAH-1201050</t>
        </is>
      </c>
      <c r="D419" s="26" t="inlineStr">
        <is>
          <t>TOZKONTROL-IYP2-RAMPASIZ-SIYAH-1201050</t>
        </is>
      </c>
      <c r="E419" s="27" t="inlineStr">
        <is>
          <t>120 x 1050</t>
        </is>
      </c>
      <c r="F419" s="28" t="inlineStr">
        <is>
          <t>TOZKONTROL-IYP2-RAMPASIZ</t>
        </is>
      </c>
      <c r="G419" s="29" t="inlineStr">
        <is>
          <t>Kapı Önü Paspası</t>
        </is>
      </c>
      <c r="H419" s="30" t="inlineStr">
        <is>
          <t>Paspas Yap</t>
        </is>
      </c>
      <c r="I419" s="31" t="n">
        <v>93.0</v>
      </c>
      <c r="J419" s="32" t="n">
        <v>17576.0</v>
      </c>
      <c r="K419" s="33" t="n">
        <v>13859.5</v>
      </c>
      <c r="L419" s="34" t="n">
        <v>22.0</v>
      </c>
      <c r="M419" s="35" t="n">
        <v>9485.48</v>
      </c>
      <c r="N419" s="36" t="inlineStr">
        <is>
          <t>25 Ağustos 08.00-1 Eylül 07.59</t>
        </is>
      </c>
      <c r="O419" s="37" t="n">
        <v>13.7</v>
      </c>
      <c r="P419" s="38" t="n">
        <v>13859.5</v>
      </c>
      <c r="Q419" s="39"/>
      <c r="R419" s="40" t="n">
        <f>=IF(AND(ISBLANK(Q419), ISBLANK(U419)), "", "7 Günlük Fiyat")</f>
        <v>0.0</v>
      </c>
      <c r="S419" s="41" t="n">
        <f>=IF(OR(Q419="", R419=""), "-", IF(ISNUMBER(SEARCH("7 Günlük", R419)), IF(Q419&lt;=M419, O419, "-"), "-"))</f>
        <v>0.0</v>
      </c>
      <c r="T419" s="42" t="str">
        <f>=IF(ISBLANK(Q419), "", "Hayır")</f>
      </c>
      <c r="U419" s="43"/>
      <c r="V419" s="44" t="inlineStr">
        <is>
          <t>50461ed1-c2c8-4393-967e-55d58a3e2664</t>
        </is>
      </c>
    </row>
    <row r="420">
      <c r="A420" s="23" t="inlineStr">
        <is>
          <t>Toz Ve Nem Alıcı Paspas Iş Yeri Paspası Iç Ve Dış Mekan Paspası Giriş Paspası Kapı Paspası</t>
        </is>
      </c>
      <c r="B420" s="24" t="inlineStr">
        <is>
          <t>780287237</t>
        </is>
      </c>
      <c r="C420" s="25" t="inlineStr">
        <is>
          <t>TOZKONTROL-IYP2-RAMPASIZ-SIYAH-801500</t>
        </is>
      </c>
      <c r="D420" s="26" t="inlineStr">
        <is>
          <t>TOZKONTROL-IYP2-RAMPASIZ-SIYAH-801500</t>
        </is>
      </c>
      <c r="E420" s="27" t="inlineStr">
        <is>
          <t>80 x 1500</t>
        </is>
      </c>
      <c r="F420" s="28" t="inlineStr">
        <is>
          <t>TOZKONTROL-IYP2-RAMPASIZ</t>
        </is>
      </c>
      <c r="G420" s="29" t="inlineStr">
        <is>
          <t>Kapı Önü Paspası</t>
        </is>
      </c>
      <c r="H420" s="30" t="inlineStr">
        <is>
          <t>Paspas Yap</t>
        </is>
      </c>
      <c r="I420" s="31" t="n">
        <v>93.0</v>
      </c>
      <c r="J420" s="32" t="n">
        <v>16510.0</v>
      </c>
      <c r="K420" s="33" t="n">
        <v>13047.54</v>
      </c>
      <c r="L420" s="34" t="n">
        <v>22.0</v>
      </c>
      <c r="M420" s="35" t="n">
        <v>8913.78</v>
      </c>
      <c r="N420" s="36" t="inlineStr">
        <is>
          <t>25 Ağustos 08.00-1 Eylül 07.59</t>
        </is>
      </c>
      <c r="O420" s="37" t="n">
        <v>13.6</v>
      </c>
      <c r="P420" s="38" t="n">
        <v>13047.54</v>
      </c>
      <c r="Q420" s="39"/>
      <c r="R420" s="40" t="n">
        <f>=IF(AND(ISBLANK(Q420), ISBLANK(U420)), "", "7 Günlük Fiyat")</f>
        <v>0.0</v>
      </c>
      <c r="S420" s="41" t="n">
        <f>=IF(OR(Q420="", R420=""), "-", IF(ISNUMBER(SEARCH("7 Günlük", R420)), IF(Q420&lt;=M420, O420, "-"), "-"))</f>
        <v>0.0</v>
      </c>
      <c r="T420" s="42" t="str">
        <f>=IF(ISBLANK(Q420), "", "Hayır")</f>
      </c>
      <c r="U420" s="43"/>
      <c r="V420" s="44" t="inlineStr">
        <is>
          <t>50461ed1-c2c8-4393-967e-55d58a3e2664</t>
        </is>
      </c>
    </row>
    <row r="421">
      <c r="A421" s="23" t="inlineStr">
        <is>
          <t>Toz Ve Nem Alıcı Paspas Iş Yeri Paspası Iç Ve Dış Mekan Paspası Giriş Paspası Kapı Paspası</t>
        </is>
      </c>
      <c r="B421" s="24" t="inlineStr">
        <is>
          <t>780287237</t>
        </is>
      </c>
      <c r="C421" s="25" t="inlineStr">
        <is>
          <t>TOZKONTROL-IYP2-RAMPASIZ-SIYAH-80500</t>
        </is>
      </c>
      <c r="D421" s="26" t="inlineStr">
        <is>
          <t>TOZKONTROL-IYP2-RAMPASIZ-SIYAH-80500</t>
        </is>
      </c>
      <c r="E421" s="27" t="inlineStr">
        <is>
          <t>80 x 500</t>
        </is>
      </c>
      <c r="F421" s="28" t="inlineStr">
        <is>
          <t>TOZKONTROL-IYP2-RAMPASIZ</t>
        </is>
      </c>
      <c r="G421" s="29" t="inlineStr">
        <is>
          <t>Kapı Önü Paspası</t>
        </is>
      </c>
      <c r="H421" s="30" t="inlineStr">
        <is>
          <t>Paspas Yap</t>
        </is>
      </c>
      <c r="I421" s="31" t="n">
        <v>93.0</v>
      </c>
      <c r="J421" s="32" t="n">
        <v>5486.0</v>
      </c>
      <c r="K421" s="33" t="n">
        <v>4196.19</v>
      </c>
      <c r="L421" s="34" t="n">
        <v>22.0</v>
      </c>
      <c r="M421" s="35" t="n">
        <v>2881.82</v>
      </c>
      <c r="N421" s="36" t="inlineStr">
        <is>
          <t>25 Ağustos 08.00-1 Eylül 07.59</t>
        </is>
      </c>
      <c r="O421" s="37" t="n">
        <v>13.3</v>
      </c>
      <c r="P421" s="38" t="n">
        <v>4196.19</v>
      </c>
      <c r="Q421" s="39"/>
      <c r="R421" s="40" t="n">
        <f>=IF(AND(ISBLANK(Q421), ISBLANK(U421)), "", "7 Günlük Fiyat")</f>
        <v>0.0</v>
      </c>
      <c r="S421" s="41" t="n">
        <f>=IF(OR(Q421="", R421=""), "-", IF(ISNUMBER(SEARCH("7 Günlük", R421)), IF(Q421&lt;=M421, O421, "-"), "-"))</f>
        <v>0.0</v>
      </c>
      <c r="T421" s="42" t="str">
        <f>=IF(ISBLANK(Q421), "", "Hayır")</f>
      </c>
      <c r="U421" s="43"/>
      <c r="V421" s="44" t="inlineStr">
        <is>
          <t>50461ed1-c2c8-4393-967e-55d58a3e2664</t>
        </is>
      </c>
    </row>
    <row r="422">
      <c r="A422" s="23" t="inlineStr">
        <is>
          <t>Toz Ve Nem Alıcı Paspas Iş Yeri Paspası Iç Ve Dış Mekan Paspası Giriş Paspası Kapı Paspası</t>
        </is>
      </c>
      <c r="B422" s="24" t="inlineStr">
        <is>
          <t>780287237</t>
        </is>
      </c>
      <c r="C422" s="25" t="inlineStr">
        <is>
          <t>TOZKONTROL-IYP2-RAMPASIZ-SIYAH-100120</t>
        </is>
      </c>
      <c r="D422" s="26" t="inlineStr">
        <is>
          <t>TOZKONTROL-IYP2-RAMPASIZ-SIYAH-100120</t>
        </is>
      </c>
      <c r="E422" s="27" t="inlineStr">
        <is>
          <t>100 x 120</t>
        </is>
      </c>
      <c r="F422" s="28" t="inlineStr">
        <is>
          <t>TOZKONTROL-IYP2-RAMPASIZ</t>
        </is>
      </c>
      <c r="G422" s="29" t="inlineStr">
        <is>
          <t>Kapı Önü Paspası</t>
        </is>
      </c>
      <c r="H422" s="30" t="inlineStr">
        <is>
          <t>Paspas Yap</t>
        </is>
      </c>
      <c r="I422" s="31" t="n">
        <v>93.0</v>
      </c>
      <c r="J422" s="32" t="n">
        <v>1949.0</v>
      </c>
      <c r="K422" s="33" t="n">
        <v>1554.75</v>
      </c>
      <c r="L422" s="34" t="n">
        <v>22.0</v>
      </c>
      <c r="M422" s="35" t="n">
        <v>1145.08</v>
      </c>
      <c r="N422" s="36" t="inlineStr">
        <is>
          <t>25 Ağustos 08.00-1 Eylül 07.59</t>
        </is>
      </c>
      <c r="O422" s="37" t="n">
        <v>14.6</v>
      </c>
      <c r="P422" s="38" t="n">
        <v>1554.75</v>
      </c>
      <c r="Q422" s="39"/>
      <c r="R422" s="40" t="n">
        <f>=IF(AND(ISBLANK(Q422), ISBLANK(U422)), "", "7 Günlük Fiyat")</f>
        <v>0.0</v>
      </c>
      <c r="S422" s="41" t="n">
        <f>=IF(OR(Q422="", R422=""), "-", IF(ISNUMBER(SEARCH("7 Günlük", R422)), IF(Q422&lt;=M422, O422, "-"), "-"))</f>
        <v>0.0</v>
      </c>
      <c r="T422" s="42" t="str">
        <f>=IF(ISBLANK(Q422), "", "Hayır")</f>
      </c>
      <c r="U422" s="43"/>
      <c r="V422" s="44" t="inlineStr">
        <is>
          <t>50461ed1-c2c8-4393-967e-55d58a3e2664</t>
        </is>
      </c>
    </row>
    <row r="423">
      <c r="A423" s="23" t="inlineStr">
        <is>
          <t>Toz Ve Nem Alıcı Paspas Iş Yeri Paspası Iç Ve Dış Mekan Paspası Giriş Paspası Kapı Paspası</t>
        </is>
      </c>
      <c r="B423" s="24" t="inlineStr">
        <is>
          <t>780287237</t>
        </is>
      </c>
      <c r="C423" s="25" t="inlineStr">
        <is>
          <t>TOZKONTROL-IYP2-RAMPASIZ-SIYAH-120700</t>
        </is>
      </c>
      <c r="D423" s="26" t="inlineStr">
        <is>
          <t>TOZKONTROL-IYP2-RAMPASIZ-SIYAH-120700</t>
        </is>
      </c>
      <c r="E423" s="27" t="inlineStr">
        <is>
          <t>120 x 700</t>
        </is>
      </c>
      <c r="F423" s="28" t="inlineStr">
        <is>
          <t>TOZKONTROL-IYP2-RAMPASIZ</t>
        </is>
      </c>
      <c r="G423" s="29" t="inlineStr">
        <is>
          <t>Kapı Önü Paspası</t>
        </is>
      </c>
      <c r="H423" s="30" t="inlineStr">
        <is>
          <t>Paspas Yap</t>
        </is>
      </c>
      <c r="I423" s="31" t="n">
        <v>93.0</v>
      </c>
      <c r="J423" s="32" t="n">
        <v>11436.0</v>
      </c>
      <c r="K423" s="33" t="n">
        <v>10108.52</v>
      </c>
      <c r="L423" s="34" t="n">
        <v>22.0</v>
      </c>
      <c r="M423" s="35" t="n">
        <v>6598.97</v>
      </c>
      <c r="N423" s="36" t="inlineStr">
        <is>
          <t>25 Ağustos 08.00-1 Eylül 07.59</t>
        </is>
      </c>
      <c r="O423" s="37" t="n">
        <v>14.0</v>
      </c>
      <c r="P423" s="38" t="n">
        <v>10108.52</v>
      </c>
      <c r="Q423" s="39"/>
      <c r="R423" s="40" t="n">
        <f>=IF(AND(ISBLANK(Q423), ISBLANK(U423)), "", "7 Günlük Fiyat")</f>
        <v>0.0</v>
      </c>
      <c r="S423" s="41" t="n">
        <f>=IF(OR(Q423="", R423=""), "-", IF(ISNUMBER(SEARCH("7 Günlük", R423)), IF(Q423&lt;=M423, O423, "-"), "-"))</f>
        <v>0.0</v>
      </c>
      <c r="T423" s="42" t="str">
        <f>=IF(ISBLANK(Q423), "", "Hayır")</f>
      </c>
      <c r="U423" s="43"/>
      <c r="V423" s="44" t="inlineStr">
        <is>
          <t>50461ed1-c2c8-4393-967e-55d58a3e2664</t>
        </is>
      </c>
    </row>
    <row r="424">
      <c r="A424" s="23" t="inlineStr">
        <is>
          <t>Toz Ve Nem Alıcı Paspas Iş Yeri Paspası Iç Ve Dış Mekan Paspası Giriş Paspası Kapı Paspası</t>
        </is>
      </c>
      <c r="B424" s="24" t="inlineStr">
        <is>
          <t>780287237</t>
        </is>
      </c>
      <c r="C424" s="25" t="inlineStr">
        <is>
          <t>TOZKONTROL-IYP2-RAMPASIZ-SIYAH-1201400</t>
        </is>
      </c>
      <c r="D424" s="26" t="inlineStr">
        <is>
          <t>TOZKONTROL-IYP2-RAMPASIZ-SIYAH-1201400</t>
        </is>
      </c>
      <c r="E424" s="27" t="inlineStr">
        <is>
          <t>120 x 1400</t>
        </is>
      </c>
      <c r="F424" s="28" t="inlineStr">
        <is>
          <t>TOZKONTROL-IYP2-RAMPASIZ</t>
        </is>
      </c>
      <c r="G424" s="29" t="inlineStr">
        <is>
          <t>Kapı Önü Paspası</t>
        </is>
      </c>
      <c r="H424" s="30" t="inlineStr">
        <is>
          <t>Paspas Yap</t>
        </is>
      </c>
      <c r="I424" s="31" t="n">
        <v>93.0</v>
      </c>
      <c r="J424" s="32" t="n">
        <v>23520.0</v>
      </c>
      <c r="K424" s="33" t="n">
        <v>17839.81</v>
      </c>
      <c r="L424" s="34" t="n">
        <v>22.0</v>
      </c>
      <c r="M424" s="35" t="n">
        <v>11646.39</v>
      </c>
      <c r="N424" s="36" t="inlineStr">
        <is>
          <t>25 Ağustos 08.00-1 Eylül 07.59</t>
        </is>
      </c>
      <c r="O424" s="37" t="n">
        <v>12.8</v>
      </c>
      <c r="P424" s="38" t="n">
        <v>17839.81</v>
      </c>
      <c r="Q424" s="39"/>
      <c r="R424" s="40" t="n">
        <f>=IF(AND(ISBLANK(Q424), ISBLANK(U424)), "", "7 Günlük Fiyat")</f>
        <v>0.0</v>
      </c>
      <c r="S424" s="41" t="n">
        <f>=IF(OR(Q424="", R424=""), "-", IF(ISNUMBER(SEARCH("7 Günlük", R424)), IF(Q424&lt;=M424, O424, "-"), "-"))</f>
        <v>0.0</v>
      </c>
      <c r="T424" s="42" t="str">
        <f>=IF(ISBLANK(Q424), "", "Hayır")</f>
      </c>
      <c r="U424" s="43"/>
      <c r="V424" s="44" t="inlineStr">
        <is>
          <t>50461ed1-c2c8-4393-967e-55d58a3e2664</t>
        </is>
      </c>
    </row>
    <row r="425">
      <c r="A425" s="23" t="inlineStr">
        <is>
          <t>Toz Ve Nem Alıcı Paspas Iş Yeri Paspası Iç Ve Dış Mekan Paspası Giriş Paspası Kapı Paspası</t>
        </is>
      </c>
      <c r="B425" s="24" t="inlineStr">
        <is>
          <t>780287237</t>
        </is>
      </c>
      <c r="C425" s="25" t="inlineStr">
        <is>
          <t>TOZKONTROL-IYP2-RAMPASIZ-SIYAH-80250</t>
        </is>
      </c>
      <c r="D425" s="26" t="inlineStr">
        <is>
          <t>TOZKONTROL-IYP2-RAMPASIZ-SIYAH-80250</t>
        </is>
      </c>
      <c r="E425" s="27" t="inlineStr">
        <is>
          <t>80 x 250</t>
        </is>
      </c>
      <c r="F425" s="28" t="inlineStr">
        <is>
          <t>TOZKONTROL-IYP2-RAMPASIZ</t>
        </is>
      </c>
      <c r="G425" s="29" t="inlineStr">
        <is>
          <t>Kapı Önü Paspası</t>
        </is>
      </c>
      <c r="H425" s="30" t="inlineStr">
        <is>
          <t>Paspas Yap</t>
        </is>
      </c>
      <c r="I425" s="31" t="n">
        <v>93.0</v>
      </c>
      <c r="J425" s="32" t="n">
        <v>2886.0</v>
      </c>
      <c r="K425" s="33" t="n">
        <v>2485.46</v>
      </c>
      <c r="L425" s="34" t="n">
        <v>22.0</v>
      </c>
      <c r="M425" s="35" t="n">
        <v>1708.75</v>
      </c>
      <c r="N425" s="36" t="inlineStr">
        <is>
          <t>25 Ağustos 08.00-1 Eylül 07.59</t>
        </is>
      </c>
      <c r="O425" s="37" t="n">
        <v>14.5</v>
      </c>
      <c r="P425" s="38" t="n">
        <v>2485.46</v>
      </c>
      <c r="Q425" s="39"/>
      <c r="R425" s="40" t="n">
        <f>=IF(AND(ISBLANK(Q425), ISBLANK(U425)), "", "7 Günlük Fiyat")</f>
        <v>0.0</v>
      </c>
      <c r="S425" s="41" t="n">
        <f>=IF(OR(Q425="", R425=""), "-", IF(ISNUMBER(SEARCH("7 Günlük", R425)), IF(Q425&lt;=M425, O425, "-"), "-"))</f>
        <v>0.0</v>
      </c>
      <c r="T425" s="42" t="str">
        <f>=IF(ISBLANK(Q425), "", "Hayır")</f>
      </c>
      <c r="U425" s="43"/>
      <c r="V425" s="44" t="inlineStr">
        <is>
          <t>50461ed1-c2c8-4393-967e-55d58a3e2664</t>
        </is>
      </c>
    </row>
    <row r="426">
      <c r="A426" s="23" t="inlineStr">
        <is>
          <t>Toz Ve Nem Alıcı Paspas Iş Yeri Paspası Iç Ve Dış Mekan Paspası Giriş Paspası Kapı Paspası</t>
        </is>
      </c>
      <c r="B426" s="24" t="inlineStr">
        <is>
          <t>780287237</t>
        </is>
      </c>
      <c r="C426" s="25" t="inlineStr">
        <is>
          <t>TOZKONTROL-IYP2-RAMPASIZ-SIYAH-120150</t>
        </is>
      </c>
      <c r="D426" s="26" t="inlineStr">
        <is>
          <t>TOZKONTROL-IYP2-RAMPASIZ-SIYAH-120150</t>
        </is>
      </c>
      <c r="E426" s="27" t="inlineStr">
        <is>
          <t>120 x 150</t>
        </is>
      </c>
      <c r="F426" s="28" t="inlineStr">
        <is>
          <t>TOZKONTROL-IYP2-RAMPASIZ</t>
        </is>
      </c>
      <c r="G426" s="29" t="inlineStr">
        <is>
          <t>Kapı Önü Paspası</t>
        </is>
      </c>
      <c r="H426" s="30" t="inlineStr">
        <is>
          <t>Paspas Yap</t>
        </is>
      </c>
      <c r="I426" s="31" t="n">
        <v>92.0</v>
      </c>
      <c r="J426" s="32" t="n">
        <v>2665.0</v>
      </c>
      <c r="K426" s="33" t="n">
        <v>2260.27</v>
      </c>
      <c r="L426" s="34" t="n">
        <v>22.0</v>
      </c>
      <c r="M426" s="35" t="n">
        <v>1547.78</v>
      </c>
      <c r="N426" s="36" t="inlineStr">
        <is>
          <t>25 Ağustos 08.00-1 Eylül 07.59</t>
        </is>
      </c>
      <c r="O426" s="37" t="n">
        <v>14.3</v>
      </c>
      <c r="P426" s="38" t="n">
        <v>2260.27</v>
      </c>
      <c r="Q426" s="39"/>
      <c r="R426" s="40" t="n">
        <f>=IF(AND(ISBLANK(Q426), ISBLANK(U426)), "", "7 Günlük Fiyat")</f>
        <v>0.0</v>
      </c>
      <c r="S426" s="41" t="n">
        <f>=IF(OR(Q426="", R426=""), "-", IF(ISNUMBER(SEARCH("7 Günlük", R426)), IF(Q426&lt;=M426, O426, "-"), "-"))</f>
        <v>0.0</v>
      </c>
      <c r="T426" s="42" t="str">
        <f>=IF(ISBLANK(Q426), "", "Hayır")</f>
      </c>
      <c r="U426" s="43"/>
      <c r="V426" s="44" t="inlineStr">
        <is>
          <t>50461ed1-c2c8-4393-967e-55d58a3e2664</t>
        </is>
      </c>
    </row>
    <row r="427">
      <c r="A427" s="23" t="inlineStr">
        <is>
          <t>Toz Ve Nem Alıcı Paspas Iş Yeri Paspası Iç Ve Dış Mekan Paspası Giriş Paspası Kapı Paspası</t>
        </is>
      </c>
      <c r="B427" s="24" t="inlineStr">
        <is>
          <t>780287237</t>
        </is>
      </c>
      <c r="C427" s="25" t="inlineStr">
        <is>
          <t>TOZKONTROL-IYP2-RAMPASIZ-SIYAH-1001400</t>
        </is>
      </c>
      <c r="D427" s="26" t="inlineStr">
        <is>
          <t>TOZKONTROL-IYP2-RAMPASIZ-SIYAH-1001400</t>
        </is>
      </c>
      <c r="E427" s="27" t="inlineStr">
        <is>
          <t>100 x 1400</t>
        </is>
      </c>
      <c r="F427" s="28" t="inlineStr">
        <is>
          <t>TOZKONTROL-IYP2-RAMPASIZ</t>
        </is>
      </c>
      <c r="G427" s="29" t="inlineStr">
        <is>
          <t>Kapı Önü Paspası</t>
        </is>
      </c>
      <c r="H427" s="30" t="inlineStr">
        <is>
          <t>Paspas Yap</t>
        </is>
      </c>
      <c r="I427" s="31" t="n">
        <v>93.0</v>
      </c>
      <c r="J427" s="32" t="n">
        <v>19423.0</v>
      </c>
      <c r="K427" s="33" t="n">
        <v>15306.45</v>
      </c>
      <c r="L427" s="34" t="n">
        <v>22.0</v>
      </c>
      <c r="M427" s="35" t="n">
        <v>10163.3</v>
      </c>
      <c r="N427" s="36" t="inlineStr">
        <is>
          <t>25 Ağustos 08.00-1 Eylül 07.59</t>
        </is>
      </c>
      <c r="O427" s="37" t="n">
        <v>13.1</v>
      </c>
      <c r="P427" s="38" t="n">
        <v>15306.45</v>
      </c>
      <c r="Q427" s="39"/>
      <c r="R427" s="40" t="n">
        <f>=IF(AND(ISBLANK(Q427), ISBLANK(U427)), "", "7 Günlük Fiyat")</f>
        <v>0.0</v>
      </c>
      <c r="S427" s="41" t="n">
        <f>=IF(OR(Q427="", R427=""), "-", IF(ISNUMBER(SEARCH("7 Günlük", R427)), IF(Q427&lt;=M427, O427, "-"), "-"))</f>
        <v>0.0</v>
      </c>
      <c r="T427" s="42" t="str">
        <f>=IF(ISBLANK(Q427), "", "Hayır")</f>
      </c>
      <c r="U427" s="43"/>
      <c r="V427" s="44" t="inlineStr">
        <is>
          <t>50461ed1-c2c8-4393-967e-55d58a3e2664</t>
        </is>
      </c>
    </row>
    <row r="428">
      <c r="A428" s="23" t="inlineStr">
        <is>
          <t>Toz Ve Nem Alıcı Paspas Iş Yeri Paspası Iç Ve Dış Mekan Paspası Giriş Paspası Kapı Paspası</t>
        </is>
      </c>
      <c r="B428" s="24" t="inlineStr">
        <is>
          <t>780287237</t>
        </is>
      </c>
      <c r="C428" s="25" t="inlineStr">
        <is>
          <t>TOZKONTROL-IYP2-RAMPASIZ-SIYAH-80200</t>
        </is>
      </c>
      <c r="D428" s="26" t="inlineStr">
        <is>
          <t>TOZKONTROL-IYP2-RAMPASIZ-SIYAH-80200</t>
        </is>
      </c>
      <c r="E428" s="27" t="inlineStr">
        <is>
          <t>80 x 200</t>
        </is>
      </c>
      <c r="F428" s="28" t="inlineStr">
        <is>
          <t>TOZKONTROL-IYP2-RAMPASIZ</t>
        </is>
      </c>
      <c r="G428" s="29" t="inlineStr">
        <is>
          <t>Kapı Önü Paspası</t>
        </is>
      </c>
      <c r="H428" s="30" t="inlineStr">
        <is>
          <t>Paspas Yap</t>
        </is>
      </c>
      <c r="I428" s="31" t="n">
        <v>92.0</v>
      </c>
      <c r="J428" s="32" t="n">
        <v>2390.0</v>
      </c>
      <c r="K428" s="33" t="n">
        <v>2027.02</v>
      </c>
      <c r="L428" s="34" t="n">
        <v>22.0</v>
      </c>
      <c r="M428" s="35" t="n">
        <v>1402.27</v>
      </c>
      <c r="N428" s="36" t="inlineStr">
        <is>
          <t>25 Ağustos 08.00-1 Eylül 07.59</t>
        </is>
      </c>
      <c r="O428" s="37" t="n">
        <v>14.4</v>
      </c>
      <c r="P428" s="38" t="n">
        <v>2027.02</v>
      </c>
      <c r="Q428" s="39"/>
      <c r="R428" s="40" t="n">
        <f>=IF(AND(ISBLANK(Q428), ISBLANK(U428)), "", "7 Günlük Fiyat")</f>
        <v>0.0</v>
      </c>
      <c r="S428" s="41" t="n">
        <f>=IF(OR(Q428="", R428=""), "-", IF(ISNUMBER(SEARCH("7 Günlük", R428)), IF(Q428&lt;=M428, O428, "-"), "-"))</f>
        <v>0.0</v>
      </c>
      <c r="T428" s="42" t="str">
        <f>=IF(ISBLANK(Q428), "", "Hayır")</f>
      </c>
      <c r="U428" s="43"/>
      <c r="V428" s="44" t="inlineStr">
        <is>
          <t>50461ed1-c2c8-4393-967e-55d58a3e2664</t>
        </is>
      </c>
    </row>
    <row r="429">
      <c r="A429" s="23" t="inlineStr">
        <is>
          <t>Toz Ve Nem Alıcı Paspas Iş Yeri Paspası Iç Ve Dış Mekan Paspası Giriş Paspası Kapı Paspası</t>
        </is>
      </c>
      <c r="B429" s="24" t="inlineStr">
        <is>
          <t>780287237</t>
        </is>
      </c>
      <c r="C429" s="25" t="inlineStr">
        <is>
          <t>TOZKONTROL-IYP2-RAMPASIZ-SIYAH-1001200</t>
        </is>
      </c>
      <c r="D429" s="26" t="inlineStr">
        <is>
          <t>TOZKONTROL-IYP2-RAMPASIZ-SIYAH-1001200</t>
        </is>
      </c>
      <c r="E429" s="27" t="inlineStr">
        <is>
          <t>100 x 1200</t>
        </is>
      </c>
      <c r="F429" s="28" t="inlineStr">
        <is>
          <t>TOZKONTROL-IYP2-RAMPASIZ</t>
        </is>
      </c>
      <c r="G429" s="29" t="inlineStr">
        <is>
          <t>Kapı Önü Paspası</t>
        </is>
      </c>
      <c r="H429" s="30" t="inlineStr">
        <is>
          <t>Paspas Yap</t>
        </is>
      </c>
      <c r="I429" s="31" t="n">
        <v>93.0</v>
      </c>
      <c r="J429" s="32" t="n">
        <v>16611.0</v>
      </c>
      <c r="K429" s="33" t="n">
        <v>13103.34</v>
      </c>
      <c r="L429" s="34" t="n">
        <v>22.0</v>
      </c>
      <c r="M429" s="35" t="n">
        <v>8951.93</v>
      </c>
      <c r="N429" s="36" t="inlineStr">
        <is>
          <t>25 Ağustos 08.00-1 Eylül 07.59</t>
        </is>
      </c>
      <c r="O429" s="37" t="n">
        <v>13.6</v>
      </c>
      <c r="P429" s="38" t="n">
        <v>13103.34</v>
      </c>
      <c r="Q429" s="39"/>
      <c r="R429" s="40" t="n">
        <f>=IF(AND(ISBLANK(Q429), ISBLANK(U429)), "", "7 Günlük Fiyat")</f>
        <v>0.0</v>
      </c>
      <c r="S429" s="41" t="n">
        <f>=IF(OR(Q429="", R429=""), "-", IF(ISNUMBER(SEARCH("7 Günlük", R429)), IF(Q429&lt;=M429, O429, "-"), "-"))</f>
        <v>0.0</v>
      </c>
      <c r="T429" s="42" t="str">
        <f>=IF(ISBLANK(Q429), "", "Hayır")</f>
      </c>
      <c r="U429" s="43"/>
      <c r="V429" s="44" t="inlineStr">
        <is>
          <t>50461ed1-c2c8-4393-967e-55d58a3e2664</t>
        </is>
      </c>
    </row>
    <row r="430">
      <c r="A430" s="23" t="inlineStr">
        <is>
          <t>Toz Ve Nem Alıcı Paspas Iş Yeri Paspası Iç Ve Dış Mekan Paspası Giriş Paspası Kapı Paspası</t>
        </is>
      </c>
      <c r="B430" s="24" t="inlineStr">
        <is>
          <t>780287237</t>
        </is>
      </c>
      <c r="C430" s="25" t="inlineStr">
        <is>
          <t>TOZKONTROL-IYP2-RAMPASIZ-SIYAH-100x550</t>
        </is>
      </c>
      <c r="D430" s="26" t="inlineStr">
        <is>
          <t>TOZKONTROL-IYP2-RAMPASIZ-SIYAH-100x550</t>
        </is>
      </c>
      <c r="E430" s="27" t="inlineStr">
        <is>
          <t>100 x 550</t>
        </is>
      </c>
      <c r="F430" s="28" t="inlineStr">
        <is>
          <t>TOZKONTROL-IYP2-RAMPASIZ</t>
        </is>
      </c>
      <c r="G430" s="29" t="inlineStr">
        <is>
          <t>Kapı Önü Paspası</t>
        </is>
      </c>
      <c r="H430" s="30" t="inlineStr">
        <is>
          <t>Paspas Yap</t>
        </is>
      </c>
      <c r="I430" s="31" t="n">
        <v>93.0</v>
      </c>
      <c r="J430" s="32" t="n">
        <v>7489.0</v>
      </c>
      <c r="K430" s="33" t="n">
        <v>6552.18</v>
      </c>
      <c r="L430" s="34" t="n">
        <v>22.0</v>
      </c>
      <c r="M430" s="35" t="n">
        <v>4305.75</v>
      </c>
      <c r="N430" s="36" t="inlineStr">
        <is>
          <t>25 Ağustos 08.00-1 Eylül 07.59</t>
        </is>
      </c>
      <c r="O430" s="37" t="n">
        <v>14.0</v>
      </c>
      <c r="P430" s="38" t="n">
        <v>6552.18</v>
      </c>
      <c r="Q430" s="39"/>
      <c r="R430" s="40" t="n">
        <f>=IF(AND(ISBLANK(Q430), ISBLANK(U430)), "", "7 Günlük Fiyat")</f>
        <v>0.0</v>
      </c>
      <c r="S430" s="41" t="n">
        <f>=IF(OR(Q430="", R430=""), "-", IF(ISNUMBER(SEARCH("7 Günlük", R430)), IF(Q430&lt;=M430, O430, "-"), "-"))</f>
        <v>0.0</v>
      </c>
      <c r="T430" s="42" t="str">
        <f>=IF(ISBLANK(Q430), "", "Hayır")</f>
      </c>
      <c r="U430" s="43"/>
      <c r="V430" s="44" t="inlineStr">
        <is>
          <t>50461ed1-c2c8-4393-967e-55d58a3e2664</t>
        </is>
      </c>
    </row>
    <row r="431">
      <c r="A431" s="23" t="inlineStr">
        <is>
          <t>Toz Ve Nem Alıcı Paspas Iş Yeri Paspası Iç Ve Dış Mekan Paspası Giriş Paspası Kapı Paspası</t>
        </is>
      </c>
      <c r="B431" s="24" t="inlineStr">
        <is>
          <t>780287237</t>
        </is>
      </c>
      <c r="C431" s="25" t="inlineStr">
        <is>
          <t>TOZKONTROL-IYP2-RAMPASIZ-SIYAH-1001450</t>
        </is>
      </c>
      <c r="D431" s="26" t="inlineStr">
        <is>
          <t>TOZKONTROL-IYP2-RAMPASIZ-SIYAH-1001450</t>
        </is>
      </c>
      <c r="E431" s="27" t="inlineStr">
        <is>
          <t>100 x 1450</t>
        </is>
      </c>
      <c r="F431" s="28" t="inlineStr">
        <is>
          <t>TOZKONTROL-IYP2-RAMPASIZ</t>
        </is>
      </c>
      <c r="G431" s="29" t="inlineStr">
        <is>
          <t>Kapı Önü Paspası</t>
        </is>
      </c>
      <c r="H431" s="30" t="inlineStr">
        <is>
          <t>Paspas Yap</t>
        </is>
      </c>
      <c r="I431" s="31" t="n">
        <v>93.0</v>
      </c>
      <c r="J431" s="32" t="n">
        <v>20176.0</v>
      </c>
      <c r="K431" s="33" t="n">
        <v>15884.91</v>
      </c>
      <c r="L431" s="34" t="n">
        <v>22.0</v>
      </c>
      <c r="M431" s="35" t="n">
        <v>10532.45</v>
      </c>
      <c r="N431" s="36" t="inlineStr">
        <is>
          <t>25 Ağustos 08.00-1 Eylül 07.59</t>
        </is>
      </c>
      <c r="O431" s="37" t="n">
        <v>13.1</v>
      </c>
      <c r="P431" s="38" t="n">
        <v>15884.91</v>
      </c>
      <c r="Q431" s="39"/>
      <c r="R431" s="40" t="n">
        <f>=IF(AND(ISBLANK(Q431), ISBLANK(U431)), "", "7 Günlük Fiyat")</f>
        <v>0.0</v>
      </c>
      <c r="S431" s="41" t="n">
        <f>=IF(OR(Q431="", R431=""), "-", IF(ISNUMBER(SEARCH("7 Günlük", R431)), IF(Q431&lt;=M431, O431, "-"), "-"))</f>
        <v>0.0</v>
      </c>
      <c r="T431" s="42" t="str">
        <f>=IF(ISBLANK(Q431), "", "Hayır")</f>
      </c>
      <c r="U431" s="43"/>
      <c r="V431" s="44" t="inlineStr">
        <is>
          <t>50461ed1-c2c8-4393-967e-55d58a3e2664</t>
        </is>
      </c>
    </row>
    <row r="432">
      <c r="A432" s="23" t="inlineStr">
        <is>
          <t>Toz Ve Nem Alıcı Paspas Iş Yeri Paspası Iç Ve Dış Mekan Paspası Giriş Paspası Kapı Paspası</t>
        </is>
      </c>
      <c r="B432" s="24" t="inlineStr">
        <is>
          <t>780287237</t>
        </is>
      </c>
      <c r="C432" s="25" t="inlineStr">
        <is>
          <t>TOZKONTROL-IYP2-RAMPASIZ-SIYAH-100x450</t>
        </is>
      </c>
      <c r="D432" s="26" t="inlineStr">
        <is>
          <t>TOZKONTROL-IYP2-RAMPASIZ-SIYAH-100x450</t>
        </is>
      </c>
      <c r="E432" s="27" t="inlineStr">
        <is>
          <t>100 x 450</t>
        </is>
      </c>
      <c r="F432" s="28" t="inlineStr">
        <is>
          <t>TOZKONTROL-IYP2-RAMPASIZ</t>
        </is>
      </c>
      <c r="G432" s="29" t="inlineStr">
        <is>
          <t>Kapı Önü Paspası</t>
        </is>
      </c>
      <c r="H432" s="30" t="inlineStr">
        <is>
          <t>Paspas Yap</t>
        </is>
      </c>
      <c r="I432" s="31" t="n">
        <v>93.0</v>
      </c>
      <c r="J432" s="32" t="n">
        <v>6190.0</v>
      </c>
      <c r="K432" s="33" t="n">
        <v>5437.37</v>
      </c>
      <c r="L432" s="34" t="n">
        <v>22.0</v>
      </c>
      <c r="M432" s="35" t="n">
        <v>3561.72</v>
      </c>
      <c r="N432" s="36" t="inlineStr">
        <is>
          <t>25 Ağustos 08.00-1 Eylül 07.59</t>
        </is>
      </c>
      <c r="O432" s="37" t="n">
        <v>13.9</v>
      </c>
      <c r="P432" s="38" t="n">
        <v>5437.37</v>
      </c>
      <c r="Q432" s="39"/>
      <c r="R432" s="40" t="n">
        <f>=IF(AND(ISBLANK(Q432), ISBLANK(U432)), "", "7 Günlük Fiyat")</f>
        <v>0.0</v>
      </c>
      <c r="S432" s="41" t="n">
        <f>=IF(OR(Q432="", R432=""), "-", IF(ISNUMBER(SEARCH("7 Günlük", R432)), IF(Q432&lt;=M432, O432, "-"), "-"))</f>
        <v>0.0</v>
      </c>
      <c r="T432" s="42" t="str">
        <f>=IF(ISBLANK(Q432), "", "Hayır")</f>
      </c>
      <c r="U432" s="43"/>
      <c r="V432" s="44" t="inlineStr">
        <is>
          <t>50461ed1-c2c8-4393-967e-55d58a3e2664</t>
        </is>
      </c>
    </row>
    <row r="433">
      <c r="A433" s="23" t="inlineStr">
        <is>
          <t>Toz Ve Nem Alıcı Paspas Iş Yeri Paspası Iç Ve Dış Mekan Paspası Giriş Paspası Kapı Paspası</t>
        </is>
      </c>
      <c r="B433" s="24" t="inlineStr">
        <is>
          <t>780287237</t>
        </is>
      </c>
      <c r="C433" s="25" t="inlineStr">
        <is>
          <t>TOZKONTROL-IYP2-RAMPASIZ-SIYAH-80x120</t>
        </is>
      </c>
      <c r="D433" s="26" t="inlineStr">
        <is>
          <t>TOZKONTROL-IYP2-RAMPASIZ-SIYAH-80x120</t>
        </is>
      </c>
      <c r="E433" s="27" t="inlineStr">
        <is>
          <t>80 x 120</t>
        </is>
      </c>
      <c r="F433" s="28" t="inlineStr">
        <is>
          <t>TOZKONTROL-IYP2-RAMPASIZ</t>
        </is>
      </c>
      <c r="G433" s="29" t="inlineStr">
        <is>
          <t>Kapı Önü Paspası</t>
        </is>
      </c>
      <c r="H433" s="30" t="inlineStr">
        <is>
          <t>Paspas Yap</t>
        </is>
      </c>
      <c r="I433" s="31" t="n">
        <v>92.0</v>
      </c>
      <c r="J433" s="32" t="n">
        <v>1571.0</v>
      </c>
      <c r="K433" s="33" t="n">
        <v>1309.56</v>
      </c>
      <c r="L433" s="34" t="n">
        <v>22.0</v>
      </c>
      <c r="M433" s="35" t="n">
        <v>985.85</v>
      </c>
      <c r="N433" s="36" t="inlineStr">
        <is>
          <t>25 Ağustos 08.00-1 Eylül 07.59</t>
        </is>
      </c>
      <c r="O433" s="37" t="n">
        <v>14.6</v>
      </c>
      <c r="P433" s="38" t="n">
        <v>1309.56</v>
      </c>
      <c r="Q433" s="39"/>
      <c r="R433" s="40" t="n">
        <f>=IF(AND(ISBLANK(Q433), ISBLANK(U433)), "", "7 Günlük Fiyat")</f>
        <v>0.0</v>
      </c>
      <c r="S433" s="41" t="n">
        <f>=IF(OR(Q433="", R433=""), "-", IF(ISNUMBER(SEARCH("7 Günlük", R433)), IF(Q433&lt;=M433, O433, "-"), "-"))</f>
        <v>0.0</v>
      </c>
      <c r="T433" s="42" t="str">
        <f>=IF(ISBLANK(Q433), "", "Hayır")</f>
      </c>
      <c r="U433" s="43"/>
      <c r="V433" s="44" t="inlineStr">
        <is>
          <t>50461ed1-c2c8-4393-967e-55d58a3e2664</t>
        </is>
      </c>
    </row>
    <row r="434">
      <c r="A434" s="23" t="inlineStr">
        <is>
          <t>Toz Ve Nem Alıcı Paspas Iş Yeri Paspası Iç Ve Dış Mekan Paspası Giriş Paspası Kapı Paspası</t>
        </is>
      </c>
      <c r="B434" s="24" t="inlineStr">
        <is>
          <t>780287237</t>
        </is>
      </c>
      <c r="C434" s="25" t="inlineStr">
        <is>
          <t>TOZKONTROL-IYP2-RAMPASIZ-SIYAH-100x750</t>
        </is>
      </c>
      <c r="D434" s="26" t="inlineStr">
        <is>
          <t>TOZKONTROL-IYP2-RAMPASIZ-SIYAH-100x750</t>
        </is>
      </c>
      <c r="E434" s="27" t="inlineStr">
        <is>
          <t>100 x 750</t>
        </is>
      </c>
      <c r="F434" s="28" t="inlineStr">
        <is>
          <t>TOZKONTROL-IYP2-RAMPASIZ</t>
        </is>
      </c>
      <c r="G434" s="29" t="inlineStr">
        <is>
          <t>Kapı Önü Paspası</t>
        </is>
      </c>
      <c r="H434" s="30" t="inlineStr">
        <is>
          <t>Paspas Yap</t>
        </is>
      </c>
      <c r="I434" s="31" t="n">
        <v>93.0</v>
      </c>
      <c r="J434" s="32" t="n">
        <v>10215.0</v>
      </c>
      <c r="K434" s="33" t="n">
        <v>9102.76</v>
      </c>
      <c r="L434" s="34" t="n">
        <v>22.0</v>
      </c>
      <c r="M434" s="35" t="n">
        <v>6049.34</v>
      </c>
      <c r="N434" s="36" t="inlineStr">
        <is>
          <t>25 Ağustos 08.00-1 Eylül 07.59</t>
        </is>
      </c>
      <c r="O434" s="37" t="n">
        <v>14.3</v>
      </c>
      <c r="P434" s="38" t="n">
        <v>9102.76</v>
      </c>
      <c r="Q434" s="39"/>
      <c r="R434" s="40" t="n">
        <f>=IF(AND(ISBLANK(Q434), ISBLANK(U434)), "", "7 Günlük Fiyat")</f>
        <v>0.0</v>
      </c>
      <c r="S434" s="41" t="n">
        <f>=IF(OR(Q434="", R434=""), "-", IF(ISNUMBER(SEARCH("7 Günlük", R434)), IF(Q434&lt;=M434, O434, "-"), "-"))</f>
        <v>0.0</v>
      </c>
      <c r="T434" s="42" t="str">
        <f>=IF(ISBLANK(Q434), "", "Hayır")</f>
      </c>
      <c r="U434" s="43"/>
      <c r="V434" s="44" t="inlineStr">
        <is>
          <t>50461ed1-c2c8-4393-967e-55d58a3e2664</t>
        </is>
      </c>
    </row>
    <row r="435">
      <c r="A435" s="23" t="inlineStr">
        <is>
          <t>Toz Ve Nem Alıcı Paspas Iş Yeri Paspası Iç Ve Dış Mekan Paspası Giriş Paspası Kapı Paspası</t>
        </is>
      </c>
      <c r="B435" s="24" t="inlineStr">
        <is>
          <t>780287237</t>
        </is>
      </c>
      <c r="C435" s="25" t="inlineStr">
        <is>
          <t>TOZKONTROL-IYP2-RAMPASIZ-SIYAH-120x180</t>
        </is>
      </c>
      <c r="D435" s="26" t="inlineStr">
        <is>
          <t>TOZKONTROL-IYP2-RAMPASIZ-SIYAH-120x180</t>
        </is>
      </c>
      <c r="E435" s="27" t="inlineStr">
        <is>
          <t>120 x 180</t>
        </is>
      </c>
      <c r="F435" s="28" t="inlineStr">
        <is>
          <t>TOZKONTROL-IYP2-RAMPASIZ</t>
        </is>
      </c>
      <c r="G435" s="29" t="inlineStr">
        <is>
          <t>Kapı Önü Paspası</t>
        </is>
      </c>
      <c r="H435" s="30" t="inlineStr">
        <is>
          <t>Paspas Yap</t>
        </is>
      </c>
      <c r="I435" s="31" t="n">
        <v>93.0</v>
      </c>
      <c r="J435" s="32" t="n">
        <v>3453.0</v>
      </c>
      <c r="K435" s="33" t="n">
        <v>2992.09</v>
      </c>
      <c r="L435" s="34" t="n">
        <v>22.0</v>
      </c>
      <c r="M435" s="35" t="n">
        <v>1993.16</v>
      </c>
      <c r="N435" s="36" t="inlineStr">
        <is>
          <t>25 Ağustos 08.00-1 Eylül 07.59</t>
        </is>
      </c>
      <c r="O435" s="37" t="n">
        <v>14.0</v>
      </c>
      <c r="P435" s="38" t="n">
        <v>2992.09</v>
      </c>
      <c r="Q435" s="39"/>
      <c r="R435" s="40" t="n">
        <f>=IF(AND(ISBLANK(Q435), ISBLANK(U435)), "", "7 Günlük Fiyat")</f>
        <v>0.0</v>
      </c>
      <c r="S435" s="41" t="n">
        <f>=IF(OR(Q435="", R435=""), "-", IF(ISNUMBER(SEARCH("7 Günlük", R435)), IF(Q435&lt;=M435, O435, "-"), "-"))</f>
        <v>0.0</v>
      </c>
      <c r="T435" s="42" t="str">
        <f>=IF(ISBLANK(Q435), "", "Hayır")</f>
      </c>
      <c r="U435" s="43"/>
      <c r="V435" s="44" t="inlineStr">
        <is>
          <t>50461ed1-c2c8-4393-967e-55d58a3e2664</t>
        </is>
      </c>
    </row>
    <row r="436">
      <c r="A436" s="23" t="inlineStr">
        <is>
          <t>Toz Ve Nem Alıcı Paspas Iş Yeri Paspası Iç Ve Dış Mekan Paspası Giriş Paspası Kapı Paspası</t>
        </is>
      </c>
      <c r="B436" s="24" t="inlineStr">
        <is>
          <t>780287237</t>
        </is>
      </c>
      <c r="C436" s="25" t="inlineStr">
        <is>
          <t>TOZKONTROL-IYP2-RAMPASIZ-SIYAH-80700</t>
        </is>
      </c>
      <c r="D436" s="26" t="inlineStr">
        <is>
          <t>TOZKONTROL-IYP2-RAMPASIZ-SIYAH-80700</t>
        </is>
      </c>
      <c r="E436" s="27" t="inlineStr">
        <is>
          <t>80 x 700</t>
        </is>
      </c>
      <c r="F436" s="28" t="inlineStr">
        <is>
          <t>TOZKONTROL-IYP2-RAMPASIZ</t>
        </is>
      </c>
      <c r="G436" s="29" t="inlineStr">
        <is>
          <t>Kapı Önü Paspası</t>
        </is>
      </c>
      <c r="H436" s="30" t="inlineStr">
        <is>
          <t>Paspas Yap</t>
        </is>
      </c>
      <c r="I436" s="31" t="n">
        <v>93.0</v>
      </c>
      <c r="J436" s="32" t="n">
        <v>7599.0</v>
      </c>
      <c r="K436" s="33" t="n">
        <v>5813.12</v>
      </c>
      <c r="L436" s="34" t="n">
        <v>22.0</v>
      </c>
      <c r="M436" s="35" t="n">
        <v>3961.34</v>
      </c>
      <c r="N436" s="36" t="inlineStr">
        <is>
          <t>25 Ağustos 08.00-1 Eylül 07.59</t>
        </is>
      </c>
      <c r="O436" s="37" t="n">
        <v>13.2</v>
      </c>
      <c r="P436" s="38" t="n">
        <v>5813.12</v>
      </c>
      <c r="Q436" s="39"/>
      <c r="R436" s="40" t="n">
        <f>=IF(AND(ISBLANK(Q436), ISBLANK(U436)), "", "7 Günlük Fiyat")</f>
        <v>0.0</v>
      </c>
      <c r="S436" s="41" t="n">
        <f>=IF(OR(Q436="", R436=""), "-", IF(ISNUMBER(SEARCH("7 Günlük", R436)), IF(Q436&lt;=M436, O436, "-"), "-"))</f>
        <v>0.0</v>
      </c>
      <c r="T436" s="42" t="str">
        <f>=IF(ISBLANK(Q436), "", "Hayır")</f>
      </c>
      <c r="U436" s="43"/>
      <c r="V436" s="44" t="inlineStr">
        <is>
          <t>50461ed1-c2c8-4393-967e-55d58a3e2664</t>
        </is>
      </c>
    </row>
    <row r="437">
      <c r="A437" s="23" t="inlineStr">
        <is>
          <t>Toz Ve Nem Alıcı Paspas Iş Yeri Paspası Iç Ve Dış Mekan Paspası Giriş Paspası Kapı Paspası</t>
        </is>
      </c>
      <c r="B437" s="24" t="inlineStr">
        <is>
          <t>780287237</t>
        </is>
      </c>
      <c r="C437" s="25" t="inlineStr">
        <is>
          <t>TOZKONTROL-IYP2-RAMPASIZ-SIYAH-80550</t>
        </is>
      </c>
      <c r="D437" s="26" t="inlineStr">
        <is>
          <t>TOZKONTROL-IYP2-RAMPASIZ-SIYAH-80550</t>
        </is>
      </c>
      <c r="E437" s="27" t="inlineStr">
        <is>
          <t>80 x 550</t>
        </is>
      </c>
      <c r="F437" s="28" t="inlineStr">
        <is>
          <t>TOZKONTROL-IYP2-RAMPASIZ</t>
        </is>
      </c>
      <c r="G437" s="29" t="inlineStr">
        <is>
          <t>Kapı Önü Paspası</t>
        </is>
      </c>
      <c r="H437" s="30" t="inlineStr">
        <is>
          <t>Paspas Yap</t>
        </is>
      </c>
      <c r="I437" s="31" t="n">
        <v>93.0</v>
      </c>
      <c r="J437" s="32" t="n">
        <v>5982.0</v>
      </c>
      <c r="K437" s="33" t="n">
        <v>4624.86</v>
      </c>
      <c r="L437" s="34" t="n">
        <v>22.0</v>
      </c>
      <c r="M437" s="35" t="n">
        <v>3167.81</v>
      </c>
      <c r="N437" s="36" t="inlineStr">
        <is>
          <t>25 Ağustos 08.00-1 Eylül 07.59</t>
        </is>
      </c>
      <c r="O437" s="37" t="n">
        <v>13.5</v>
      </c>
      <c r="P437" s="38" t="n">
        <v>4624.86</v>
      </c>
      <c r="Q437" s="39"/>
      <c r="R437" s="40" t="n">
        <f>=IF(AND(ISBLANK(Q437), ISBLANK(U437)), "", "7 Günlük Fiyat")</f>
        <v>0.0</v>
      </c>
      <c r="S437" s="41" t="n">
        <f>=IF(OR(Q437="", R437=""), "-", IF(ISNUMBER(SEARCH("7 Günlük", R437)), IF(Q437&lt;=M437, O437, "-"), "-"))</f>
        <v>0.0</v>
      </c>
      <c r="T437" s="42" t="str">
        <f>=IF(ISBLANK(Q437), "", "Hayır")</f>
      </c>
      <c r="U437" s="43"/>
      <c r="V437" s="44" t="inlineStr">
        <is>
          <t>50461ed1-c2c8-4393-967e-55d58a3e2664</t>
        </is>
      </c>
    </row>
    <row r="438">
      <c r="A438" s="23" t="inlineStr">
        <is>
          <t>Toz Ve Nem Alıcı Paspas Iş Yeri Paspası Iç Ve Dış Mekan Paspası Giriş Paspası Kapı Paspası</t>
        </is>
      </c>
      <c r="B438" s="24" t="inlineStr">
        <is>
          <t>780287237</t>
        </is>
      </c>
      <c r="C438" s="25" t="inlineStr">
        <is>
          <t>TOZKONTROL-IYP2-RAMPASIZ-SIYAH-80650</t>
        </is>
      </c>
      <c r="D438" s="26" t="inlineStr">
        <is>
          <t>TOZKONTROL-IYP2-RAMPASIZ-SIYAH-80650</t>
        </is>
      </c>
      <c r="E438" s="27" t="inlineStr">
        <is>
          <t>80 x 650</t>
        </is>
      </c>
      <c r="F438" s="28" t="inlineStr">
        <is>
          <t>TOZKONTROL-IYP2-RAMPASIZ</t>
        </is>
      </c>
      <c r="G438" s="29" t="inlineStr">
        <is>
          <t>Kapı Önü Paspası</t>
        </is>
      </c>
      <c r="H438" s="30" t="inlineStr">
        <is>
          <t>Paspas Yap</t>
        </is>
      </c>
      <c r="I438" s="31" t="n">
        <v>93.0</v>
      </c>
      <c r="J438" s="32" t="n">
        <v>7103.0</v>
      </c>
      <c r="K438" s="33" t="n">
        <v>5436.41</v>
      </c>
      <c r="L438" s="34" t="n">
        <v>22.0</v>
      </c>
      <c r="M438" s="35" t="n">
        <v>3712.01</v>
      </c>
      <c r="N438" s="36" t="inlineStr">
        <is>
          <t>25 Ağustos 08.00-1 Eylül 07.59</t>
        </is>
      </c>
      <c r="O438" s="37" t="n">
        <v>13.3</v>
      </c>
      <c r="P438" s="38" t="n">
        <v>5436.41</v>
      </c>
      <c r="Q438" s="39"/>
      <c r="R438" s="40" t="n">
        <f>=IF(AND(ISBLANK(Q438), ISBLANK(U438)), "", "7 Günlük Fiyat")</f>
        <v>0.0</v>
      </c>
      <c r="S438" s="41" t="n">
        <f>=IF(OR(Q438="", R438=""), "-", IF(ISNUMBER(SEARCH("7 Günlük", R438)), IF(Q438&lt;=M438, O438, "-"), "-"))</f>
        <v>0.0</v>
      </c>
      <c r="T438" s="42" t="str">
        <f>=IF(ISBLANK(Q438), "", "Hayır")</f>
      </c>
      <c r="U438" s="43"/>
      <c r="V438" s="44" t="inlineStr">
        <is>
          <t>50461ed1-c2c8-4393-967e-55d58a3e2664</t>
        </is>
      </c>
    </row>
    <row r="439">
      <c r="A439" s="23" t="inlineStr">
        <is>
          <t>Toz Ve Nem Alıcı Paspas Iş Yeri Paspası Iç Ve Dış Mekan Paspası Giriş Paspası Kapı Paspası</t>
        </is>
      </c>
      <c r="B439" s="24" t="inlineStr">
        <is>
          <t>780287237</t>
        </is>
      </c>
      <c r="C439" s="25" t="inlineStr">
        <is>
          <t>TOZKONTROL-IYP2-RAMPASIZ-SIYAH-801300</t>
        </is>
      </c>
      <c r="D439" s="26" t="inlineStr">
        <is>
          <t>TOZKONTROL-IYP2-RAMPASIZ-SIYAH-801300</t>
        </is>
      </c>
      <c r="E439" s="27" t="inlineStr">
        <is>
          <t>80 x 1300</t>
        </is>
      </c>
      <c r="F439" s="28" t="inlineStr">
        <is>
          <t>TOZKONTROL-IYP2-RAMPASIZ</t>
        </is>
      </c>
      <c r="G439" s="29" t="inlineStr">
        <is>
          <t>Kapı Önü Paspası</t>
        </is>
      </c>
      <c r="H439" s="30" t="inlineStr">
        <is>
          <t>Paspas Yap</t>
        </is>
      </c>
      <c r="I439" s="31" t="n">
        <v>93.0</v>
      </c>
      <c r="J439" s="32" t="n">
        <v>14241.0</v>
      </c>
      <c r="K439" s="33" t="n">
        <v>12621.34</v>
      </c>
      <c r="L439" s="34" t="n">
        <v>22.0</v>
      </c>
      <c r="M439" s="35" t="n">
        <v>8011.86</v>
      </c>
      <c r="N439" s="36" t="inlineStr">
        <is>
          <t>25 Ağustos 08.00-1 Eylül 07.59</t>
        </is>
      </c>
      <c r="O439" s="37" t="n">
        <v>13.7</v>
      </c>
      <c r="P439" s="38" t="n">
        <v>12621.34</v>
      </c>
      <c r="Q439" s="39"/>
      <c r="R439" s="40" t="n">
        <f>=IF(AND(ISBLANK(Q439), ISBLANK(U439)), "", "7 Günlük Fiyat")</f>
        <v>0.0</v>
      </c>
      <c r="S439" s="41" t="n">
        <f>=IF(OR(Q439="", R439=""), "-", IF(ISNUMBER(SEARCH("7 Günlük", R439)), IF(Q439&lt;=M439, O439, "-"), "-"))</f>
        <v>0.0</v>
      </c>
      <c r="T439" s="42" t="str">
        <f>=IF(ISBLANK(Q439), "", "Hayır")</f>
      </c>
      <c r="U439" s="43"/>
      <c r="V439" s="44" t="inlineStr">
        <is>
          <t>50461ed1-c2c8-4393-967e-55d58a3e2664</t>
        </is>
      </c>
    </row>
    <row r="440">
      <c r="A440" s="23" t="inlineStr">
        <is>
          <t>Toz Ve Nem Alıcı Paspas Iş Yeri Paspası Iç Ve Dış Mekan Paspası Giriş Paspası Kapı Paspası</t>
        </is>
      </c>
      <c r="B440" s="24" t="inlineStr">
        <is>
          <t>780287237</t>
        </is>
      </c>
      <c r="C440" s="25" t="inlineStr">
        <is>
          <t>TOZKONTROL-IYP2-RAMPASIZ-SIYAH-1201350</t>
        </is>
      </c>
      <c r="D440" s="26" t="inlineStr">
        <is>
          <t>TOZKONTROL-IYP2-RAMPASIZ-SIYAH-1201350</t>
        </is>
      </c>
      <c r="E440" s="27" t="inlineStr">
        <is>
          <t>120 x 1350</t>
        </is>
      </c>
      <c r="F440" s="28" t="inlineStr">
        <is>
          <t>TOZKONTROL-IYP2-RAMPASIZ</t>
        </is>
      </c>
      <c r="G440" s="29" t="inlineStr">
        <is>
          <t>Kapı Önü Paspası</t>
        </is>
      </c>
      <c r="H440" s="30" t="inlineStr">
        <is>
          <t>Paspas Yap</t>
        </is>
      </c>
      <c r="I440" s="31" t="n">
        <v>93.0</v>
      </c>
      <c r="J440" s="32" t="n">
        <v>22657.0</v>
      </c>
      <c r="K440" s="33" t="n">
        <v>17211.88</v>
      </c>
      <c r="L440" s="34" t="n">
        <v>22.0</v>
      </c>
      <c r="M440" s="35" t="n">
        <v>11396.36</v>
      </c>
      <c r="N440" s="36" t="inlineStr">
        <is>
          <t>25 Ağustos 08.00-1 Eylül 07.59</t>
        </is>
      </c>
      <c r="O440" s="37" t="n">
        <v>13.1</v>
      </c>
      <c r="P440" s="38" t="n">
        <v>17211.88</v>
      </c>
      <c r="Q440" s="39"/>
      <c r="R440" s="40" t="n">
        <f>=IF(AND(ISBLANK(Q440), ISBLANK(U440)), "", "7 Günlük Fiyat")</f>
        <v>0.0</v>
      </c>
      <c r="S440" s="41" t="n">
        <f>=IF(OR(Q440="", R440=""), "-", IF(ISNUMBER(SEARCH("7 Günlük", R440)), IF(Q440&lt;=M440, O440, "-"), "-"))</f>
        <v>0.0</v>
      </c>
      <c r="T440" s="42" t="str">
        <f>=IF(ISBLANK(Q440), "", "Hayır")</f>
      </c>
      <c r="U440" s="43"/>
      <c r="V440" s="44" t="inlineStr">
        <is>
          <t>50461ed1-c2c8-4393-967e-55d58a3e2664</t>
        </is>
      </c>
    </row>
    <row r="441">
      <c r="A441" s="23" t="inlineStr">
        <is>
          <t>Toz Ve Nem Alıcı Paspas Iş Yeri Paspası Iç Ve Dış Mekan Paspası Giriş Paspası Kapı Paspası</t>
        </is>
      </c>
      <c r="B441" s="24" t="inlineStr">
        <is>
          <t>780287237</t>
        </is>
      </c>
      <c r="C441" s="25" t="inlineStr">
        <is>
          <t>TOZKONTROL-IYP2-RAMPASIZ-SIYAH-100x1000</t>
        </is>
      </c>
      <c r="D441" s="26" t="inlineStr">
        <is>
          <t>TOZKONTROL-IYP2-RAMPASIZ-SIYAH-100x1000</t>
        </is>
      </c>
      <c r="E441" s="27" t="inlineStr">
        <is>
          <t>100 x 1000</t>
        </is>
      </c>
      <c r="F441" s="28" t="inlineStr">
        <is>
          <t>TOZKONTROL-IYP2-RAMPASIZ</t>
        </is>
      </c>
      <c r="G441" s="29" t="inlineStr">
        <is>
          <t>Kapı Önü Paspası</t>
        </is>
      </c>
      <c r="H441" s="30" t="inlineStr">
        <is>
          <t>Paspas Yap</t>
        </is>
      </c>
      <c r="I441" s="31" t="n">
        <v>93.0</v>
      </c>
      <c r="J441" s="32" t="n">
        <v>13799.0</v>
      </c>
      <c r="K441" s="33" t="n">
        <v>12147.31</v>
      </c>
      <c r="L441" s="34" t="n">
        <v>22.0</v>
      </c>
      <c r="M441" s="35" t="n">
        <v>8069.03</v>
      </c>
      <c r="N441" s="36" t="inlineStr">
        <is>
          <t>25 Ağustos 08.00-1 Eylül 07.59</t>
        </is>
      </c>
      <c r="O441" s="37" t="n">
        <v>14.3</v>
      </c>
      <c r="P441" s="38" t="n">
        <v>12147.31</v>
      </c>
      <c r="Q441" s="39"/>
      <c r="R441" s="40" t="n">
        <f>=IF(AND(ISBLANK(Q441), ISBLANK(U441)), "", "7 Günlük Fiyat")</f>
        <v>0.0</v>
      </c>
      <c r="S441" s="41" t="n">
        <f>=IF(OR(Q441="", R441=""), "-", IF(ISNUMBER(SEARCH("7 Günlük", R441)), IF(Q441&lt;=M441, O441, "-"), "-"))</f>
        <v>0.0</v>
      </c>
      <c r="T441" s="42" t="str">
        <f>=IF(ISBLANK(Q441), "", "Hayır")</f>
      </c>
      <c r="U441" s="43"/>
      <c r="V441" s="44" t="inlineStr">
        <is>
          <t>50461ed1-c2c8-4393-967e-55d58a3e2664</t>
        </is>
      </c>
    </row>
    <row r="442">
      <c r="A442" s="23" t="inlineStr">
        <is>
          <t>Toz Ve Nem Alıcı Paspas Iş Yeri Paspası Iç Ve Dış Mekan Paspası Giriş Paspası Kapı Paspası</t>
        </is>
      </c>
      <c r="B442" s="24" t="inlineStr">
        <is>
          <t>780287237</t>
        </is>
      </c>
      <c r="C442" s="25" t="inlineStr">
        <is>
          <t>TOZKONTROL-IYP2-RAMPASIZ-SIYAH-1201200</t>
        </is>
      </c>
      <c r="D442" s="26" t="inlineStr">
        <is>
          <t>TOZKONTROL-IYP2-RAMPASIZ-SIYAH-1201200</t>
        </is>
      </c>
      <c r="E442" s="27" t="inlineStr">
        <is>
          <t>120 x 1200</t>
        </is>
      </c>
      <c r="F442" s="28" t="inlineStr">
        <is>
          <t>TOZKONTROL-IYP2-RAMPASIZ</t>
        </is>
      </c>
      <c r="G442" s="29" t="inlineStr">
        <is>
          <t>Kapı Önü Paspası</t>
        </is>
      </c>
      <c r="H442" s="30" t="inlineStr">
        <is>
          <t>Paspas Yap</t>
        </is>
      </c>
      <c r="I442" s="31" t="n">
        <v>93.0</v>
      </c>
      <c r="J442" s="32" t="n">
        <v>20066.0</v>
      </c>
      <c r="K442" s="33" t="n">
        <v>16640.37</v>
      </c>
      <c r="L442" s="34" t="n">
        <v>22.0</v>
      </c>
      <c r="M442" s="35" t="n">
        <v>11787.12</v>
      </c>
      <c r="N442" s="36" t="inlineStr">
        <is>
          <t>25 Ağustos 08.00-1 Eylül 07.59</t>
        </is>
      </c>
      <c r="O442" s="37" t="n">
        <v>14.2</v>
      </c>
      <c r="P442" s="38" t="n">
        <v>16640.37</v>
      </c>
      <c r="Q442" s="39"/>
      <c r="R442" s="40" t="n">
        <f>=IF(AND(ISBLANK(Q442), ISBLANK(U442)), "", "7 Günlük Fiyat")</f>
        <v>0.0</v>
      </c>
      <c r="S442" s="41" t="n">
        <f>=IF(OR(Q442="", R442=""), "-", IF(ISNUMBER(SEARCH("7 Günlük", R442)), IF(Q442&lt;=M442, O442, "-"), "-"))</f>
        <v>0.0</v>
      </c>
      <c r="T442" s="42" t="str">
        <f>=IF(ISBLANK(Q442), "", "Hayır")</f>
      </c>
      <c r="U442" s="43"/>
      <c r="V442" s="44" t="inlineStr">
        <is>
          <t>50461ed1-c2c8-4393-967e-55d58a3e2664</t>
        </is>
      </c>
    </row>
    <row r="443">
      <c r="A443" s="23" t="inlineStr">
        <is>
          <t>Toz Ve Nem Alıcı Paspas Iş Yeri Paspası Iç Ve Dış Mekan Paspası Giriş Paspası Kapı Paspası</t>
        </is>
      </c>
      <c r="B443" s="24" t="inlineStr">
        <is>
          <t>780287237</t>
        </is>
      </c>
      <c r="C443" s="25" t="inlineStr">
        <is>
          <t>TOZKONTROL-IYP2-RAMPASIZ-SIYAH-80400</t>
        </is>
      </c>
      <c r="D443" s="26" t="inlineStr">
        <is>
          <t>TOZKONTROL-IYP2-RAMPASIZ-SIYAH-80400</t>
        </is>
      </c>
      <c r="E443" s="27" t="inlineStr">
        <is>
          <t>80 x 400</t>
        </is>
      </c>
      <c r="F443" s="28" t="inlineStr">
        <is>
          <t>TOZKONTROL-IYP2-RAMPASIZ</t>
        </is>
      </c>
      <c r="G443" s="29" t="inlineStr">
        <is>
          <t>Kapı Önü Paspası</t>
        </is>
      </c>
      <c r="H443" s="30" t="inlineStr">
        <is>
          <t>Paspas Yap</t>
        </is>
      </c>
      <c r="I443" s="31" t="n">
        <v>93.0</v>
      </c>
      <c r="J443" s="32" t="n">
        <v>4506.0</v>
      </c>
      <c r="K443" s="33" t="n">
        <v>3897.18</v>
      </c>
      <c r="L443" s="34" t="n">
        <v>22.0</v>
      </c>
      <c r="M443" s="35" t="n">
        <v>2601.77</v>
      </c>
      <c r="N443" s="36" t="inlineStr">
        <is>
          <t>25 Ağustos 08.00-1 Eylül 07.59</t>
        </is>
      </c>
      <c r="O443" s="37" t="n">
        <v>14.1</v>
      </c>
      <c r="P443" s="38" t="n">
        <v>3897.18</v>
      </c>
      <c r="Q443" s="39"/>
      <c r="R443" s="40" t="n">
        <f>=IF(AND(ISBLANK(Q443), ISBLANK(U443)), "", "7 Günlük Fiyat")</f>
        <v>0.0</v>
      </c>
      <c r="S443" s="41" t="n">
        <f>=IF(OR(Q443="", R443=""), "-", IF(ISNUMBER(SEARCH("7 Günlük", R443)), IF(Q443&lt;=M443, O443, "-"), "-"))</f>
        <v>0.0</v>
      </c>
      <c r="T443" s="42" t="str">
        <f>=IF(ISBLANK(Q443), "", "Hayır")</f>
      </c>
      <c r="U443" s="43"/>
      <c r="V443" s="44" t="inlineStr">
        <is>
          <t>50461ed1-c2c8-4393-967e-55d58a3e2664</t>
        </is>
      </c>
    </row>
    <row r="444">
      <c r="A444" s="23" t="inlineStr">
        <is>
          <t>Toz Ve Nem Alıcı Paspas Iş Yeri Paspası Iç Ve Dış Mekan Paspası Giriş Paspası Kapı Paspası</t>
        </is>
      </c>
      <c r="B444" s="24" t="inlineStr">
        <is>
          <t>780287237</t>
        </is>
      </c>
      <c r="C444" s="25" t="inlineStr">
        <is>
          <t>TOZKONTROL-IYP2-RAMPASIZ-SIYAH-120550</t>
        </is>
      </c>
      <c r="D444" s="26" t="inlineStr">
        <is>
          <t>TOZKONTROL-IYP2-RAMPASIZ-SIYAH-120550</t>
        </is>
      </c>
      <c r="E444" s="27" t="inlineStr">
        <is>
          <t>120 x 550</t>
        </is>
      </c>
      <c r="F444" s="28" t="inlineStr">
        <is>
          <t>TOZKONTROL-IYP2-RAMPASIZ</t>
        </is>
      </c>
      <c r="G444" s="29" t="inlineStr">
        <is>
          <t>Kapı Önü Paspası</t>
        </is>
      </c>
      <c r="H444" s="30" t="inlineStr">
        <is>
          <t>Paspas Yap</t>
        </is>
      </c>
      <c r="I444" s="31" t="n">
        <v>93.0</v>
      </c>
      <c r="J444" s="32" t="n">
        <v>8992.0</v>
      </c>
      <c r="K444" s="33" t="n">
        <v>7980.04</v>
      </c>
      <c r="L444" s="34" t="n">
        <v>22.0</v>
      </c>
      <c r="M444" s="35" t="n">
        <v>5345.37</v>
      </c>
      <c r="N444" s="36" t="inlineStr">
        <is>
          <t>25 Ağustos 08.00-1 Eylül 07.59</t>
        </is>
      </c>
      <c r="O444" s="37" t="n">
        <v>14.5</v>
      </c>
      <c r="P444" s="38" t="n">
        <v>7980.04</v>
      </c>
      <c r="Q444" s="39"/>
      <c r="R444" s="40" t="n">
        <f>=IF(AND(ISBLANK(Q444), ISBLANK(U444)), "", "7 Günlük Fiyat")</f>
        <v>0.0</v>
      </c>
      <c r="S444" s="41" t="n">
        <f>=IF(OR(Q444="", R444=""), "-", IF(ISNUMBER(SEARCH("7 Günlük", R444)), IF(Q444&lt;=M444, O444, "-"), "-"))</f>
        <v>0.0</v>
      </c>
      <c r="T444" s="42" t="str">
        <f>=IF(ISBLANK(Q444), "", "Hayır")</f>
      </c>
      <c r="U444" s="43"/>
      <c r="V444" s="44" t="inlineStr">
        <is>
          <t>50461ed1-c2c8-4393-967e-55d58a3e2664</t>
        </is>
      </c>
    </row>
    <row r="445">
      <c r="A445" s="23" t="inlineStr">
        <is>
          <t>Toz Ve Nem Alıcı Paspas Iş Yeri Paspası Iç Ve Dış Mekan Paspası Giriş Paspası Kapı Paspası</t>
        </is>
      </c>
      <c r="B445" s="24" t="inlineStr">
        <is>
          <t>780287237</t>
        </is>
      </c>
      <c r="C445" s="25" t="inlineStr">
        <is>
          <t>TOZKONTROL-IYP2-RAMPASIZ-SIYAH-1001100</t>
        </is>
      </c>
      <c r="D445" s="26" t="inlineStr">
        <is>
          <t>TOZKONTROL-IYP2-RAMPASIZ-SIYAH-1001100</t>
        </is>
      </c>
      <c r="E445" s="27" t="inlineStr">
        <is>
          <t>100 x 1100</t>
        </is>
      </c>
      <c r="F445" s="28" t="inlineStr">
        <is>
          <t>TOZKONTROL-IYP2-RAMPASIZ</t>
        </is>
      </c>
      <c r="G445" s="29" t="inlineStr">
        <is>
          <t>Kapı Önü Paspası</t>
        </is>
      </c>
      <c r="H445" s="30" t="inlineStr">
        <is>
          <t>Paspas Yap</t>
        </is>
      </c>
      <c r="I445" s="31" t="n">
        <v>93.0</v>
      </c>
      <c r="J445" s="32" t="n">
        <v>15206.0</v>
      </c>
      <c r="K445" s="33" t="n">
        <v>11830.69</v>
      </c>
      <c r="L445" s="34" t="n">
        <v>22.0</v>
      </c>
      <c r="M445" s="35" t="n">
        <v>8126.26</v>
      </c>
      <c r="N445" s="36" t="inlineStr">
        <is>
          <t>25 Ağustos 08.00-1 Eylül 07.59</t>
        </is>
      </c>
      <c r="O445" s="37" t="n">
        <v>13.6</v>
      </c>
      <c r="P445" s="38" t="n">
        <v>11830.69</v>
      </c>
      <c r="Q445" s="39"/>
      <c r="R445" s="40" t="n">
        <f>=IF(AND(ISBLANK(Q445), ISBLANK(U445)), "", "7 Günlük Fiyat")</f>
        <v>0.0</v>
      </c>
      <c r="S445" s="41" t="n">
        <f>=IF(OR(Q445="", R445=""), "-", IF(ISNUMBER(SEARCH("7 Günlük", R445)), IF(Q445&lt;=M445, O445, "-"), "-"))</f>
        <v>0.0</v>
      </c>
      <c r="T445" s="42" t="str">
        <f>=IF(ISBLANK(Q445), "", "Hayır")</f>
      </c>
      <c r="U445" s="43"/>
      <c r="V445" s="44" t="inlineStr">
        <is>
          <t>50461ed1-c2c8-4393-967e-55d58a3e2664</t>
        </is>
      </c>
    </row>
    <row r="446">
      <c r="A446" s="23" t="inlineStr">
        <is>
          <t>Toz Ve Nem Alıcı Paspas Iş Yeri Paspası Iç Ve Dış Mekan Paspası Giriş Paspası Kapı Paspası</t>
        </is>
      </c>
      <c r="B446" s="24" t="inlineStr">
        <is>
          <t>780287237</t>
        </is>
      </c>
      <c r="C446" s="25" t="inlineStr">
        <is>
          <t>TOZKONTROL-IYP2-RAMPASIZ-SIYAH-801000</t>
        </is>
      </c>
      <c r="D446" s="26" t="inlineStr">
        <is>
          <t>TOZKONTROL-IYP2-RAMPASIZ-SIYAH-801000</t>
        </is>
      </c>
      <c r="E446" s="27" t="inlineStr">
        <is>
          <t>80 x 1000</t>
        </is>
      </c>
      <c r="F446" s="28" t="inlineStr">
        <is>
          <t>TOZKONTROL-IYP2-RAMPASIZ</t>
        </is>
      </c>
      <c r="G446" s="29" t="inlineStr">
        <is>
          <t>Kapı Önü Paspası</t>
        </is>
      </c>
      <c r="H446" s="30" t="inlineStr">
        <is>
          <t>Paspas Yap</t>
        </is>
      </c>
      <c r="I446" s="31" t="n">
        <v>93.0</v>
      </c>
      <c r="J446" s="32" t="n">
        <v>10919.0</v>
      </c>
      <c r="K446" s="33" t="n">
        <v>9715.1</v>
      </c>
      <c r="L446" s="34" t="n">
        <v>22.0</v>
      </c>
      <c r="M446" s="35" t="n">
        <v>6504.26</v>
      </c>
      <c r="N446" s="36" t="inlineStr">
        <is>
          <t>25 Ağustos 08.00-1 Eylül 07.59</t>
        </is>
      </c>
      <c r="O446" s="37" t="n">
        <v>14.5</v>
      </c>
      <c r="P446" s="38" t="n">
        <v>9715.1</v>
      </c>
      <c r="Q446" s="39"/>
      <c r="R446" s="40" t="n">
        <f>=IF(AND(ISBLANK(Q446), ISBLANK(U446)), "", "7 Günlük Fiyat")</f>
        <v>0.0</v>
      </c>
      <c r="S446" s="41" t="n">
        <f>=IF(OR(Q446="", R446=""), "-", IF(ISNUMBER(SEARCH("7 Günlük", R446)), IF(Q446&lt;=M446, O446, "-"), "-"))</f>
        <v>0.0</v>
      </c>
      <c r="T446" s="42" t="str">
        <f>=IF(ISBLANK(Q446), "", "Hayır")</f>
      </c>
      <c r="U446" s="43"/>
      <c r="V446" s="44" t="inlineStr">
        <is>
          <t>50461ed1-c2c8-4393-967e-55d58a3e2664</t>
        </is>
      </c>
    </row>
    <row r="447">
      <c r="A447" s="23" t="inlineStr">
        <is>
          <t>Toz Ve Nem Alıcı Paspas Iş Yeri Paspası Iç Ve Dış Mekan Paspası Giriş Paspası Kapı Paspası</t>
        </is>
      </c>
      <c r="B447" s="24" t="inlineStr">
        <is>
          <t>780287237</t>
        </is>
      </c>
      <c r="C447" s="25" t="inlineStr">
        <is>
          <t>TOZKONTROL-IYP2-RAMPASIZ-SIYAH-1001150</t>
        </is>
      </c>
      <c r="D447" s="26" t="inlineStr">
        <is>
          <t>TOZKONTROL-IYP2-RAMPASIZ-SIYAH-1001150</t>
        </is>
      </c>
      <c r="E447" s="27" t="inlineStr">
        <is>
          <t>100 x 1150</t>
        </is>
      </c>
      <c r="F447" s="28" t="inlineStr">
        <is>
          <t>TOZKONTROL-IYP2-RAMPASIZ</t>
        </is>
      </c>
      <c r="G447" s="29" t="inlineStr">
        <is>
          <t>Kapı Önü Paspası</t>
        </is>
      </c>
      <c r="H447" s="30" t="inlineStr">
        <is>
          <t>Paspas Yap</t>
        </is>
      </c>
      <c r="I447" s="31" t="n">
        <v>93.0</v>
      </c>
      <c r="J447" s="32" t="n">
        <v>15959.0</v>
      </c>
      <c r="K447" s="33" t="n">
        <v>12430.66</v>
      </c>
      <c r="L447" s="34" t="n">
        <v>22.0</v>
      </c>
      <c r="M447" s="35" t="n">
        <v>8543.92</v>
      </c>
      <c r="N447" s="36" t="inlineStr">
        <is>
          <t>25 Ağustos 08.00-1 Eylül 07.59</t>
        </is>
      </c>
      <c r="O447" s="37" t="n">
        <v>13.6</v>
      </c>
      <c r="P447" s="38" t="n">
        <v>12430.66</v>
      </c>
      <c r="Q447" s="39"/>
      <c r="R447" s="40" t="n">
        <f>=IF(AND(ISBLANK(Q447), ISBLANK(U447)), "", "7 Günlük Fiyat")</f>
        <v>0.0</v>
      </c>
      <c r="S447" s="41" t="n">
        <f>=IF(OR(Q447="", R447=""), "-", IF(ISNUMBER(SEARCH("7 Günlük", R447)), IF(Q447&lt;=M447, O447, "-"), "-"))</f>
        <v>0.0</v>
      </c>
      <c r="T447" s="42" t="str">
        <f>=IF(ISBLANK(Q447), "", "Hayır")</f>
      </c>
      <c r="U447" s="43"/>
      <c r="V447" s="44" t="inlineStr">
        <is>
          <t>50461ed1-c2c8-4393-967e-55d58a3e2664</t>
        </is>
      </c>
    </row>
    <row r="448">
      <c r="A448" s="23" t="inlineStr">
        <is>
          <t>Toz Ve Nem Alıcı Paspas Iş Yeri Paspası Iç Ve Dış Mekan Paspası Giriş Paspası Kapı Paspası</t>
        </is>
      </c>
      <c r="B448" s="24" t="inlineStr">
        <is>
          <t>780287237</t>
        </is>
      </c>
      <c r="C448" s="25" t="inlineStr">
        <is>
          <t>TOZKONTROL-IYP2-RAMPASIZ-SIYAH-1201500</t>
        </is>
      </c>
      <c r="D448" s="26" t="inlineStr">
        <is>
          <t>TOZKONTROL-IYP2-RAMPASIZ-SIYAH-1201500</t>
        </is>
      </c>
      <c r="E448" s="27" t="inlineStr">
        <is>
          <t>120 x 1500</t>
        </is>
      </c>
      <c r="F448" s="28" t="inlineStr">
        <is>
          <t>TOZKONTROL-IYP2-RAMPASIZ</t>
        </is>
      </c>
      <c r="G448" s="29" t="inlineStr">
        <is>
          <t>Kapı Önü Paspası</t>
        </is>
      </c>
      <c r="H448" s="30" t="inlineStr">
        <is>
          <t>Paspas Yap</t>
        </is>
      </c>
      <c r="I448" s="31" t="n">
        <v>93.0</v>
      </c>
      <c r="J448" s="32" t="n">
        <v>25146.0</v>
      </c>
      <c r="K448" s="33" t="n">
        <v>21121.92</v>
      </c>
      <c r="L448" s="34" t="n">
        <v>22.0</v>
      </c>
      <c r="M448" s="35" t="n">
        <v>13696.17</v>
      </c>
      <c r="N448" s="36" t="inlineStr">
        <is>
          <t>25 Ağustos 08.00-1 Eylül 07.59</t>
        </is>
      </c>
      <c r="O448" s="37" t="n">
        <v>13.2</v>
      </c>
      <c r="P448" s="38" t="n">
        <v>21121.92</v>
      </c>
      <c r="Q448" s="39"/>
      <c r="R448" s="40" t="n">
        <f>=IF(AND(ISBLANK(Q448), ISBLANK(U448)), "", "7 Günlük Fiyat")</f>
        <v>0.0</v>
      </c>
      <c r="S448" s="41" t="n">
        <f>=IF(OR(Q448="", R448=""), "-", IF(ISNUMBER(SEARCH("7 Günlük", R448)), IF(Q448&lt;=M448, O448, "-"), "-"))</f>
        <v>0.0</v>
      </c>
      <c r="T448" s="42" t="str">
        <f>=IF(ISBLANK(Q448), "", "Hayır")</f>
      </c>
      <c r="U448" s="43"/>
      <c r="V448" s="44" t="inlineStr">
        <is>
          <t>50461ed1-c2c8-4393-967e-55d58a3e2664</t>
        </is>
      </c>
    </row>
    <row r="449">
      <c r="A449" s="23" t="inlineStr">
        <is>
          <t>Toz Ve Nem Alıcı Paspas Iş Yeri Paspası Iç Ve Dış Mekan Paspası Giriş Paspası Kapı Paspası</t>
        </is>
      </c>
      <c r="B449" s="24" t="inlineStr">
        <is>
          <t>780287237</t>
        </is>
      </c>
      <c r="C449" s="25" t="inlineStr">
        <is>
          <t>TOZKONTROL-IYP2-RAMPASIZ-SIYAH-100x100</t>
        </is>
      </c>
      <c r="D449" s="26" t="inlineStr">
        <is>
          <t>TOZKONTROL-IYP2-RAMPASIZ-SIYAH-100x100</t>
        </is>
      </c>
      <c r="E449" s="27" t="inlineStr">
        <is>
          <t>100 x 100</t>
        </is>
      </c>
      <c r="F449" s="28" t="inlineStr">
        <is>
          <t>TOZKONTROL-IYP2-RAMPASIZ</t>
        </is>
      </c>
      <c r="G449" s="29" t="inlineStr">
        <is>
          <t>Kapı Önü Paspası</t>
        </is>
      </c>
      <c r="H449" s="30" t="inlineStr">
        <is>
          <t>Paspas Yap</t>
        </is>
      </c>
      <c r="I449" s="31" t="n">
        <v>93.0</v>
      </c>
      <c r="J449" s="32" t="n">
        <v>1615.0</v>
      </c>
      <c r="K449" s="33" t="n">
        <v>1294.66</v>
      </c>
      <c r="L449" s="34" t="n">
        <v>21.3</v>
      </c>
      <c r="M449" s="35" t="n">
        <v>1028.58</v>
      </c>
      <c r="N449" s="36" t="inlineStr">
        <is>
          <t>25 Ağustos 08.00-1 Eylül 07.59</t>
        </is>
      </c>
      <c r="O449" s="37" t="n">
        <v>16.0</v>
      </c>
      <c r="P449" s="38" t="n">
        <v>1294.66</v>
      </c>
      <c r="Q449" s="39"/>
      <c r="R449" s="40" t="n">
        <f>=IF(AND(ISBLANK(Q449), ISBLANK(U449)), "", "7 Günlük Fiyat")</f>
        <v>0.0</v>
      </c>
      <c r="S449" s="41" t="n">
        <f>=IF(OR(Q449="", R449=""), "-", IF(ISNUMBER(SEARCH("7 Günlük", R449)), IF(Q449&lt;=M449, O449, "-"), "-"))</f>
        <v>0.0</v>
      </c>
      <c r="T449" s="42" t="str">
        <f>=IF(ISBLANK(Q449), "", "Hayır")</f>
      </c>
      <c r="U449" s="43"/>
      <c r="V449" s="44" t="inlineStr">
        <is>
          <t>50461ed1-c2c8-4393-967e-55d58a3e2664</t>
        </is>
      </c>
    </row>
    <row r="450">
      <c r="A450" s="23" t="inlineStr">
        <is>
          <t>Toz Ve Nem Alıcı Paspas Iş Yeri Paspası Iç Ve Dış Mekan Paspası Giriş Paspası Kapı Paspası</t>
        </is>
      </c>
      <c r="B450" s="24" t="inlineStr">
        <is>
          <t>780287237</t>
        </is>
      </c>
      <c r="C450" s="25" t="inlineStr">
        <is>
          <t>TOZKONTROL-IYP2-RAMPASIZ-SIYAH-90x90</t>
        </is>
      </c>
      <c r="D450" s="26" t="inlineStr">
        <is>
          <t>TOZKONTROL-IYP2-RAMPASIZ-SIYAH-90x90</t>
        </is>
      </c>
      <c r="E450" s="27" t="inlineStr">
        <is>
          <t>90 x 90</t>
        </is>
      </c>
      <c r="F450" s="28" t="inlineStr">
        <is>
          <t>TOZKONTROL-IYP2-RAMPASIZ</t>
        </is>
      </c>
      <c r="G450" s="29" t="inlineStr">
        <is>
          <t>Kapı Önü Paspası</t>
        </is>
      </c>
      <c r="H450" s="30" t="inlineStr">
        <is>
          <t>Paspas Yap</t>
        </is>
      </c>
      <c r="I450" s="31" t="n">
        <v>93.0</v>
      </c>
      <c r="J450" s="32" t="n">
        <v>1399.0</v>
      </c>
      <c r="K450" s="33" t="n">
        <v>1108.97</v>
      </c>
      <c r="L450" s="34" t="n">
        <v>22.0</v>
      </c>
      <c r="M450" s="35" t="n">
        <v>831.76</v>
      </c>
      <c r="N450" s="36" t="inlineStr">
        <is>
          <t>25 Ağustos 08.00-1 Eylül 07.59</t>
        </is>
      </c>
      <c r="O450" s="37" t="n">
        <v>14.5</v>
      </c>
      <c r="P450" s="38" t="n">
        <v>1108.97</v>
      </c>
      <c r="Q450" s="39"/>
      <c r="R450" s="40" t="n">
        <f>=IF(AND(ISBLANK(Q450), ISBLANK(U450)), "", "7 Günlük Fiyat")</f>
        <v>0.0</v>
      </c>
      <c r="S450" s="41" t="n">
        <f>=IF(OR(Q450="", R450=""), "-", IF(ISNUMBER(SEARCH("7 Günlük", R450)), IF(Q450&lt;=M450, O450, "-"), "-"))</f>
        <v>0.0</v>
      </c>
      <c r="T450" s="42" t="str">
        <f>=IF(ISBLANK(Q450), "", "Hayır")</f>
      </c>
      <c r="U450" s="43"/>
      <c r="V450" s="44" t="inlineStr">
        <is>
          <t>50461ed1-c2c8-4393-967e-55d58a3e2664</t>
        </is>
      </c>
    </row>
    <row r="451">
      <c r="A451" s="23" t="inlineStr">
        <is>
          <t>Toz Ve Nem Alıcı Paspas Iş Yeri Paspası Iç Ve Dış Mekan Paspası Giriş Paspası Kapı Paspası</t>
        </is>
      </c>
      <c r="B451" s="24" t="inlineStr">
        <is>
          <t>780287237</t>
        </is>
      </c>
      <c r="C451" s="25" t="inlineStr">
        <is>
          <t>TOZKONTROL-IYP2-RAMPASIZ-SIYAH-1201000</t>
        </is>
      </c>
      <c r="D451" s="26" t="inlineStr">
        <is>
          <t>TOZKONTROL-IYP2-RAMPASIZ-SIYAH-1201000</t>
        </is>
      </c>
      <c r="E451" s="27" t="inlineStr">
        <is>
          <t>120 x 1000</t>
        </is>
      </c>
      <c r="F451" s="28" t="inlineStr">
        <is>
          <t>TOZKONTROL-IYP2-RAMPASIZ</t>
        </is>
      </c>
      <c r="G451" s="29" t="inlineStr">
        <is>
          <t>Kapı Önü Paspası</t>
        </is>
      </c>
      <c r="H451" s="30" t="inlineStr">
        <is>
          <t>Paspas Yap</t>
        </is>
      </c>
      <c r="I451" s="31" t="n">
        <v>93.0</v>
      </c>
      <c r="J451" s="32" t="n">
        <v>16611.0</v>
      </c>
      <c r="K451" s="33" t="n">
        <v>13040.51</v>
      </c>
      <c r="L451" s="34" t="n">
        <v>22.0</v>
      </c>
      <c r="M451" s="35" t="n">
        <v>8919.35</v>
      </c>
      <c r="N451" s="36" t="inlineStr">
        <is>
          <t>25 Ağustos 08.00-1 Eylül 07.59</t>
        </is>
      </c>
      <c r="O451" s="37" t="n">
        <v>13.7</v>
      </c>
      <c r="P451" s="38" t="n">
        <v>13040.51</v>
      </c>
      <c r="Q451" s="39"/>
      <c r="R451" s="40" t="n">
        <f>=IF(AND(ISBLANK(Q451), ISBLANK(U451)), "", "7 Günlük Fiyat")</f>
        <v>0.0</v>
      </c>
      <c r="S451" s="41" t="n">
        <f>=IF(OR(Q451="", R451=""), "-", IF(ISNUMBER(SEARCH("7 Günlük", R451)), IF(Q451&lt;=M451, O451, "-"), "-"))</f>
        <v>0.0</v>
      </c>
      <c r="T451" s="42" t="str">
        <f>=IF(ISBLANK(Q451), "", "Hayır")</f>
      </c>
      <c r="U451" s="43"/>
      <c r="V451" s="44" t="inlineStr">
        <is>
          <t>50461ed1-c2c8-4393-967e-55d58a3e2664</t>
        </is>
      </c>
    </row>
    <row r="452">
      <c r="A452" s="23" t="inlineStr">
        <is>
          <t>Toz Ve Nem Alıcı Paspas Iş Yeri Paspası Iç Ve Dış Mekan Paspası Giriş Paspası Kapı Paspası</t>
        </is>
      </c>
      <c r="B452" s="24" t="inlineStr">
        <is>
          <t>780287237</t>
        </is>
      </c>
      <c r="C452" s="25" t="inlineStr">
        <is>
          <t>TOZKONTROL-IYP2-RAMPASIZ-SIYAH-120850</t>
        </is>
      </c>
      <c r="D452" s="26" t="inlineStr">
        <is>
          <t>TOZKONTROL-IYP2-RAMPASIZ-SIYAH-120850</t>
        </is>
      </c>
      <c r="E452" s="27" t="inlineStr">
        <is>
          <t>120 x 850</t>
        </is>
      </c>
      <c r="F452" s="28" t="inlineStr">
        <is>
          <t>TOZKONTROL-IYP2-RAMPASIZ</t>
        </is>
      </c>
      <c r="G452" s="29" t="inlineStr">
        <is>
          <t>Kapı Önü Paspası</t>
        </is>
      </c>
      <c r="H452" s="30" t="inlineStr">
        <is>
          <t>Paspas Yap</t>
        </is>
      </c>
      <c r="I452" s="31" t="n">
        <v>93.0</v>
      </c>
      <c r="J452" s="32" t="n">
        <v>14121.0</v>
      </c>
      <c r="K452" s="33" t="n">
        <v>11011.58</v>
      </c>
      <c r="L452" s="34" t="n">
        <v>22.0</v>
      </c>
      <c r="M452" s="35" t="n">
        <v>7347.88</v>
      </c>
      <c r="N452" s="36" t="inlineStr">
        <is>
          <t>25 Ağustos 08.00-1 Eylül 07.59</t>
        </is>
      </c>
      <c r="O452" s="37" t="n">
        <v>13.1</v>
      </c>
      <c r="P452" s="38" t="n">
        <v>11011.58</v>
      </c>
      <c r="Q452" s="39"/>
      <c r="R452" s="40" t="n">
        <f>=IF(AND(ISBLANK(Q452), ISBLANK(U452)), "", "7 Günlük Fiyat")</f>
        <v>0.0</v>
      </c>
      <c r="S452" s="41" t="n">
        <f>=IF(OR(Q452="", R452=""), "-", IF(ISNUMBER(SEARCH("7 Günlük", R452)), IF(Q452&lt;=M452, O452, "-"), "-"))</f>
        <v>0.0</v>
      </c>
      <c r="T452" s="42" t="str">
        <f>=IF(ISBLANK(Q452), "", "Hayır")</f>
      </c>
      <c r="U452" s="43"/>
      <c r="V452" s="44" t="inlineStr">
        <is>
          <t>50461ed1-c2c8-4393-967e-55d58a3e2664</t>
        </is>
      </c>
    </row>
    <row r="453">
      <c r="A453" s="23" t="inlineStr">
        <is>
          <t>Toz Ve Nem Alıcı Paspas Iş Yeri Paspası Iç Ve Dış Mekan Paspası Giriş Paspası Kapı Paspası</t>
        </is>
      </c>
      <c r="B453" s="24" t="inlineStr">
        <is>
          <t>780287237</t>
        </is>
      </c>
      <c r="C453" s="25" t="inlineStr">
        <is>
          <t>TOZKONTROL-IYP2-RAMPASIZ-SIYAH-1201450</t>
        </is>
      </c>
      <c r="D453" s="26" t="inlineStr">
        <is>
          <t>TOZKONTROL-IYP2-RAMPASIZ-SIYAH-1201450</t>
        </is>
      </c>
      <c r="E453" s="27" t="inlineStr">
        <is>
          <t>120 x 1450</t>
        </is>
      </c>
      <c r="F453" s="28" t="inlineStr">
        <is>
          <t>TOZKONTROL-IYP2-RAMPASIZ</t>
        </is>
      </c>
      <c r="G453" s="29" t="inlineStr">
        <is>
          <t>Kapı Önü Paspası</t>
        </is>
      </c>
      <c r="H453" s="30" t="inlineStr">
        <is>
          <t>Paspas Yap</t>
        </is>
      </c>
      <c r="I453" s="31" t="n">
        <v>93.0</v>
      </c>
      <c r="J453" s="32" t="n">
        <v>24283.0</v>
      </c>
      <c r="K453" s="33" t="n">
        <v>18900.06</v>
      </c>
      <c r="L453" s="34" t="n">
        <v>22.0</v>
      </c>
      <c r="M453" s="35" t="n">
        <v>12555.44</v>
      </c>
      <c r="N453" s="36" t="inlineStr">
        <is>
          <t>25 Ağustos 08.00-1 Eylül 07.59</t>
        </is>
      </c>
      <c r="O453" s="37" t="n">
        <v>13.0</v>
      </c>
      <c r="P453" s="38" t="n">
        <v>18900.06</v>
      </c>
      <c r="Q453" s="39"/>
      <c r="R453" s="40" t="n">
        <f>=IF(AND(ISBLANK(Q453), ISBLANK(U453)), "", "7 Günlük Fiyat")</f>
        <v>0.0</v>
      </c>
      <c r="S453" s="41" t="n">
        <f>=IF(OR(Q453="", R453=""), "-", IF(ISNUMBER(SEARCH("7 Günlük", R453)), IF(Q453&lt;=M453, O453, "-"), "-"))</f>
        <v>0.0</v>
      </c>
      <c r="T453" s="42" t="str">
        <f>=IF(ISBLANK(Q453), "", "Hayır")</f>
      </c>
      <c r="U453" s="43"/>
      <c r="V453" s="44" t="inlineStr">
        <is>
          <t>50461ed1-c2c8-4393-967e-55d58a3e2664</t>
        </is>
      </c>
    </row>
    <row r="454">
      <c r="A454" s="23" t="inlineStr">
        <is>
          <t>Toz Ve Nem Alıcı Paspas Iş Yeri Paspası Iç Ve Dış Mekan Paspası Giriş Paspası Kapı Paspası</t>
        </is>
      </c>
      <c r="B454" s="24" t="inlineStr">
        <is>
          <t>780287237</t>
        </is>
      </c>
      <c r="C454" s="25" t="inlineStr">
        <is>
          <t>TOZKONTROL-IYP2-RAMPASIZ-SIYAH-40x60</t>
        </is>
      </c>
      <c r="D454" s="26" t="inlineStr">
        <is>
          <t>TOZKONTROL-IYP2-RAMPASIZ-SIYAH-40x60</t>
        </is>
      </c>
      <c r="E454" s="27" t="inlineStr">
        <is>
          <t>40 x 60</t>
        </is>
      </c>
      <c r="F454" s="28" t="inlineStr">
        <is>
          <t>TOZKONTROL-IYP2-RAMPASIZ</t>
        </is>
      </c>
      <c r="G454" s="29" t="inlineStr">
        <is>
          <t>Kapı Önü Paspası</t>
        </is>
      </c>
      <c r="H454" s="30" t="inlineStr">
        <is>
          <t>Paspas Yap</t>
        </is>
      </c>
      <c r="I454" s="31" t="n">
        <v>91.0</v>
      </c>
      <c r="J454" s="32" t="n">
        <v>549.0</v>
      </c>
      <c r="K454" s="33" t="n">
        <v>485.0</v>
      </c>
      <c r="L454" s="34" t="n">
        <v>22.0</v>
      </c>
      <c r="M454" s="35" t="n">
        <v>323.26</v>
      </c>
      <c r="N454" s="36" t="inlineStr">
        <is>
          <t>25 Ağustos 08.00-1 Eylül 07.59</t>
        </is>
      </c>
      <c r="O454" s="37" t="n">
        <v>12.9</v>
      </c>
      <c r="P454" s="38" t="n">
        <v>485.0</v>
      </c>
      <c r="Q454" s="39"/>
      <c r="R454" s="40" t="n">
        <f>=IF(AND(ISBLANK(Q454), ISBLANK(U454)), "", "7 Günlük Fiyat")</f>
        <v>0.0</v>
      </c>
      <c r="S454" s="41" t="n">
        <f>=IF(OR(Q454="", R454=""), "-", IF(ISNUMBER(SEARCH("7 Günlük", R454)), IF(Q454&lt;=M454, O454, "-"), "-"))</f>
        <v>0.0</v>
      </c>
      <c r="T454" s="42" t="str">
        <f>=IF(ISBLANK(Q454), "", "Hayır")</f>
      </c>
      <c r="U454" s="43"/>
      <c r="V454" s="44" t="inlineStr">
        <is>
          <t>50461ed1-c2c8-4393-967e-55d58a3e2664</t>
        </is>
      </c>
    </row>
    <row r="455">
      <c r="A455" s="23" t="inlineStr">
        <is>
          <t>Toz Ve Nem Alıcı Paspas Iş Yeri Paspası Iç Ve Dış Mekan Paspası Giriş Paspası Kapı Paspası</t>
        </is>
      </c>
      <c r="B455" s="24" t="inlineStr">
        <is>
          <t>780287237</t>
        </is>
      </c>
      <c r="C455" s="25" t="inlineStr">
        <is>
          <t>TOZKONTROL-IYP2-RAMPASIZ-SIYAH-50x90</t>
        </is>
      </c>
      <c r="D455" s="26" t="inlineStr">
        <is>
          <t>TOZKONTROL-IYP2-RAMPASIZ-SIYAH-50x90</t>
        </is>
      </c>
      <c r="E455" s="27" t="inlineStr">
        <is>
          <t>50 x 90</t>
        </is>
      </c>
      <c r="F455" s="28" t="inlineStr">
        <is>
          <t>TOZKONTROL-IYP2-RAMPASIZ</t>
        </is>
      </c>
      <c r="G455" s="29" t="inlineStr">
        <is>
          <t>Kapı Önü Paspası</t>
        </is>
      </c>
      <c r="H455" s="30" t="inlineStr">
        <is>
          <t>Paspas Yap</t>
        </is>
      </c>
      <c r="I455" s="31" t="n">
        <v>92.0</v>
      </c>
      <c r="J455" s="32" t="n">
        <v>889.0</v>
      </c>
      <c r="K455" s="33" t="n">
        <v>798.01</v>
      </c>
      <c r="L455" s="34" t="n">
        <v>22.0</v>
      </c>
      <c r="M455" s="35" t="n">
        <v>544.63</v>
      </c>
      <c r="N455" s="36" t="inlineStr">
        <is>
          <t>25 Ağustos 08.00-1 Eylül 07.59</t>
        </is>
      </c>
      <c r="O455" s="37" t="n">
        <v>14.5</v>
      </c>
      <c r="P455" s="38" t="n">
        <v>798.01</v>
      </c>
      <c r="Q455" s="39"/>
      <c r="R455" s="40" t="n">
        <f>=IF(AND(ISBLANK(Q455), ISBLANK(U455)), "", "7 Günlük Fiyat")</f>
        <v>0.0</v>
      </c>
      <c r="S455" s="41" t="n">
        <f>=IF(OR(Q455="", R455=""), "-", IF(ISNUMBER(SEARCH("7 Günlük", R455)), IF(Q455&lt;=M455, O455, "-"), "-"))</f>
        <v>0.0</v>
      </c>
      <c r="T455" s="42" t="str">
        <f>=IF(ISBLANK(Q455), "", "Hayır")</f>
      </c>
      <c r="U455" s="43"/>
      <c r="V455" s="44" t="inlineStr">
        <is>
          <t>50461ed1-c2c8-4393-967e-55d58a3e2664</t>
        </is>
      </c>
    </row>
    <row r="456">
      <c r="A456" s="23" t="inlineStr">
        <is>
          <t>Toz Ve Nem Alıcı Paspas Iş Yeri Paspası Iç Ve Dış Mekan Paspası Giriş Paspası Kapı Paspası</t>
        </is>
      </c>
      <c r="B456" s="24" t="inlineStr">
        <is>
          <t>780287237</t>
        </is>
      </c>
      <c r="C456" s="25" t="inlineStr">
        <is>
          <t>TOZKONTROL-IYP2-RAMPASIZ-SIYAH-80x100</t>
        </is>
      </c>
      <c r="D456" s="26" t="inlineStr">
        <is>
          <t>TOZKONTROL-IYP2-RAMPASIZ-SIYAH-80x100</t>
        </is>
      </c>
      <c r="E456" s="27" t="inlineStr">
        <is>
          <t>80 x 100</t>
        </is>
      </c>
      <c r="F456" s="28" t="inlineStr">
        <is>
          <t>TOZKONTROL-IYP2-RAMPASIZ</t>
        </is>
      </c>
      <c r="G456" s="29" t="inlineStr">
        <is>
          <t>Kapı Önü Paspası</t>
        </is>
      </c>
      <c r="H456" s="30" t="inlineStr">
        <is>
          <t>Paspas Yap</t>
        </is>
      </c>
      <c r="I456" s="31" t="n">
        <v>93.0</v>
      </c>
      <c r="J456" s="32" t="n">
        <v>1355.0</v>
      </c>
      <c r="K456" s="33" t="n">
        <v>1025.37</v>
      </c>
      <c r="L456" s="34" t="n">
        <v>22.0</v>
      </c>
      <c r="M456" s="35" t="n">
        <v>749.8</v>
      </c>
      <c r="N456" s="36" t="inlineStr">
        <is>
          <t>25 Ağustos 08.00-1 Eylül 07.59</t>
        </is>
      </c>
      <c r="O456" s="37" t="n">
        <v>14.4</v>
      </c>
      <c r="P456" s="38" t="n">
        <v>1025.37</v>
      </c>
      <c r="Q456" s="39"/>
      <c r="R456" s="40" t="n">
        <f>=IF(AND(ISBLANK(Q456), ISBLANK(U456)), "", "7 Günlük Fiyat")</f>
        <v>0.0</v>
      </c>
      <c r="S456" s="41" t="n">
        <f>=IF(OR(Q456="", R456=""), "-", IF(ISNUMBER(SEARCH("7 Günlük", R456)), IF(Q456&lt;=M456, O456, "-"), "-"))</f>
        <v>0.0</v>
      </c>
      <c r="T456" s="42" t="str">
        <f>=IF(ISBLANK(Q456), "", "Hayır")</f>
      </c>
      <c r="U456" s="43"/>
      <c r="V456" s="44" t="inlineStr">
        <is>
          <t>50461ed1-c2c8-4393-967e-55d58a3e2664</t>
        </is>
      </c>
    </row>
    <row r="457">
      <c r="A457" s="23" t="inlineStr">
        <is>
          <t>Toz Ve Nem Alıcı Paspas Iş Yeri Paspası Iç Ve Dış Mekan Paspası Giriş Paspası Kapı Paspası</t>
        </is>
      </c>
      <c r="B457" s="24" t="inlineStr">
        <is>
          <t>780287237</t>
        </is>
      </c>
      <c r="C457" s="25" t="inlineStr">
        <is>
          <t>TOZKONTROL-IYP2-RAMPASIZ-SIYAH-120750</t>
        </is>
      </c>
      <c r="D457" s="26" t="inlineStr">
        <is>
          <t>TOZKONTROL-IYP2-RAMPASIZ-SIYAH-120750</t>
        </is>
      </c>
      <c r="E457" s="27" t="inlineStr">
        <is>
          <t>120 x 750</t>
        </is>
      </c>
      <c r="F457" s="28" t="inlineStr">
        <is>
          <t>TOZKONTROL-IYP2-RAMPASIZ</t>
        </is>
      </c>
      <c r="G457" s="29" t="inlineStr">
        <is>
          <t>Kapı Önü Paspası</t>
        </is>
      </c>
      <c r="H457" s="30" t="inlineStr">
        <is>
          <t>Paspas Yap</t>
        </is>
      </c>
      <c r="I457" s="31" t="n">
        <v>93.0</v>
      </c>
      <c r="J457" s="32" t="n">
        <v>12300.0</v>
      </c>
      <c r="K457" s="33" t="n">
        <v>9582.62</v>
      </c>
      <c r="L457" s="34" t="n">
        <v>22.0</v>
      </c>
      <c r="M457" s="35" t="n">
        <v>6524.85</v>
      </c>
      <c r="N457" s="36" t="inlineStr">
        <is>
          <t>25 Ağustos 08.00-1 Eylül 07.59</t>
        </is>
      </c>
      <c r="O457" s="37" t="n">
        <v>13.5</v>
      </c>
      <c r="P457" s="38" t="n">
        <v>9582.62</v>
      </c>
      <c r="Q457" s="39"/>
      <c r="R457" s="40" t="n">
        <f>=IF(AND(ISBLANK(Q457), ISBLANK(U457)), "", "7 Günlük Fiyat")</f>
        <v>0.0</v>
      </c>
      <c r="S457" s="41" t="n">
        <f>=IF(OR(Q457="", R457=""), "-", IF(ISNUMBER(SEARCH("7 Günlük", R457)), IF(Q457&lt;=M457, O457, "-"), "-"))</f>
        <v>0.0</v>
      </c>
      <c r="T457" s="42" t="str">
        <f>=IF(ISBLANK(Q457), "", "Hayır")</f>
      </c>
      <c r="U457" s="43"/>
      <c r="V457" s="44" t="inlineStr">
        <is>
          <t>50461ed1-c2c8-4393-967e-55d58a3e2664</t>
        </is>
      </c>
    </row>
    <row r="458">
      <c r="A458" s="23" t="inlineStr">
        <is>
          <t>Toz Ve Nem Alıcı Paspas Iş Yeri Paspası Iç Ve Dış Mekan Paspası Giriş Paspası Kapı Paspası</t>
        </is>
      </c>
      <c r="B458" s="24" t="inlineStr">
        <is>
          <t>780287237</t>
        </is>
      </c>
      <c r="C458" s="25" t="inlineStr">
        <is>
          <t>TOZKONTROL-IYP2-RAMPASIZ-SIYAH-100x350</t>
        </is>
      </c>
      <c r="D458" s="26" t="inlineStr">
        <is>
          <t>TOZKONTROL-IYP2-RAMPASIZ-SIYAH-100x350</t>
        </is>
      </c>
      <c r="E458" s="27" t="inlineStr">
        <is>
          <t>100 x 350</t>
        </is>
      </c>
      <c r="F458" s="28" t="inlineStr">
        <is>
          <t>TOZKONTROL-IYP2-RAMPASIZ</t>
        </is>
      </c>
      <c r="G458" s="29" t="inlineStr">
        <is>
          <t>Kapı Önü Paspası</t>
        </is>
      </c>
      <c r="H458" s="30" t="inlineStr">
        <is>
          <t>Paspas Yap</t>
        </is>
      </c>
      <c r="I458" s="31" t="n">
        <v>93.0</v>
      </c>
      <c r="J458" s="32" t="n">
        <v>4904.0</v>
      </c>
      <c r="K458" s="33" t="n">
        <v>4259.52</v>
      </c>
      <c r="L458" s="34" t="n">
        <v>22.0</v>
      </c>
      <c r="M458" s="35" t="n">
        <v>2839.03</v>
      </c>
      <c r="N458" s="36" t="inlineStr">
        <is>
          <t>25 Ağustos 08.00-1 Eylül 07.59</t>
        </is>
      </c>
      <c r="O458" s="37" t="n">
        <v>14.1</v>
      </c>
      <c r="P458" s="38" t="n">
        <v>4259.52</v>
      </c>
      <c r="Q458" s="39"/>
      <c r="R458" s="40" t="n">
        <f>=IF(AND(ISBLANK(Q458), ISBLANK(U458)), "", "7 Günlük Fiyat")</f>
        <v>0.0</v>
      </c>
      <c r="S458" s="41" t="n">
        <f>=IF(OR(Q458="", R458=""), "-", IF(ISNUMBER(SEARCH("7 Günlük", R458)), IF(Q458&lt;=M458, O458, "-"), "-"))</f>
        <v>0.0</v>
      </c>
      <c r="T458" s="42" t="str">
        <f>=IF(ISBLANK(Q458), "", "Hayır")</f>
      </c>
      <c r="U458" s="43"/>
      <c r="V458" s="44" t="inlineStr">
        <is>
          <t>50461ed1-c2c8-4393-967e-55d58a3e2664</t>
        </is>
      </c>
    </row>
    <row r="459">
      <c r="A459" s="23" t="inlineStr">
        <is>
          <t>Toz Ve Nem Alıcı Paspas Iş Yeri Paspası Iç Ve Dış Mekan Paspası Giriş Paspası Kapı Paspası</t>
        </is>
      </c>
      <c r="B459" s="24" t="inlineStr">
        <is>
          <t>780287237</t>
        </is>
      </c>
      <c r="C459" s="25" t="inlineStr">
        <is>
          <t>TOZKONTROL-IYP2-RAMPASIZ-SIYAH-33x60</t>
        </is>
      </c>
      <c r="D459" s="26" t="inlineStr">
        <is>
          <t>TOZKONTROL-IYP2-RAMPASIZ-SIYAH-33x60</t>
        </is>
      </c>
      <c r="E459" s="27" t="inlineStr">
        <is>
          <t>33 x 60</t>
        </is>
      </c>
      <c r="F459" s="28" t="inlineStr">
        <is>
          <t>TOZKONTROL-IYP2-RAMPASIZ</t>
        </is>
      </c>
      <c r="G459" s="29" t="inlineStr">
        <is>
          <t>Kapı Önü Paspası</t>
        </is>
      </c>
      <c r="H459" s="30" t="inlineStr">
        <is>
          <t>Paspas Yap</t>
        </is>
      </c>
      <c r="I459" s="31" t="n">
        <v>91.0</v>
      </c>
      <c r="J459" s="32" t="n">
        <v>399.0</v>
      </c>
      <c r="K459" s="33" t="n">
        <v>399.0</v>
      </c>
      <c r="L459" s="34" t="n">
        <v>22.0</v>
      </c>
      <c r="M459" s="35" t="n">
        <v>302.37</v>
      </c>
      <c r="N459" s="36" t="inlineStr">
        <is>
          <t>25 Ağustos 08.00-1 Eylül 07.59</t>
        </is>
      </c>
      <c r="O459" s="37" t="n">
        <v>16.9</v>
      </c>
      <c r="P459" s="38" t="n">
        <v>399.0</v>
      </c>
      <c r="Q459" s="39"/>
      <c r="R459" s="40" t="n">
        <f>=IF(AND(ISBLANK(Q459), ISBLANK(U459)), "", "7 Günlük Fiyat")</f>
        <v>0.0</v>
      </c>
      <c r="S459" s="41" t="n">
        <f>=IF(OR(Q459="", R459=""), "-", IF(ISNUMBER(SEARCH("7 Günlük", R459)), IF(Q459&lt;=M459, O459, "-"), "-"))</f>
        <v>0.0</v>
      </c>
      <c r="T459" s="42" t="str">
        <f>=IF(ISBLANK(Q459), "", "Hayır")</f>
      </c>
      <c r="U459" s="43"/>
      <c r="V459" s="44" t="inlineStr">
        <is>
          <t>50461ed1-c2c8-4393-967e-55d58a3e2664</t>
        </is>
      </c>
    </row>
    <row r="460">
      <c r="A460" s="23" t="inlineStr">
        <is>
          <t>Toz Ve Nem Alıcı Paspas Iş Yeri Paspası Iç Ve Dış Mekan Paspası Giriş Paspası Kapı Paspası</t>
        </is>
      </c>
      <c r="B460" s="24" t="inlineStr">
        <is>
          <t>780287237</t>
        </is>
      </c>
      <c r="C460" s="25" t="inlineStr">
        <is>
          <t>TOZKONTROL-IYP2-RAMPASIZ-SIYAH-120450</t>
        </is>
      </c>
      <c r="D460" s="26" t="inlineStr">
        <is>
          <t>TOZKONTROL-IYP2-RAMPASIZ-SIYAH-120450</t>
        </is>
      </c>
      <c r="E460" s="27" t="inlineStr">
        <is>
          <t>120 x 450</t>
        </is>
      </c>
      <c r="F460" s="28" t="inlineStr">
        <is>
          <t>TOZKONTROL-IYP2-RAMPASIZ</t>
        </is>
      </c>
      <c r="G460" s="29" t="inlineStr">
        <is>
          <t>Kapı Önü Paspası</t>
        </is>
      </c>
      <c r="H460" s="30" t="inlineStr">
        <is>
          <t>Paspas Yap</t>
        </is>
      </c>
      <c r="I460" s="31" t="n">
        <v>93.0</v>
      </c>
      <c r="J460" s="32" t="n">
        <v>7379.0</v>
      </c>
      <c r="K460" s="33" t="n">
        <v>5725.02</v>
      </c>
      <c r="L460" s="34" t="n">
        <v>22.0</v>
      </c>
      <c r="M460" s="35" t="n">
        <v>3911.94</v>
      </c>
      <c r="N460" s="36" t="inlineStr">
        <is>
          <t>25 Ağustos 08.00-1 Eylül 07.59</t>
        </is>
      </c>
      <c r="O460" s="37" t="n">
        <v>13.5</v>
      </c>
      <c r="P460" s="38" t="n">
        <v>5725.02</v>
      </c>
      <c r="Q460" s="39"/>
      <c r="R460" s="40" t="n">
        <f>=IF(AND(ISBLANK(Q460), ISBLANK(U460)), "", "7 Günlük Fiyat")</f>
        <v>0.0</v>
      </c>
      <c r="S460" s="41" t="n">
        <f>=IF(OR(Q460="", R460=""), "-", IF(ISNUMBER(SEARCH("7 Günlük", R460)), IF(Q460&lt;=M460, O460, "-"), "-"))</f>
        <v>0.0</v>
      </c>
      <c r="T460" s="42" t="str">
        <f>=IF(ISBLANK(Q460), "", "Hayır")</f>
      </c>
      <c r="U460" s="43"/>
      <c r="V460" s="44" t="inlineStr">
        <is>
          <t>50461ed1-c2c8-4393-967e-55d58a3e2664</t>
        </is>
      </c>
    </row>
    <row r="461">
      <c r="A461" s="23" t="inlineStr">
        <is>
          <t>Toz Ve Nem Alıcı Paspas Iş Yeri Paspası Iç Ve Dış Mekan Paspası Giriş Paspası Kapı Paspası</t>
        </is>
      </c>
      <c r="B461" s="24" t="inlineStr">
        <is>
          <t>780287237</t>
        </is>
      </c>
      <c r="C461" s="25" t="inlineStr">
        <is>
          <t>TOZKONTROL-IYP2-RAMPASIZ-SIYAH-1001350</t>
        </is>
      </c>
      <c r="D461" s="26" t="inlineStr">
        <is>
          <t>TOZKONTROL-IYP2-RAMPASIZ-SIYAH-1001350</t>
        </is>
      </c>
      <c r="E461" s="27" t="inlineStr">
        <is>
          <t>100 x 1350</t>
        </is>
      </c>
      <c r="F461" s="28" t="inlineStr">
        <is>
          <t>TOZKONTROL-IYP2-RAMPASIZ</t>
        </is>
      </c>
      <c r="G461" s="29" t="inlineStr">
        <is>
          <t>Kapı Önü Paspası</t>
        </is>
      </c>
      <c r="H461" s="30" t="inlineStr">
        <is>
          <t>Paspas Yap</t>
        </is>
      </c>
      <c r="I461" s="31" t="n">
        <v>93.0</v>
      </c>
      <c r="J461" s="32" t="n">
        <v>18771.0</v>
      </c>
      <c r="K461" s="33" t="n">
        <v>14890.18</v>
      </c>
      <c r="L461" s="34" t="n">
        <v>22.0</v>
      </c>
      <c r="M461" s="35" t="n">
        <v>9952.79</v>
      </c>
      <c r="N461" s="36" t="inlineStr">
        <is>
          <t>25 Ağustos 08.00-1 Eylül 07.59</t>
        </is>
      </c>
      <c r="O461" s="37" t="n">
        <v>13.3</v>
      </c>
      <c r="P461" s="38" t="n">
        <v>14890.18</v>
      </c>
      <c r="Q461" s="39"/>
      <c r="R461" s="40" t="n">
        <f>=IF(AND(ISBLANK(Q461), ISBLANK(U461)), "", "7 Günlük Fiyat")</f>
        <v>0.0</v>
      </c>
      <c r="S461" s="41" t="n">
        <f>=IF(OR(Q461="", R461=""), "-", IF(ISNUMBER(SEARCH("7 Günlük", R461)), IF(Q461&lt;=M461, O461, "-"), "-"))</f>
        <v>0.0</v>
      </c>
      <c r="T461" s="42" t="str">
        <f>=IF(ISBLANK(Q461), "", "Hayır")</f>
      </c>
      <c r="U461" s="43"/>
      <c r="V461" s="44" t="inlineStr">
        <is>
          <t>50461ed1-c2c8-4393-967e-55d58a3e2664</t>
        </is>
      </c>
    </row>
    <row r="462">
      <c r="A462" s="23" t="inlineStr">
        <is>
          <t>Toz Ve Nem Alıcı Paspas Iş Yeri Paspası Iç Ve Dış Mekan Paspası Giriş Paspası Kapı Paspası</t>
        </is>
      </c>
      <c r="B462" s="24" t="inlineStr">
        <is>
          <t>780287237</t>
        </is>
      </c>
      <c r="C462" s="25" t="inlineStr">
        <is>
          <t>TOZKONTROL-IYP2-RAMPASIZ-SIYAH-120500</t>
        </is>
      </c>
      <c r="D462" s="26" t="inlineStr">
        <is>
          <t>TOZKONTROL-IYP2-RAMPASIZ-SIYAH-120500</t>
        </is>
      </c>
      <c r="E462" s="27" t="inlineStr">
        <is>
          <t>120 x 500</t>
        </is>
      </c>
      <c r="F462" s="28" t="inlineStr">
        <is>
          <t>TOZKONTROL-IYP2-RAMPASIZ</t>
        </is>
      </c>
      <c r="G462" s="29" t="inlineStr">
        <is>
          <t>Kapı Önü Paspası</t>
        </is>
      </c>
      <c r="H462" s="30" t="inlineStr">
        <is>
          <t>Paspas Yap</t>
        </is>
      </c>
      <c r="I462" s="31" t="n">
        <v>93.0</v>
      </c>
      <c r="J462" s="32" t="n">
        <v>8254.0</v>
      </c>
      <c r="K462" s="33" t="n">
        <v>6438.59</v>
      </c>
      <c r="L462" s="34" t="n">
        <v>22.0</v>
      </c>
      <c r="M462" s="35" t="n">
        <v>4413.98</v>
      </c>
      <c r="N462" s="36" t="inlineStr">
        <is>
          <t>25 Ağustos 08.00-1 Eylül 07.59</t>
        </is>
      </c>
      <c r="O462" s="37" t="n">
        <v>13.6</v>
      </c>
      <c r="P462" s="38" t="n">
        <v>6438.59</v>
      </c>
      <c r="Q462" s="39"/>
      <c r="R462" s="40" t="n">
        <f>=IF(AND(ISBLANK(Q462), ISBLANK(U462)), "", "7 Günlük Fiyat")</f>
        <v>0.0</v>
      </c>
      <c r="S462" s="41" t="n">
        <f>=IF(OR(Q462="", R462=""), "-", IF(ISNUMBER(SEARCH("7 Günlük", R462)), IF(Q462&lt;=M462, O462, "-"), "-"))</f>
        <v>0.0</v>
      </c>
      <c r="T462" s="42" t="str">
        <f>=IF(ISBLANK(Q462), "", "Hayır")</f>
      </c>
      <c r="U462" s="43"/>
      <c r="V462" s="44" t="inlineStr">
        <is>
          <t>50461ed1-c2c8-4393-967e-55d58a3e2664</t>
        </is>
      </c>
    </row>
    <row r="463">
      <c r="A463" s="23" t="inlineStr">
        <is>
          <t>Toz Ve Nem Alıcı Paspas Iş Yeri Paspası Iç Ve Dış Mekan Paspası Giriş Paspası Kapı Paspası</t>
        </is>
      </c>
      <c r="B463" s="24" t="inlineStr">
        <is>
          <t>780287237</t>
        </is>
      </c>
      <c r="C463" s="25" t="inlineStr">
        <is>
          <t>TOZKONTROL-IYP2-RAMPASIZ-SIYAH-1201100</t>
        </is>
      </c>
      <c r="D463" s="26" t="inlineStr">
        <is>
          <t>TOZKONTROL-IYP2-RAMPASIZ-SIYAH-1201100</t>
        </is>
      </c>
      <c r="E463" s="27" t="inlineStr">
        <is>
          <t>120 x 1100</t>
        </is>
      </c>
      <c r="F463" s="28" t="inlineStr">
        <is>
          <t>TOZKONTROL-IYP2-RAMPASIZ</t>
        </is>
      </c>
      <c r="G463" s="29" t="inlineStr">
        <is>
          <t>Kapı Önü Paspası</t>
        </is>
      </c>
      <c r="H463" s="30" t="inlineStr">
        <is>
          <t>Paspas Yap</t>
        </is>
      </c>
      <c r="I463" s="31" t="n">
        <v>93.0</v>
      </c>
      <c r="J463" s="32" t="n">
        <v>18338.0</v>
      </c>
      <c r="K463" s="33" t="n">
        <v>14370.83</v>
      </c>
      <c r="L463" s="34" t="n">
        <v>22.0</v>
      </c>
      <c r="M463" s="35" t="n">
        <v>9750.69</v>
      </c>
      <c r="N463" s="36" t="inlineStr">
        <is>
          <t>25 Ağustos 08.00-1 Eylül 07.59</t>
        </is>
      </c>
      <c r="O463" s="37" t="n">
        <v>13.4</v>
      </c>
      <c r="P463" s="38" t="n">
        <v>14370.83</v>
      </c>
      <c r="Q463" s="39"/>
      <c r="R463" s="40" t="n">
        <f>=IF(AND(ISBLANK(Q463), ISBLANK(U463)), "", "7 Günlük Fiyat")</f>
        <v>0.0</v>
      </c>
      <c r="S463" s="41" t="n">
        <f>=IF(OR(Q463="", R463=""), "-", IF(ISNUMBER(SEARCH("7 Günlük", R463)), IF(Q463&lt;=M463, O463, "-"), "-"))</f>
        <v>0.0</v>
      </c>
      <c r="T463" s="42" t="str">
        <f>=IF(ISBLANK(Q463), "", "Hayır")</f>
      </c>
      <c r="U463" s="43"/>
      <c r="V463" s="44" t="inlineStr">
        <is>
          <t>50461ed1-c2c8-4393-967e-55d58a3e2664</t>
        </is>
      </c>
    </row>
    <row r="464">
      <c r="A464" s="23" t="inlineStr">
        <is>
          <t>Toz Ve Nem Alıcı Paspas Iş Yeri Paspası Iç Ve Dış Mekan Paspası Giriş Paspası Kapı Paspası</t>
        </is>
      </c>
      <c r="B464" s="24" t="inlineStr">
        <is>
          <t>780287237</t>
        </is>
      </c>
      <c r="C464" s="25" t="inlineStr">
        <is>
          <t>TOZKONTROL-IYP2-RAMPASIZ-SIYAH-80600</t>
        </is>
      </c>
      <c r="D464" s="26" t="inlineStr">
        <is>
          <t>TOZKONTROL-IYP2-RAMPASIZ-SIYAH-80600</t>
        </is>
      </c>
      <c r="E464" s="27" t="inlineStr">
        <is>
          <t>80 x 600</t>
        </is>
      </c>
      <c r="F464" s="28" t="inlineStr">
        <is>
          <t>TOZKONTROL-IYP2-RAMPASIZ</t>
        </is>
      </c>
      <c r="G464" s="29" t="inlineStr">
        <is>
          <t>Kapı Önü Paspası</t>
        </is>
      </c>
      <c r="H464" s="30" t="inlineStr">
        <is>
          <t>Paspas Yap</t>
        </is>
      </c>
      <c r="I464" s="31" t="n">
        <v>93.0</v>
      </c>
      <c r="J464" s="32" t="n">
        <v>6521.0</v>
      </c>
      <c r="K464" s="33" t="n">
        <v>4977.42</v>
      </c>
      <c r="L464" s="34" t="n">
        <v>22.0</v>
      </c>
      <c r="M464" s="35" t="n">
        <v>3398.46</v>
      </c>
      <c r="N464" s="36" t="inlineStr">
        <is>
          <t>25 Ağustos 08.00-1 Eylül 07.59</t>
        </is>
      </c>
      <c r="O464" s="37" t="n">
        <v>13.2</v>
      </c>
      <c r="P464" s="38" t="n">
        <v>4977.42</v>
      </c>
      <c r="Q464" s="39"/>
      <c r="R464" s="40" t="n">
        <f>=IF(AND(ISBLANK(Q464), ISBLANK(U464)), "", "7 Günlük Fiyat")</f>
        <v>0.0</v>
      </c>
      <c r="S464" s="41" t="n">
        <f>=IF(OR(Q464="", R464=""), "-", IF(ISNUMBER(SEARCH("7 Günlük", R464)), IF(Q464&lt;=M464, O464, "-"), "-"))</f>
        <v>0.0</v>
      </c>
      <c r="T464" s="42" t="str">
        <f>=IF(ISBLANK(Q464), "", "Hayır")</f>
      </c>
      <c r="U464" s="43"/>
      <c r="V464" s="44" t="inlineStr">
        <is>
          <t>50461ed1-c2c8-4393-967e-55d58a3e2664</t>
        </is>
      </c>
    </row>
    <row r="465">
      <c r="A465" s="23" t="inlineStr">
        <is>
          <t>Toz Ve Nem Alıcı Paspas Iş Yeri Paspası Iç Ve Dış Mekan Paspası Giriş Paspası Kapı Paspası</t>
        </is>
      </c>
      <c r="B465" s="24" t="inlineStr">
        <is>
          <t>780287237</t>
        </is>
      </c>
      <c r="C465" s="25" t="inlineStr">
        <is>
          <t>TOZKONTROL-IYP2-RAMPASIZ-SIYAH-50100</t>
        </is>
      </c>
      <c r="D465" s="26" t="inlineStr">
        <is>
          <t>TOZKONTROL-IYP2-RAMPASIZ-SIYAH-50100</t>
        </is>
      </c>
      <c r="E465" s="27" t="inlineStr">
        <is>
          <t>50 x 100</t>
        </is>
      </c>
      <c r="F465" s="28" t="inlineStr">
        <is>
          <t>TOZKONTROL-IYP2-RAMPASIZ</t>
        </is>
      </c>
      <c r="G465" s="29" t="inlineStr">
        <is>
          <t>Kapı Önü Paspası</t>
        </is>
      </c>
      <c r="H465" s="30" t="inlineStr">
        <is>
          <t>Paspas Yap</t>
        </is>
      </c>
      <c r="I465" s="31" t="n">
        <v>93.0</v>
      </c>
      <c r="J465" s="32" t="n">
        <v>947.0</v>
      </c>
      <c r="K465" s="33" t="n">
        <v>841.86</v>
      </c>
      <c r="L465" s="34" t="n">
        <v>22.0</v>
      </c>
      <c r="M465" s="35" t="n">
        <v>584.35</v>
      </c>
      <c r="N465" s="36" t="inlineStr">
        <is>
          <t>25 Ağustos 08.00-1 Eylül 07.59</t>
        </is>
      </c>
      <c r="O465" s="37" t="n">
        <v>15.3</v>
      </c>
      <c r="P465" s="38" t="n">
        <v>841.86</v>
      </c>
      <c r="Q465" s="39"/>
      <c r="R465" s="40" t="n">
        <f>=IF(AND(ISBLANK(Q465), ISBLANK(U465)), "", "7 Günlük Fiyat")</f>
        <v>0.0</v>
      </c>
      <c r="S465" s="41" t="n">
        <f>=IF(OR(Q465="", R465=""), "-", IF(ISNUMBER(SEARCH("7 Günlük", R465)), IF(Q465&lt;=M465, O465, "-"), "-"))</f>
        <v>0.0</v>
      </c>
      <c r="T465" s="42" t="str">
        <f>=IF(ISBLANK(Q465), "", "Hayır")</f>
      </c>
      <c r="U465" s="43"/>
      <c r="V465" s="44" t="inlineStr">
        <is>
          <t>50461ed1-c2c8-4393-967e-55d58a3e2664</t>
        </is>
      </c>
    </row>
    <row r="466">
      <c r="A466" s="23" t="inlineStr">
        <is>
          <t>Toz Ve Nem Alıcı Paspas Iş Yeri Paspası Iç Ve Dış Mekan Paspası Giriş Paspası Kapı Paspası</t>
        </is>
      </c>
      <c r="B466" s="24" t="inlineStr">
        <is>
          <t>780287237</t>
        </is>
      </c>
      <c r="C466" s="25" t="inlineStr">
        <is>
          <t>TOZKONTROL-IYP2-RAMPASIZ-SIYAH-1001300</t>
        </is>
      </c>
      <c r="D466" s="26" t="inlineStr">
        <is>
          <t>TOZKONTROL-IYP2-RAMPASIZ-SIYAH-1001300</t>
        </is>
      </c>
      <c r="E466" s="27" t="inlineStr">
        <is>
          <t>100 x 1300</t>
        </is>
      </c>
      <c r="F466" s="28" t="inlineStr">
        <is>
          <t>TOZKONTROL-IYP2-RAMPASIZ</t>
        </is>
      </c>
      <c r="G466" s="29" t="inlineStr">
        <is>
          <t>Kapı Önü Paspası</t>
        </is>
      </c>
      <c r="H466" s="30" t="inlineStr">
        <is>
          <t>Paspas Yap</t>
        </is>
      </c>
      <c r="I466" s="31" t="n">
        <v>93.0</v>
      </c>
      <c r="J466" s="32" t="n">
        <v>18018.0</v>
      </c>
      <c r="K466" s="33" t="n">
        <v>14187.67</v>
      </c>
      <c r="L466" s="34" t="n">
        <v>22.0</v>
      </c>
      <c r="M466" s="35" t="n">
        <v>9679.6</v>
      </c>
      <c r="N466" s="36" t="inlineStr">
        <is>
          <t>25 Ağustos 08.00-1 Eylül 07.59</t>
        </is>
      </c>
      <c r="O466" s="37" t="n">
        <v>13.6</v>
      </c>
      <c r="P466" s="38" t="n">
        <v>14187.67</v>
      </c>
      <c r="Q466" s="39"/>
      <c r="R466" s="40" t="n">
        <f>=IF(AND(ISBLANK(Q466), ISBLANK(U466)), "", "7 Günlük Fiyat")</f>
        <v>0.0</v>
      </c>
      <c r="S466" s="41" t="n">
        <f>=IF(OR(Q466="", R466=""), "-", IF(ISNUMBER(SEARCH("7 Günlük", R466)), IF(Q466&lt;=M466, O466, "-"), "-"))</f>
        <v>0.0</v>
      </c>
      <c r="T466" s="42" t="str">
        <f>=IF(ISBLANK(Q466), "", "Hayır")</f>
      </c>
      <c r="U466" s="43"/>
      <c r="V466" s="44" t="inlineStr">
        <is>
          <t>50461ed1-c2c8-4393-967e-55d58a3e2664</t>
        </is>
      </c>
    </row>
    <row r="467">
      <c r="A467" s="23" t="inlineStr">
        <is>
          <t>Toz Ve Nem Alıcı Paspas Iş Yeri Paspası Iç Ve Dış Mekan Paspası Giriş Paspası Kapı Paspası</t>
        </is>
      </c>
      <c r="B467" s="24" t="inlineStr">
        <is>
          <t>780287237</t>
        </is>
      </c>
      <c r="C467" s="25" t="inlineStr">
        <is>
          <t>TOZKONTROL-IYP2-RAMPASIZ-SIYAH-80900</t>
        </is>
      </c>
      <c r="D467" s="26" t="inlineStr">
        <is>
          <t>TOZKONTROL-IYP2-RAMPASIZ-SIYAH-80900</t>
        </is>
      </c>
      <c r="E467" s="27" t="inlineStr">
        <is>
          <t>80 x 900</t>
        </is>
      </c>
      <c r="F467" s="28" t="inlineStr">
        <is>
          <t>TOZKONTROL-IYP2-RAMPASIZ</t>
        </is>
      </c>
      <c r="G467" s="29" t="inlineStr">
        <is>
          <t>Kapı Önü Paspası</t>
        </is>
      </c>
      <c r="H467" s="30" t="inlineStr">
        <is>
          <t>Paspas Yap</t>
        </is>
      </c>
      <c r="I467" s="31" t="n">
        <v>93.0</v>
      </c>
      <c r="J467" s="32" t="n">
        <v>9731.0</v>
      </c>
      <c r="K467" s="33" t="n">
        <v>7589.52</v>
      </c>
      <c r="L467" s="34" t="n">
        <v>22.0</v>
      </c>
      <c r="M467" s="35" t="n">
        <v>5189.75</v>
      </c>
      <c r="N467" s="36" t="inlineStr">
        <is>
          <t>25 Ağustos 08.00-1 Eylül 07.59</t>
        </is>
      </c>
      <c r="O467" s="37" t="n">
        <v>13.6</v>
      </c>
      <c r="P467" s="38" t="n">
        <v>7589.52</v>
      </c>
      <c r="Q467" s="39"/>
      <c r="R467" s="40" t="n">
        <f>=IF(AND(ISBLANK(Q467), ISBLANK(U467)), "", "7 Günlük Fiyat")</f>
        <v>0.0</v>
      </c>
      <c r="S467" s="41" t="n">
        <f>=IF(OR(Q467="", R467=""), "-", IF(ISNUMBER(SEARCH("7 Günlük", R467)), IF(Q467&lt;=M467, O467, "-"), "-"))</f>
        <v>0.0</v>
      </c>
      <c r="T467" s="42" t="str">
        <f>=IF(ISBLANK(Q467), "", "Hayır")</f>
      </c>
      <c r="U467" s="43"/>
      <c r="V467" s="44" t="inlineStr">
        <is>
          <t>50461ed1-c2c8-4393-967e-55d58a3e2664</t>
        </is>
      </c>
    </row>
    <row r="468">
      <c r="A468" s="23" t="inlineStr">
        <is>
          <t>Toz Ve Nem Alıcı Paspas Iş Yeri Paspası Iç Ve Dış Mekan Paspası Giriş Paspası Kapı Paspası</t>
        </is>
      </c>
      <c r="B468" s="24" t="inlineStr">
        <is>
          <t>780287237</t>
        </is>
      </c>
      <c r="C468" s="25" t="inlineStr">
        <is>
          <t>TOZKONTROL-IYP2-RAMPASIZ-SIYAH-120200</t>
        </is>
      </c>
      <c r="D468" s="26" t="inlineStr">
        <is>
          <t>TOZKONTROL-IYP2-RAMPASIZ-SIYAH-120200</t>
        </is>
      </c>
      <c r="E468" s="27" t="inlineStr">
        <is>
          <t>120 x 200</t>
        </is>
      </c>
      <c r="F468" s="28" t="inlineStr">
        <is>
          <t>TOZKONTROL-IYP2-RAMPASIZ</t>
        </is>
      </c>
      <c r="G468" s="29" t="inlineStr">
        <is>
          <t>Kapı Önü Paspası</t>
        </is>
      </c>
      <c r="H468" s="30" t="inlineStr">
        <is>
          <t>Paspas Yap</t>
        </is>
      </c>
      <c r="I468" s="31" t="n">
        <v>93.0</v>
      </c>
      <c r="J468" s="32" t="n">
        <v>3449.0</v>
      </c>
      <c r="K468" s="33" t="n">
        <v>2630.67</v>
      </c>
      <c r="L468" s="34" t="n">
        <v>22.0</v>
      </c>
      <c r="M468" s="35" t="n">
        <v>1786.65</v>
      </c>
      <c r="N468" s="36" t="inlineStr">
        <is>
          <t>25 Ağustos 08.00-1 Eylül 07.59</t>
        </is>
      </c>
      <c r="O468" s="37" t="n">
        <v>13.2</v>
      </c>
      <c r="P468" s="38" t="n">
        <v>2630.67</v>
      </c>
      <c r="Q468" s="39"/>
      <c r="R468" s="40" t="n">
        <f>=IF(AND(ISBLANK(Q468), ISBLANK(U468)), "", "7 Günlük Fiyat")</f>
        <v>0.0</v>
      </c>
      <c r="S468" s="41" t="n">
        <f>=IF(OR(Q468="", R468=""), "-", IF(ISNUMBER(SEARCH("7 Günlük", R468)), IF(Q468&lt;=M468, O468, "-"), "-"))</f>
        <v>0.0</v>
      </c>
      <c r="T468" s="42" t="str">
        <f>=IF(ISBLANK(Q468), "", "Hayır")</f>
      </c>
      <c r="U468" s="43"/>
      <c r="V468" s="44" t="inlineStr">
        <is>
          <t>50461ed1-c2c8-4393-967e-55d58a3e2664</t>
        </is>
      </c>
    </row>
    <row r="469">
      <c r="A469" s="23" t="inlineStr">
        <is>
          <t>Toz Ve Nem Alıcı Paspas Iş Yeri Paspası Iç Ve Dış Mekan Paspası Giriş Paspası Kapı Paspası</t>
        </is>
      </c>
      <c r="B469" s="24" t="inlineStr">
        <is>
          <t>780287237</t>
        </is>
      </c>
      <c r="C469" s="25" t="inlineStr">
        <is>
          <t>TOZKONTROL-IYP2-RAMPASIZ-SIYAH-801100</t>
        </is>
      </c>
      <c r="D469" s="26" t="inlineStr">
        <is>
          <t>TOZKONTROL-IYP2-RAMPASIZ-SIYAH-801100</t>
        </is>
      </c>
      <c r="E469" s="27" t="inlineStr">
        <is>
          <t>80 x 1100</t>
        </is>
      </c>
      <c r="F469" s="28" t="inlineStr">
        <is>
          <t>TOZKONTROL-IYP2-RAMPASIZ</t>
        </is>
      </c>
      <c r="G469" s="29" t="inlineStr">
        <is>
          <t>Kapı Önü Paspası</t>
        </is>
      </c>
      <c r="H469" s="30" t="inlineStr">
        <is>
          <t>Paspas Yap</t>
        </is>
      </c>
      <c r="I469" s="31" t="n">
        <v>93.0</v>
      </c>
      <c r="J469" s="32" t="n">
        <v>11878.0</v>
      </c>
      <c r="K469" s="33" t="n">
        <v>9268.2</v>
      </c>
      <c r="L469" s="34" t="n">
        <v>22.0</v>
      </c>
      <c r="M469" s="35" t="n">
        <v>6381.72</v>
      </c>
      <c r="N469" s="36" t="inlineStr">
        <is>
          <t>25 Ağustos 08.00-1 Eylül 07.59</t>
        </is>
      </c>
      <c r="O469" s="37" t="n">
        <v>13.7</v>
      </c>
      <c r="P469" s="38" t="n">
        <v>9268.2</v>
      </c>
      <c r="Q469" s="39"/>
      <c r="R469" s="40" t="n">
        <f>=IF(AND(ISBLANK(Q469), ISBLANK(U469)), "", "7 Günlük Fiyat")</f>
        <v>0.0</v>
      </c>
      <c r="S469" s="41" t="n">
        <f>=IF(OR(Q469="", R469=""), "-", IF(ISNUMBER(SEARCH("7 Günlük", R469)), IF(Q469&lt;=M469, O469, "-"), "-"))</f>
        <v>0.0</v>
      </c>
      <c r="T469" s="42" t="str">
        <f>=IF(ISBLANK(Q469), "", "Hayır")</f>
      </c>
      <c r="U469" s="43"/>
      <c r="V469" s="44" t="inlineStr">
        <is>
          <t>50461ed1-c2c8-4393-967e-55d58a3e2664</t>
        </is>
      </c>
    </row>
    <row r="470">
      <c r="A470" s="23" t="inlineStr">
        <is>
          <t>Toz Ve Nem Alıcı Paspas Iş Yeri Paspası Iç Ve Dış Mekan Paspası Giriş Paspası Kapı Paspası</t>
        </is>
      </c>
      <c r="B470" s="24" t="inlineStr">
        <is>
          <t>780287237</t>
        </is>
      </c>
      <c r="C470" s="25" t="inlineStr">
        <is>
          <t>TOZKONTROL-IYP2-RAMPASIZ-SIYAH-100x300</t>
        </is>
      </c>
      <c r="D470" s="26" t="inlineStr">
        <is>
          <t>TOZKONTROL-IYP2-RAMPASIZ-SIYAH-100x300</t>
        </is>
      </c>
      <c r="E470" s="27" t="inlineStr">
        <is>
          <t>100 x 300</t>
        </is>
      </c>
      <c r="F470" s="28" t="inlineStr">
        <is>
          <t>TOZKONTROL-IYP2-RAMPASIZ</t>
        </is>
      </c>
      <c r="G470" s="29" t="inlineStr">
        <is>
          <t>Kapı Önü Paspası</t>
        </is>
      </c>
      <c r="H470" s="30" t="inlineStr">
        <is>
          <t>Paspas Yap</t>
        </is>
      </c>
      <c r="I470" s="31" t="n">
        <v>93.0</v>
      </c>
      <c r="J470" s="32" t="n">
        <v>4191.0</v>
      </c>
      <c r="K470" s="33" t="n">
        <v>3203.9</v>
      </c>
      <c r="L470" s="34" t="n">
        <v>22.0</v>
      </c>
      <c r="M470" s="35" t="n">
        <v>2188.09</v>
      </c>
      <c r="N470" s="36" t="inlineStr">
        <is>
          <t>25 Ağustos 08.00-1 Eylül 07.59</t>
        </is>
      </c>
      <c r="O470" s="37" t="n">
        <v>13.3</v>
      </c>
      <c r="P470" s="38" t="n">
        <v>3203.9</v>
      </c>
      <c r="Q470" s="39"/>
      <c r="R470" s="40" t="n">
        <f>=IF(AND(ISBLANK(Q470), ISBLANK(U470)), "", "7 Günlük Fiyat")</f>
        <v>0.0</v>
      </c>
      <c r="S470" s="41" t="n">
        <f>=IF(OR(Q470="", R470=""), "-", IF(ISNUMBER(SEARCH("7 Günlük", R470)), IF(Q470&lt;=M470, O470, "-"), "-"))</f>
        <v>0.0</v>
      </c>
      <c r="T470" s="42" t="str">
        <f>=IF(ISBLANK(Q470), "", "Hayır")</f>
      </c>
      <c r="U470" s="43"/>
      <c r="V470" s="44" t="inlineStr">
        <is>
          <t>50461ed1-c2c8-4393-967e-55d58a3e2664</t>
        </is>
      </c>
    </row>
    <row r="471">
      <c r="A471" s="23" t="inlineStr">
        <is>
          <t>Toz Ve Nem Alıcı Paspas Iş Yeri Paspası Iç Ve Dış Mekan Paspası Giriş Paspası Kapı Paspası</t>
        </is>
      </c>
      <c r="B471" s="24" t="inlineStr">
        <is>
          <t>780287237</t>
        </is>
      </c>
      <c r="C471" s="25" t="inlineStr">
        <is>
          <t>TOZKONTROL-IYP2-RAMPASIZ-SIYAH-801150</t>
        </is>
      </c>
      <c r="D471" s="26" t="inlineStr">
        <is>
          <t>TOZKONTROL-IYP2-RAMPASIZ-SIYAH-801150</t>
        </is>
      </c>
      <c r="E471" s="27" t="inlineStr">
        <is>
          <t>80 x 1150</t>
        </is>
      </c>
      <c r="F471" s="28" t="inlineStr">
        <is>
          <t>TOZKONTROL-IYP2-RAMPASIZ</t>
        </is>
      </c>
      <c r="G471" s="29" t="inlineStr">
        <is>
          <t>Kapı Önü Paspası</t>
        </is>
      </c>
      <c r="H471" s="30" t="inlineStr">
        <is>
          <t>Paspas Yap</t>
        </is>
      </c>
      <c r="I471" s="31" t="n">
        <v>93.0</v>
      </c>
      <c r="J471" s="32" t="n">
        <v>12521.0</v>
      </c>
      <c r="K471" s="33" t="n">
        <v>10964.48</v>
      </c>
      <c r="L471" s="34" t="n">
        <v>22.0</v>
      </c>
      <c r="M471" s="35" t="n">
        <v>7167.64</v>
      </c>
      <c r="N471" s="36" t="inlineStr">
        <is>
          <t>25 Ağustos 08.00-1 Eylül 07.59</t>
        </is>
      </c>
      <c r="O471" s="37" t="n">
        <v>13.9</v>
      </c>
      <c r="P471" s="38" t="n">
        <v>10964.48</v>
      </c>
      <c r="Q471" s="39"/>
      <c r="R471" s="40" t="n">
        <f>=IF(AND(ISBLANK(Q471), ISBLANK(U471)), "", "7 Günlük Fiyat")</f>
        <v>0.0</v>
      </c>
      <c r="S471" s="41" t="n">
        <f>=IF(OR(Q471="", R471=""), "-", IF(ISNUMBER(SEARCH("7 Günlük", R471)), IF(Q471&lt;=M471, O471, "-"), "-"))</f>
        <v>0.0</v>
      </c>
      <c r="T471" s="42" t="str">
        <f>=IF(ISBLANK(Q471), "", "Hayır")</f>
      </c>
      <c r="U471" s="43"/>
      <c r="V471" s="44" t="inlineStr">
        <is>
          <t>50461ed1-c2c8-4393-967e-55d58a3e2664</t>
        </is>
      </c>
    </row>
    <row r="472">
      <c r="A472" s="23" t="inlineStr">
        <is>
          <t>Toz Ve Nem Alıcı Paspas Iş Yeri Paspası Iç Ve Dış Mekan Paspası Giriş Paspası Kapı Paspası</t>
        </is>
      </c>
      <c r="B472" s="24" t="inlineStr">
        <is>
          <t>780287237</t>
        </is>
      </c>
      <c r="C472" s="25" t="inlineStr">
        <is>
          <t>TOZKONTROL-IYP2-RAMPASIZ-SIYAH-801200</t>
        </is>
      </c>
      <c r="D472" s="26" t="inlineStr">
        <is>
          <t>TOZKONTROL-IYP2-RAMPASIZ-SIYAH-801200</t>
        </is>
      </c>
      <c r="E472" s="27" t="inlineStr">
        <is>
          <t>80 x 1200</t>
        </is>
      </c>
      <c r="F472" s="28" t="inlineStr">
        <is>
          <t>TOZKONTROL-IYP2-RAMPASIZ</t>
        </is>
      </c>
      <c r="G472" s="29" t="inlineStr">
        <is>
          <t>Kapı Önü Paspası</t>
        </is>
      </c>
      <c r="H472" s="30" t="inlineStr">
        <is>
          <t>Paspas Yap</t>
        </is>
      </c>
      <c r="I472" s="31" t="n">
        <v>93.0</v>
      </c>
      <c r="J472" s="32" t="n">
        <v>13163.0</v>
      </c>
      <c r="K472" s="33" t="n">
        <v>11568.54</v>
      </c>
      <c r="L472" s="34" t="n">
        <v>22.0</v>
      </c>
      <c r="M472" s="35" t="n">
        <v>7555.41</v>
      </c>
      <c r="N472" s="36" t="inlineStr">
        <is>
          <t>25 Ağustos 08.00-1 Eylül 07.59</t>
        </is>
      </c>
      <c r="O472" s="37" t="n">
        <v>13.9</v>
      </c>
      <c r="P472" s="38" t="n">
        <v>11568.54</v>
      </c>
      <c r="Q472" s="39"/>
      <c r="R472" s="40" t="n">
        <f>=IF(AND(ISBLANK(Q472), ISBLANK(U472)), "", "7 Günlük Fiyat")</f>
        <v>0.0</v>
      </c>
      <c r="S472" s="41" t="n">
        <f>=IF(OR(Q472="", R472=""), "-", IF(ISNUMBER(SEARCH("7 Günlük", R472)), IF(Q472&lt;=M472, O472, "-"), "-"))</f>
        <v>0.0</v>
      </c>
      <c r="T472" s="42" t="str">
        <f>=IF(ISBLANK(Q472), "", "Hayır")</f>
      </c>
      <c r="U472" s="43"/>
      <c r="V472" s="44" t="inlineStr">
        <is>
          <t>50461ed1-c2c8-4393-967e-55d58a3e2664</t>
        </is>
      </c>
    </row>
    <row r="473">
      <c r="A473" s="23" t="inlineStr">
        <is>
          <t>Toz Ve Nem Alıcı Paspas Iş Yeri Paspası Iç Ve Dış Mekan Paspası Giriş Paspası Kapı Paspası</t>
        </is>
      </c>
      <c r="B473" s="24" t="inlineStr">
        <is>
          <t>780287237</t>
        </is>
      </c>
      <c r="C473" s="25" t="inlineStr">
        <is>
          <t>TOZKONTROL-IYP2-RAMPASIZ-SIYAH-801400</t>
        </is>
      </c>
      <c r="D473" s="26" t="inlineStr">
        <is>
          <t>TOZKONTROL-IYP2-RAMPASIZ-SIYAH-801400</t>
        </is>
      </c>
      <c r="E473" s="27" t="inlineStr">
        <is>
          <t>80 x 1400</t>
        </is>
      </c>
      <c r="F473" s="28" t="inlineStr">
        <is>
          <t>TOZKONTROL-IYP2-RAMPASIZ</t>
        </is>
      </c>
      <c r="G473" s="29" t="inlineStr">
        <is>
          <t>Kapı Önü Paspası</t>
        </is>
      </c>
      <c r="H473" s="30" t="inlineStr">
        <is>
          <t>Paspas Yap</t>
        </is>
      </c>
      <c r="I473" s="31" t="n">
        <v>93.0</v>
      </c>
      <c r="J473" s="32" t="n">
        <v>15427.0</v>
      </c>
      <c r="K473" s="33" t="n">
        <v>11989.44</v>
      </c>
      <c r="L473" s="34" t="n">
        <v>22.0</v>
      </c>
      <c r="M473" s="35" t="n">
        <v>8269.32</v>
      </c>
      <c r="N473" s="36" t="inlineStr">
        <is>
          <t>25 Ağustos 08.00-1 Eylül 07.59</t>
        </is>
      </c>
      <c r="O473" s="37" t="n">
        <v>13.7</v>
      </c>
      <c r="P473" s="38" t="n">
        <v>11989.44</v>
      </c>
      <c r="Q473" s="39"/>
      <c r="R473" s="40" t="n">
        <f>=IF(AND(ISBLANK(Q473), ISBLANK(U473)), "", "7 Günlük Fiyat")</f>
        <v>0.0</v>
      </c>
      <c r="S473" s="41" t="n">
        <f>=IF(OR(Q473="", R473=""), "-", IF(ISNUMBER(SEARCH("7 Günlük", R473)), IF(Q473&lt;=M473, O473, "-"), "-"))</f>
        <v>0.0</v>
      </c>
      <c r="T473" s="42" t="str">
        <f>=IF(ISBLANK(Q473), "", "Hayır")</f>
      </c>
      <c r="U473" s="43"/>
      <c r="V473" s="44" t="inlineStr">
        <is>
          <t>50461ed1-c2c8-4393-967e-55d58a3e2664</t>
        </is>
      </c>
    </row>
    <row r="474">
      <c r="A474" s="23" t="inlineStr">
        <is>
          <t>Toz Ve Nem Alıcı Paspas Iş Yeri Paspası Iç Ve Dış Mekan Paspası Giriş Paspası Kapı Paspası</t>
        </is>
      </c>
      <c r="B474" s="24" t="inlineStr">
        <is>
          <t>780287237</t>
        </is>
      </c>
      <c r="C474" s="25" t="inlineStr">
        <is>
          <t>TOZKONTROL-IYP2-RAMPASIZ-SIYAH-1201150</t>
        </is>
      </c>
      <c r="D474" s="26" t="inlineStr">
        <is>
          <t>TOZKONTROL-IYP2-RAMPASIZ-SIYAH-1201150</t>
        </is>
      </c>
      <c r="E474" s="27" t="inlineStr">
        <is>
          <t>120 x 1150</t>
        </is>
      </c>
      <c r="F474" s="28" t="inlineStr">
        <is>
          <t>TOZKONTROL-IYP2-RAMPASIZ</t>
        </is>
      </c>
      <c r="G474" s="29" t="inlineStr">
        <is>
          <t>Kapı Önü Paspası</t>
        </is>
      </c>
      <c r="H474" s="30" t="inlineStr">
        <is>
          <t>Paspas Yap</t>
        </is>
      </c>
      <c r="I474" s="31" t="n">
        <v>93.0</v>
      </c>
      <c r="J474" s="32" t="n">
        <v>19202.0</v>
      </c>
      <c r="K474" s="33" t="n">
        <v>15197.32</v>
      </c>
      <c r="L474" s="34" t="n">
        <v>22.0</v>
      </c>
      <c r="M474" s="35" t="n">
        <v>10016.93</v>
      </c>
      <c r="N474" s="36" t="inlineStr">
        <is>
          <t>25 Ağustos 08.00-1 Eylül 07.59</t>
        </is>
      </c>
      <c r="O474" s="37" t="n">
        <v>13.0</v>
      </c>
      <c r="P474" s="38" t="n">
        <v>15197.32</v>
      </c>
      <c r="Q474" s="39"/>
      <c r="R474" s="40" t="n">
        <f>=IF(AND(ISBLANK(Q474), ISBLANK(U474)), "", "7 Günlük Fiyat")</f>
        <v>0.0</v>
      </c>
      <c r="S474" s="41" t="n">
        <f>=IF(OR(Q474="", R474=""), "-", IF(ISNUMBER(SEARCH("7 Günlük", R474)), IF(Q474&lt;=M474, O474, "-"), "-"))</f>
        <v>0.0</v>
      </c>
      <c r="T474" s="42" t="str">
        <f>=IF(ISBLANK(Q474), "", "Hayır")</f>
      </c>
      <c r="U474" s="43"/>
      <c r="V474" s="44" t="inlineStr">
        <is>
          <t>50461ed1-c2c8-4393-967e-55d58a3e2664</t>
        </is>
      </c>
    </row>
    <row r="475">
      <c r="A475" s="23" t="inlineStr">
        <is>
          <t>Toz Ve Nem Alıcı Paspas Iş Yeri Paspası Iç Ve Dış Mekan Paspası Giriş Paspası Kapı Paspası</t>
        </is>
      </c>
      <c r="B475" s="24" t="inlineStr">
        <is>
          <t>780287237</t>
        </is>
      </c>
      <c r="C475" s="25" t="inlineStr">
        <is>
          <t>TOZKONTROL-IYP2-RAMPASIZ-SIYAH-1001250</t>
        </is>
      </c>
      <c r="D475" s="26" t="inlineStr">
        <is>
          <t>TOZKONTROL-IYP2-RAMPASIZ-SIYAH-1001250</t>
        </is>
      </c>
      <c r="E475" s="27" t="inlineStr">
        <is>
          <t>100 x 1250</t>
        </is>
      </c>
      <c r="F475" s="28" t="inlineStr">
        <is>
          <t>TOZKONTROL-IYP2-RAMPASIZ</t>
        </is>
      </c>
      <c r="G475" s="29" t="inlineStr">
        <is>
          <t>Kapı Önü Paspası</t>
        </is>
      </c>
      <c r="H475" s="30" t="inlineStr">
        <is>
          <t>Paspas Yap</t>
        </is>
      </c>
      <c r="I475" s="31" t="n">
        <v>93.0</v>
      </c>
      <c r="J475" s="32" t="n">
        <v>17364.0</v>
      </c>
      <c r="K475" s="33" t="n">
        <v>14350.72</v>
      </c>
      <c r="L475" s="34" t="n">
        <v>22.0</v>
      </c>
      <c r="M475" s="35" t="n">
        <v>10163.19</v>
      </c>
      <c r="N475" s="36" t="inlineStr">
        <is>
          <t>25 Ağustos 08.00-1 Eylül 07.59</t>
        </is>
      </c>
      <c r="O475" s="37" t="n">
        <v>14.1</v>
      </c>
      <c r="P475" s="38" t="n">
        <v>14350.72</v>
      </c>
      <c r="Q475" s="39"/>
      <c r="R475" s="40" t="n">
        <f>=IF(AND(ISBLANK(Q475), ISBLANK(U475)), "", "7 Günlük Fiyat")</f>
        <v>0.0</v>
      </c>
      <c r="S475" s="41" t="n">
        <f>=IF(OR(Q475="", R475=""), "-", IF(ISNUMBER(SEARCH("7 Günlük", R475)), IF(Q475&lt;=M475, O475, "-"), "-"))</f>
        <v>0.0</v>
      </c>
      <c r="T475" s="42" t="str">
        <f>=IF(ISBLANK(Q475), "", "Hayır")</f>
      </c>
      <c r="U475" s="43"/>
      <c r="V475" s="44" t="inlineStr">
        <is>
          <t>50461ed1-c2c8-4393-967e-55d58a3e2664</t>
        </is>
      </c>
    </row>
    <row r="476">
      <c r="A476" s="23" t="inlineStr">
        <is>
          <t>Toz Ve Nem Alıcı Paspas Iş Yeri Paspası Iç Ve Dış Mekan Paspası Giriş Paspası Kapı Paspası</t>
        </is>
      </c>
      <c r="B476" s="24" t="inlineStr">
        <is>
          <t>780287237</t>
        </is>
      </c>
      <c r="C476" s="25" t="inlineStr">
        <is>
          <t>TOZKONTROL-IYP2-RAMPASIZ-SIYAH-60x120</t>
        </is>
      </c>
      <c r="D476" s="26" t="inlineStr">
        <is>
          <t>TOZKONTROL-IYP2-RAMPASIZ-SIYAH-60x120</t>
        </is>
      </c>
      <c r="E476" s="27" t="inlineStr">
        <is>
          <t>60 x 120</t>
        </is>
      </c>
      <c r="F476" s="28" t="inlineStr">
        <is>
          <t>TOZKONTROL-IYP2-RAMPASIZ</t>
        </is>
      </c>
      <c r="G476" s="29" t="inlineStr">
        <is>
          <t>Kapı Önü Paspası</t>
        </is>
      </c>
      <c r="H476" s="30" t="inlineStr">
        <is>
          <t>Paspas Yap</t>
        </is>
      </c>
      <c r="I476" s="31" t="n">
        <v>93.0</v>
      </c>
      <c r="J476" s="32" t="n">
        <v>1264.0</v>
      </c>
      <c r="K476" s="33" t="n">
        <v>1003.04</v>
      </c>
      <c r="L476" s="34" t="n">
        <v>22.0</v>
      </c>
      <c r="M476" s="35" t="n">
        <v>796.39</v>
      </c>
      <c r="N476" s="36" t="inlineStr">
        <is>
          <t>25 Ağustos 08.00-1 Eylül 07.59</t>
        </is>
      </c>
      <c r="O476" s="37" t="n">
        <v>16.6</v>
      </c>
      <c r="P476" s="38" t="n">
        <v>1003.04</v>
      </c>
      <c r="Q476" s="39"/>
      <c r="R476" s="40" t="n">
        <f>=IF(AND(ISBLANK(Q476), ISBLANK(U476)), "", "7 Günlük Fiyat")</f>
        <v>0.0</v>
      </c>
      <c r="S476" s="41" t="n">
        <f>=IF(OR(Q476="", R476=""), "-", IF(ISNUMBER(SEARCH("7 Günlük", R476)), IF(Q476&lt;=M476, O476, "-"), "-"))</f>
        <v>0.0</v>
      </c>
      <c r="T476" s="42" t="str">
        <f>=IF(ISBLANK(Q476), "", "Hayır")</f>
      </c>
      <c r="U476" s="43"/>
      <c r="V476" s="44" t="inlineStr">
        <is>
          <t>50461ed1-c2c8-4393-967e-55d58a3e2664</t>
        </is>
      </c>
    </row>
    <row r="477">
      <c r="A477" s="23" t="inlineStr">
        <is>
          <t>Toz Ve Nem Alıcı Paspas Iş Yeri Paspası Iç Ve Dış Mekan Paspası Giriş Paspası Kapı Paspası</t>
        </is>
      </c>
      <c r="B477" s="24" t="inlineStr">
        <is>
          <t>780287237</t>
        </is>
      </c>
      <c r="C477" s="25" t="inlineStr">
        <is>
          <t>TOZKONTROL-IYP2-RAMPASIZ-SIYAH-1001500</t>
        </is>
      </c>
      <c r="D477" s="26" t="inlineStr">
        <is>
          <t>TOZKONTROL-IYP2-RAMPASIZ-SIYAH-1001500</t>
        </is>
      </c>
      <c r="E477" s="27" t="inlineStr">
        <is>
          <t>100 x 1500</t>
        </is>
      </c>
      <c r="F477" s="28" t="inlineStr">
        <is>
          <t>TOZKONTROL-IYP2-RAMPASIZ</t>
        </is>
      </c>
      <c r="G477" s="29" t="inlineStr">
        <is>
          <t>Kapı Önü Paspası</t>
        </is>
      </c>
      <c r="H477" s="30" t="inlineStr">
        <is>
          <t>Paspas Yap</t>
        </is>
      </c>
      <c r="I477" s="31" t="n">
        <v>93.0</v>
      </c>
      <c r="J477" s="32" t="n">
        <v>20929.0</v>
      </c>
      <c r="K477" s="33" t="n">
        <v>16313.41</v>
      </c>
      <c r="L477" s="34" t="n">
        <v>22.0</v>
      </c>
      <c r="M477" s="35" t="n">
        <v>10995.85</v>
      </c>
      <c r="N477" s="36" t="inlineStr">
        <is>
          <t>25 Ağustos 08.00-1 Eylül 07.59</t>
        </is>
      </c>
      <c r="O477" s="37" t="n">
        <v>13.3</v>
      </c>
      <c r="P477" s="38" t="n">
        <v>16313.41</v>
      </c>
      <c r="Q477" s="39"/>
      <c r="R477" s="40" t="n">
        <f>=IF(AND(ISBLANK(Q477), ISBLANK(U477)), "", "7 Günlük Fiyat")</f>
        <v>0.0</v>
      </c>
      <c r="S477" s="41" t="n">
        <f>=IF(OR(Q477="", R477=""), "-", IF(ISNUMBER(SEARCH("7 Günlük", R477)), IF(Q477&lt;=M477, O477, "-"), "-"))</f>
        <v>0.0</v>
      </c>
      <c r="T477" s="42" t="str">
        <f>=IF(ISBLANK(Q477), "", "Hayır")</f>
      </c>
      <c r="U477" s="43"/>
      <c r="V477" s="44" t="inlineStr">
        <is>
          <t>50461ed1-c2c8-4393-967e-55d58a3e2664</t>
        </is>
      </c>
    </row>
    <row r="478">
      <c r="A478" s="23" t="inlineStr">
        <is>
          <t>Toz Ve Nem Alıcı Paspas Iş Yeri Paspası Iç Ve Dış Mekan Paspası Giriş Paspası Kapı Paspası</t>
        </is>
      </c>
      <c r="B478" s="24" t="inlineStr">
        <is>
          <t>780287237</t>
        </is>
      </c>
      <c r="C478" s="25" t="inlineStr">
        <is>
          <t>TOZKONTROL-IYP2-RAMPASIZ-SIYAH-1001050</t>
        </is>
      </c>
      <c r="D478" s="26" t="inlineStr">
        <is>
          <t>TOZKONTROL-IYP2-RAMPASIZ-SIYAH-1001050</t>
        </is>
      </c>
      <c r="E478" s="27" t="inlineStr">
        <is>
          <t>100 x 1050</t>
        </is>
      </c>
      <c r="F478" s="28" t="inlineStr">
        <is>
          <t>TOZKONTROL-IYP2-RAMPASIZ</t>
        </is>
      </c>
      <c r="G478" s="29" t="inlineStr">
        <is>
          <t>Kapı Önü Paspası</t>
        </is>
      </c>
      <c r="H478" s="30" t="inlineStr">
        <is>
          <t>Paspas Yap</t>
        </is>
      </c>
      <c r="I478" s="31" t="n">
        <v>93.0</v>
      </c>
      <c r="J478" s="32" t="n">
        <v>14554.0</v>
      </c>
      <c r="K478" s="33" t="n">
        <v>12939.74</v>
      </c>
      <c r="L478" s="34" t="n">
        <v>22.0</v>
      </c>
      <c r="M478" s="35" t="n">
        <v>8611.07</v>
      </c>
      <c r="N478" s="36" t="inlineStr">
        <is>
          <t>25 Ağustos 08.00-1 Eylül 07.59</t>
        </is>
      </c>
      <c r="O478" s="37" t="n">
        <v>14.4</v>
      </c>
      <c r="P478" s="38" t="n">
        <v>12939.74</v>
      </c>
      <c r="Q478" s="39"/>
      <c r="R478" s="40" t="n">
        <f>=IF(AND(ISBLANK(Q478), ISBLANK(U478)), "", "7 Günlük Fiyat")</f>
        <v>0.0</v>
      </c>
      <c r="S478" s="41" t="n">
        <f>=IF(OR(Q478="", R478=""), "-", IF(ISNUMBER(SEARCH("7 Günlük", R478)), IF(Q478&lt;=M478, O478, "-"), "-"))</f>
        <v>0.0</v>
      </c>
      <c r="T478" s="42" t="str">
        <f>=IF(ISBLANK(Q478), "", "Hayır")</f>
      </c>
      <c r="U478" s="43"/>
      <c r="V478" s="44" t="inlineStr">
        <is>
          <t>50461ed1-c2c8-4393-967e-55d58a3e2664</t>
        </is>
      </c>
    </row>
    <row r="479">
      <c r="A479" s="23" t="inlineStr">
        <is>
          <t>Toz Ve Nem Alıcı Paspas Iş Yeri Paspası Iç Ve Dış Mekan Paspası Giriş Paspası Kapı Paspası</t>
        </is>
      </c>
      <c r="B479" s="24" t="inlineStr">
        <is>
          <t>780287237</t>
        </is>
      </c>
      <c r="C479" s="25" t="inlineStr">
        <is>
          <t>TOZKONTROL-IYP2-RAMPASIZ-SIYAH-60x100</t>
        </is>
      </c>
      <c r="D479" s="26" t="inlineStr">
        <is>
          <t>TOZKONTROL-IYP2-RAMPASIZ-SIYAH-60x100</t>
        </is>
      </c>
      <c r="E479" s="27" t="inlineStr">
        <is>
          <t>60 x 100</t>
        </is>
      </c>
      <c r="F479" s="28" t="inlineStr">
        <is>
          <t>TOZKONTROL-IYP2-RAMPASIZ</t>
        </is>
      </c>
      <c r="G479" s="29" t="inlineStr">
        <is>
          <t>Kapı Önü Paspası</t>
        </is>
      </c>
      <c r="H479" s="30" t="inlineStr">
        <is>
          <t>Paspas Yap</t>
        </is>
      </c>
      <c r="I479" s="31" t="n">
        <v>92.0</v>
      </c>
      <c r="J479" s="32" t="n">
        <v>1095.0</v>
      </c>
      <c r="K479" s="33" t="n">
        <v>953.85</v>
      </c>
      <c r="L479" s="34" t="n">
        <v>22.0</v>
      </c>
      <c r="M479" s="35" t="n">
        <v>751.28</v>
      </c>
      <c r="N479" s="36" t="inlineStr">
        <is>
          <t>25 Ağustos 08.00-1 Eylül 07.59</t>
        </is>
      </c>
      <c r="O479" s="37" t="n">
        <v>16.6</v>
      </c>
      <c r="P479" s="38" t="n">
        <v>953.85</v>
      </c>
      <c r="Q479" s="39"/>
      <c r="R479" s="40" t="n">
        <f>=IF(AND(ISBLANK(Q479), ISBLANK(U479)), "", "7 Günlük Fiyat")</f>
        <v>0.0</v>
      </c>
      <c r="S479" s="41" t="n">
        <f>=IF(OR(Q479="", R479=""), "-", IF(ISNUMBER(SEARCH("7 Günlük", R479)), IF(Q479&lt;=M479, O479, "-"), "-"))</f>
        <v>0.0</v>
      </c>
      <c r="T479" s="42" t="str">
        <f>=IF(ISBLANK(Q479), "", "Hayır")</f>
      </c>
      <c r="U479" s="43"/>
      <c r="V479" s="44" t="inlineStr">
        <is>
          <t>50461ed1-c2c8-4393-967e-55d58a3e2664</t>
        </is>
      </c>
    </row>
    <row r="480">
      <c r="A480" s="23" t="inlineStr">
        <is>
          <t>Toz Ve Nem Alıcı Paspas Iş Yeri Paspası Iç Ve Dış Mekan Paspası Giriş Paspası Kapı Paspası</t>
        </is>
      </c>
      <c r="B480" s="24" t="inlineStr">
        <is>
          <t>780287237</t>
        </is>
      </c>
      <c r="C480" s="25" t="inlineStr">
        <is>
          <t>TOZKONTROL-IYP2-RAMPASIZ-SIYAH-80150</t>
        </is>
      </c>
      <c r="D480" s="26" t="inlineStr">
        <is>
          <t>TOZKONTROL-IYP2-RAMPASIZ-SIYAH-80150</t>
        </is>
      </c>
      <c r="E480" s="27" t="inlineStr">
        <is>
          <t>80 x 150</t>
        </is>
      </c>
      <c r="F480" s="28" t="inlineStr">
        <is>
          <t>TOZKONTROL-IYP2-RAMPASIZ</t>
        </is>
      </c>
      <c r="G480" s="29" t="inlineStr">
        <is>
          <t>Kapı Önü Paspası</t>
        </is>
      </c>
      <c r="H480" s="30" t="inlineStr">
        <is>
          <t>Paspas Yap</t>
        </is>
      </c>
      <c r="I480" s="31" t="n">
        <v>93.0</v>
      </c>
      <c r="J480" s="32" t="n">
        <v>1949.0</v>
      </c>
      <c r="K480" s="33" t="n">
        <v>1585.21</v>
      </c>
      <c r="L480" s="34" t="n">
        <v>22.0</v>
      </c>
      <c r="M480" s="35" t="n">
        <v>1208.05</v>
      </c>
      <c r="N480" s="36" t="inlineStr">
        <is>
          <t>25 Ağustos 08.00-1 Eylül 07.59</t>
        </is>
      </c>
      <c r="O480" s="37" t="n">
        <v>15.4</v>
      </c>
      <c r="P480" s="38" t="n">
        <v>1585.21</v>
      </c>
      <c r="Q480" s="39"/>
      <c r="R480" s="40" t="n">
        <f>=IF(AND(ISBLANK(Q480), ISBLANK(U480)), "", "7 Günlük Fiyat")</f>
        <v>0.0</v>
      </c>
      <c r="S480" s="41" t="n">
        <f>=IF(OR(Q480="", R480=""), "-", IF(ISNUMBER(SEARCH("7 Günlük", R480)), IF(Q480&lt;=M480, O480, "-"), "-"))</f>
        <v>0.0</v>
      </c>
      <c r="T480" s="42" t="str">
        <f>=IF(ISBLANK(Q480), "", "Hayır")</f>
      </c>
      <c r="U480" s="43"/>
      <c r="V480" s="44" t="inlineStr">
        <is>
          <t>50461ed1-c2c8-4393-967e-55d58a3e2664</t>
        </is>
      </c>
    </row>
    <row r="481">
      <c r="A481" s="23" t="inlineStr">
        <is>
          <t>Toz Ve Nem Alıcı Paspas Iş Yeri Paspası Iç Ve Dış Mekan Paspası Giriş Paspası Kapı Paspası</t>
        </is>
      </c>
      <c r="B481" s="24" t="inlineStr">
        <is>
          <t>780287237</t>
        </is>
      </c>
      <c r="C481" s="25" t="inlineStr">
        <is>
          <t>TOZKONTROL-IYP2-RAMPASIZ-SIYAH-80850</t>
        </is>
      </c>
      <c r="D481" s="26" t="inlineStr">
        <is>
          <t>TOZKONTROL-IYP2-RAMPASIZ-SIYAH-80850</t>
        </is>
      </c>
      <c r="E481" s="27" t="inlineStr">
        <is>
          <t>80 x 850</t>
        </is>
      </c>
      <c r="F481" s="28" t="inlineStr">
        <is>
          <t>TOZKONTROL-IYP2-RAMPASIZ</t>
        </is>
      </c>
      <c r="G481" s="29" t="inlineStr">
        <is>
          <t>Kapı Önü Paspası</t>
        </is>
      </c>
      <c r="H481" s="30" t="inlineStr">
        <is>
          <t>Paspas Yap</t>
        </is>
      </c>
      <c r="I481" s="31" t="n">
        <v>93.0</v>
      </c>
      <c r="J481" s="32" t="n">
        <v>9213.0</v>
      </c>
      <c r="K481" s="33" t="n">
        <v>7152.17</v>
      </c>
      <c r="L481" s="34" t="n">
        <v>22.0</v>
      </c>
      <c r="M481" s="35" t="n">
        <v>4872.46</v>
      </c>
      <c r="N481" s="36" t="inlineStr">
        <is>
          <t>25 Ağustos 08.00-1 Eylül 07.59</t>
        </is>
      </c>
      <c r="O481" s="37" t="n">
        <v>13.5</v>
      </c>
      <c r="P481" s="38" t="n">
        <v>7152.17</v>
      </c>
      <c r="Q481" s="39"/>
      <c r="R481" s="40" t="n">
        <f>=IF(AND(ISBLANK(Q481), ISBLANK(U481)), "", "7 Günlük Fiyat")</f>
        <v>0.0</v>
      </c>
      <c r="S481" s="41" t="n">
        <f>=IF(OR(Q481="", R481=""), "-", IF(ISNUMBER(SEARCH("7 Günlük", R481)), IF(Q481&lt;=M481, O481, "-"), "-"))</f>
        <v>0.0</v>
      </c>
      <c r="T481" s="42" t="str">
        <f>=IF(ISBLANK(Q481), "", "Hayır")</f>
      </c>
      <c r="U481" s="43"/>
      <c r="V481" s="44" t="inlineStr">
        <is>
          <t>50461ed1-c2c8-4393-967e-55d58a3e2664</t>
        </is>
      </c>
    </row>
    <row r="482">
      <c r="A482" s="23" t="inlineStr">
        <is>
          <t>Toz Ve Nem Alıcı Paspas Iş Yeri Paspası Iç Ve Dış Mekan Paspası Giriş Paspası Kapı Paspası</t>
        </is>
      </c>
      <c r="B482" s="24" t="inlineStr">
        <is>
          <t>780287237</t>
        </is>
      </c>
      <c r="C482" s="25" t="inlineStr">
        <is>
          <t>TOZKONTROL-IYP2-RAMPASIZ-SIYAH-40x70</t>
        </is>
      </c>
      <c r="D482" s="26" t="inlineStr">
        <is>
          <t>TOZKONTROL-IYP2-RAMPASIZ-SIYAH-40x70</t>
        </is>
      </c>
      <c r="E482" s="27" t="inlineStr">
        <is>
          <t>40 x 70</t>
        </is>
      </c>
      <c r="F482" s="28" t="inlineStr">
        <is>
          <t>TOZKONTROL-IYP2-RAMPASIZ</t>
        </is>
      </c>
      <c r="G482" s="29" t="inlineStr">
        <is>
          <t>Kapı Önü Paspası</t>
        </is>
      </c>
      <c r="H482" s="30" t="inlineStr">
        <is>
          <t>Paspas Yap</t>
        </is>
      </c>
      <c r="I482" s="31" t="n">
        <v>92.0</v>
      </c>
      <c r="J482" s="32" t="n">
        <v>669.0</v>
      </c>
      <c r="K482" s="33" t="n">
        <v>553.7</v>
      </c>
      <c r="L482" s="34" t="n">
        <v>21.3</v>
      </c>
      <c r="M482" s="35" t="n">
        <v>453.59</v>
      </c>
      <c r="N482" s="36" t="inlineStr">
        <is>
          <t>25 Ağustos 08.00-1 Eylül 07.59</t>
        </is>
      </c>
      <c r="O482" s="37" t="n">
        <v>16.9</v>
      </c>
      <c r="P482" s="38" t="n">
        <v>553.7</v>
      </c>
      <c r="Q482" s="39"/>
      <c r="R482" s="40" t="n">
        <f>=IF(AND(ISBLANK(Q482), ISBLANK(U482)), "", "7 Günlük Fiyat")</f>
        <v>0.0</v>
      </c>
      <c r="S482" s="41" t="n">
        <f>=IF(OR(Q482="", R482=""), "-", IF(ISNUMBER(SEARCH("7 Günlük", R482)), IF(Q482&lt;=M482, O482, "-"), "-"))</f>
        <v>0.0</v>
      </c>
      <c r="T482" s="42" t="str">
        <f>=IF(ISBLANK(Q482), "", "Hayır")</f>
      </c>
      <c r="U482" s="43"/>
      <c r="V482" s="44" t="inlineStr">
        <is>
          <t>50461ed1-c2c8-4393-967e-55d58a3e2664</t>
        </is>
      </c>
    </row>
    <row r="483">
      <c r="A483" s="23" t="inlineStr">
        <is>
          <t>Toz Ve Nem Alıcı Paspas Iş Yeri Paspası Iç Ve Dış Mekan Paspası Giriş Paspası Kapı Paspası</t>
        </is>
      </c>
      <c r="B483" s="24" t="inlineStr">
        <is>
          <t>780287237</t>
        </is>
      </c>
      <c r="C483" s="25" t="inlineStr">
        <is>
          <t>TOZKONTROL-IYP2-RAMPASIZ-SIYAH-100x600</t>
        </is>
      </c>
      <c r="D483" s="26" t="inlineStr">
        <is>
          <t>TOZKONTROL-IYP2-RAMPASIZ-SIYAH-100x600</t>
        </is>
      </c>
      <c r="E483" s="27" t="inlineStr">
        <is>
          <t>100 x 600</t>
        </is>
      </c>
      <c r="F483" s="28" t="inlineStr">
        <is>
          <t>TOZKONTROL-IYP2-RAMPASIZ</t>
        </is>
      </c>
      <c r="G483" s="29" t="inlineStr">
        <is>
          <t>Kapı Önü Paspası</t>
        </is>
      </c>
      <c r="H483" s="30" t="inlineStr">
        <is>
          <t>Paspas Yap</t>
        </is>
      </c>
      <c r="I483" s="31" t="n">
        <v>93.0</v>
      </c>
      <c r="J483" s="32" t="n">
        <v>8254.0</v>
      </c>
      <c r="K483" s="33" t="n">
        <v>6284.85</v>
      </c>
      <c r="L483" s="34" t="n">
        <v>22.0</v>
      </c>
      <c r="M483" s="35" t="n">
        <v>4224.61</v>
      </c>
      <c r="N483" s="36" t="inlineStr">
        <is>
          <t>25 Ağustos 08.00-1 Eylül 07.59</t>
        </is>
      </c>
      <c r="O483" s="37" t="n">
        <v>12.9</v>
      </c>
      <c r="P483" s="38" t="n">
        <v>6284.85</v>
      </c>
      <c r="Q483" s="39"/>
      <c r="R483" s="40" t="n">
        <f>=IF(AND(ISBLANK(Q483), ISBLANK(U483)), "", "7 Günlük Fiyat")</f>
        <v>0.0</v>
      </c>
      <c r="S483" s="41" t="n">
        <f>=IF(OR(Q483="", R483=""), "-", IF(ISNUMBER(SEARCH("7 Günlük", R483)), IF(Q483&lt;=M483, O483, "-"), "-"))</f>
        <v>0.0</v>
      </c>
      <c r="T483" s="42" t="str">
        <f>=IF(ISBLANK(Q483), "", "Hayır")</f>
      </c>
      <c r="U483" s="43"/>
      <c r="V483" s="44" t="inlineStr">
        <is>
          <t>50461ed1-c2c8-4393-967e-55d58a3e2664</t>
        </is>
      </c>
    </row>
    <row r="484">
      <c r="A484" s="23" t="inlineStr">
        <is>
          <t>Toz Ve Nem Alıcı Paspas Iş Yeri Paspası Iç Ve Dış Mekan Paspası Giriş Paspası Kapı Paspası</t>
        </is>
      </c>
      <c r="B484" s="24" t="inlineStr">
        <is>
          <t>780287237</t>
        </is>
      </c>
      <c r="C484" s="25" t="inlineStr">
        <is>
          <t>TOZKONTROL-IYP2-RAMPASIZ-SIYAH-100x800</t>
        </is>
      </c>
      <c r="D484" s="26" t="inlineStr">
        <is>
          <t>TOZKONTROL-IYP2-RAMPASIZ-SIYAH-100x800</t>
        </is>
      </c>
      <c r="E484" s="27" t="inlineStr">
        <is>
          <t>100 x 800</t>
        </is>
      </c>
      <c r="F484" s="28" t="inlineStr">
        <is>
          <t>TOZKONTROL-IYP2-RAMPASIZ</t>
        </is>
      </c>
      <c r="G484" s="29" t="inlineStr">
        <is>
          <t>Kapı Önü Paspası</t>
        </is>
      </c>
      <c r="H484" s="30" t="inlineStr">
        <is>
          <t>Paspas Yap</t>
        </is>
      </c>
      <c r="I484" s="31" t="n">
        <v>93.0</v>
      </c>
      <c r="J484" s="32" t="n">
        <v>10919.0</v>
      </c>
      <c r="K484" s="33" t="n">
        <v>9576.0</v>
      </c>
      <c r="L484" s="34" t="n">
        <v>22.0</v>
      </c>
      <c r="M484" s="35" t="n">
        <v>6308.74</v>
      </c>
      <c r="N484" s="36" t="inlineStr">
        <is>
          <t>25 Ağustos 08.00-1 Eylül 07.59</t>
        </is>
      </c>
      <c r="O484" s="37" t="n">
        <v>14.1</v>
      </c>
      <c r="P484" s="38" t="n">
        <v>9576.0</v>
      </c>
      <c r="Q484" s="39"/>
      <c r="R484" s="40" t="n">
        <f>=IF(AND(ISBLANK(Q484), ISBLANK(U484)), "", "7 Günlük Fiyat")</f>
        <v>0.0</v>
      </c>
      <c r="S484" s="41" t="n">
        <f>=IF(OR(Q484="", R484=""), "-", IF(ISNUMBER(SEARCH("7 Günlük", R484)), IF(Q484&lt;=M484, O484, "-"), "-"))</f>
        <v>0.0</v>
      </c>
      <c r="T484" s="42" t="str">
        <f>=IF(ISBLANK(Q484), "", "Hayır")</f>
      </c>
      <c r="U484" s="43"/>
      <c r="V484" s="44" t="inlineStr">
        <is>
          <t>50461ed1-c2c8-4393-967e-55d58a3e2664</t>
        </is>
      </c>
    </row>
    <row r="485">
      <c r="A485" s="23" t="inlineStr">
        <is>
          <t>Toz Ve Nem Alıcı Paspas Iş Yeri Paspası Iç Ve Dış Mekan Paspası Giriş Paspası Kapı Paspası</t>
        </is>
      </c>
      <c r="B485" s="24" t="inlineStr">
        <is>
          <t>780287237</t>
        </is>
      </c>
      <c r="C485" s="25" t="inlineStr">
        <is>
          <t>TOZKONTROL-IYP2-RAMPASIZ-SIYAH-100x500</t>
        </is>
      </c>
      <c r="D485" s="26" t="inlineStr">
        <is>
          <t>TOZKONTROL-IYP2-RAMPASIZ-SIYAH-100x500</t>
        </is>
      </c>
      <c r="E485" s="27" t="inlineStr">
        <is>
          <t>100 x 500</t>
        </is>
      </c>
      <c r="F485" s="28" t="inlineStr">
        <is>
          <t>TOZKONTROL-IYP2-RAMPASIZ</t>
        </is>
      </c>
      <c r="G485" s="29" t="inlineStr">
        <is>
          <t>Kapı Önü Paspası</t>
        </is>
      </c>
      <c r="H485" s="30" t="inlineStr">
        <is>
          <t>Paspas Yap</t>
        </is>
      </c>
      <c r="I485" s="31" t="n">
        <v>93.0</v>
      </c>
      <c r="J485" s="32" t="n">
        <v>6788.0</v>
      </c>
      <c r="K485" s="33" t="n">
        <v>5790.25</v>
      </c>
      <c r="L485" s="34" t="n">
        <v>22.0</v>
      </c>
      <c r="M485" s="35" t="n">
        <v>3930.48</v>
      </c>
      <c r="N485" s="36" t="inlineStr">
        <is>
          <t>25 Ağustos 08.00-1 Eylül 07.59</t>
        </is>
      </c>
      <c r="O485" s="37" t="n">
        <v>14.1</v>
      </c>
      <c r="P485" s="38" t="n">
        <v>5790.25</v>
      </c>
      <c r="Q485" s="39"/>
      <c r="R485" s="40" t="n">
        <f>=IF(AND(ISBLANK(Q485), ISBLANK(U485)), "", "7 Günlük Fiyat")</f>
        <v>0.0</v>
      </c>
      <c r="S485" s="41" t="n">
        <f>=IF(OR(Q485="", R485=""), "-", IF(ISNUMBER(SEARCH("7 Günlük", R485)), IF(Q485&lt;=M485, O485, "-"), "-"))</f>
        <v>0.0</v>
      </c>
      <c r="T485" s="42" t="str">
        <f>=IF(ISBLANK(Q485), "", "Hayır")</f>
      </c>
      <c r="U485" s="43"/>
      <c r="V485" s="44" t="inlineStr">
        <is>
          <t>50461ed1-c2c8-4393-967e-55d58a3e2664</t>
        </is>
      </c>
    </row>
    <row r="486">
      <c r="A486" s="23" t="inlineStr">
        <is>
          <t>Toz Ve Nem Alıcı Paspas Iş Yeri Paspası Iç Ve Dış Mekan Paspası Giriş Paspası Kapı Paspası</t>
        </is>
      </c>
      <c r="B486" s="24" t="inlineStr">
        <is>
          <t>780287237</t>
        </is>
      </c>
      <c r="C486" s="25" t="inlineStr">
        <is>
          <t>TOZKONTROL-IYP2-RAMPASIZ-SIYAH-120650</t>
        </is>
      </c>
      <c r="D486" s="26" t="inlineStr">
        <is>
          <t>TOZKONTROL-IYP2-RAMPASIZ-SIYAH-120650</t>
        </is>
      </c>
      <c r="E486" s="27" t="inlineStr">
        <is>
          <t>120 x 650</t>
        </is>
      </c>
      <c r="F486" s="28" t="inlineStr">
        <is>
          <t>TOZKONTROL-IYP2-RAMPASIZ</t>
        </is>
      </c>
      <c r="G486" s="29" t="inlineStr">
        <is>
          <t>Kapı Önü Paspası</t>
        </is>
      </c>
      <c r="H486" s="30" t="inlineStr">
        <is>
          <t>Paspas Yap</t>
        </is>
      </c>
      <c r="I486" s="31" t="n">
        <v>93.0</v>
      </c>
      <c r="J486" s="32" t="n">
        <v>10622.0</v>
      </c>
      <c r="K486" s="33" t="n">
        <v>9438.91</v>
      </c>
      <c r="L486" s="34" t="n">
        <v>22.0</v>
      </c>
      <c r="M486" s="35" t="n">
        <v>6307.48</v>
      </c>
      <c r="N486" s="36" t="inlineStr">
        <is>
          <t>25 Ağustos 08.00-1 Eylül 07.59</t>
        </is>
      </c>
      <c r="O486" s="37" t="n">
        <v>14.5</v>
      </c>
      <c r="P486" s="38" t="n">
        <v>9438.91</v>
      </c>
      <c r="Q486" s="39"/>
      <c r="R486" s="40" t="n">
        <f>=IF(AND(ISBLANK(Q486), ISBLANK(U486)), "", "7 Günlük Fiyat")</f>
        <v>0.0</v>
      </c>
      <c r="S486" s="41" t="n">
        <f>=IF(OR(Q486="", R486=""), "-", IF(ISNUMBER(SEARCH("7 Günlük", R486)), IF(Q486&lt;=M486, O486, "-"), "-"))</f>
        <v>0.0</v>
      </c>
      <c r="T486" s="42" t="str">
        <f>=IF(ISBLANK(Q486), "", "Hayır")</f>
      </c>
      <c r="U486" s="43"/>
      <c r="V486" s="44" t="inlineStr">
        <is>
          <t>50461ed1-c2c8-4393-967e-55d58a3e2664</t>
        </is>
      </c>
    </row>
    <row r="487">
      <c r="A487" s="23" t="inlineStr">
        <is>
          <t>Toz Ve Nem Alıcı Paspas Iş Yeri Paspası Iç Ve Dış Mekan Paspası Giriş Paspası Kapı Paspası</t>
        </is>
      </c>
      <c r="B487" s="24" t="inlineStr">
        <is>
          <t>780287237</t>
        </is>
      </c>
      <c r="C487" s="25" t="inlineStr">
        <is>
          <t>TOZKONTROL-IYP2-RAMPASIZ-SIYAH-100x400</t>
        </is>
      </c>
      <c r="D487" s="26" t="inlineStr">
        <is>
          <t>TOZKONTROL-IYP2-RAMPASIZ-SIYAH-100x400</t>
        </is>
      </c>
      <c r="E487" s="27" t="inlineStr">
        <is>
          <t>100 x 400</t>
        </is>
      </c>
      <c r="F487" s="28" t="inlineStr">
        <is>
          <t>TOZKONTROL-IYP2-RAMPASIZ</t>
        </is>
      </c>
      <c r="G487" s="29" t="inlineStr">
        <is>
          <t>Kapı Önü Paspası</t>
        </is>
      </c>
      <c r="H487" s="30" t="inlineStr">
        <is>
          <t>Paspas Yap</t>
        </is>
      </c>
      <c r="I487" s="31" t="n">
        <v>93.0</v>
      </c>
      <c r="J487" s="32" t="n">
        <v>5486.0</v>
      </c>
      <c r="K487" s="33" t="n">
        <v>4778.77</v>
      </c>
      <c r="L487" s="34" t="n">
        <v>22.0</v>
      </c>
      <c r="M487" s="35" t="n">
        <v>3173.42</v>
      </c>
      <c r="N487" s="36" t="inlineStr">
        <is>
          <t>25 Ağustos 08.00-1 Eylül 07.59</t>
        </is>
      </c>
      <c r="O487" s="37" t="n">
        <v>14.1</v>
      </c>
      <c r="P487" s="38" t="n">
        <v>4778.77</v>
      </c>
      <c r="Q487" s="39"/>
      <c r="R487" s="40" t="n">
        <f>=IF(AND(ISBLANK(Q487), ISBLANK(U487)), "", "7 Günlük Fiyat")</f>
        <v>0.0</v>
      </c>
      <c r="S487" s="41" t="n">
        <f>=IF(OR(Q487="", R487=""), "-", IF(ISNUMBER(SEARCH("7 Günlük", R487)), IF(Q487&lt;=M487, O487, "-"), "-"))</f>
        <v>0.0</v>
      </c>
      <c r="T487" s="42" t="str">
        <f>=IF(ISBLANK(Q487), "", "Hayır")</f>
      </c>
      <c r="U487" s="43"/>
      <c r="V487" s="44" t="inlineStr">
        <is>
          <t>50461ed1-c2c8-4393-967e-55d58a3e2664</t>
        </is>
      </c>
    </row>
    <row r="488">
      <c r="A488" s="23" t="inlineStr">
        <is>
          <t>Toz Ve Nem Alıcı Paspas Iş Yeri Paspası Iç Ve Dış Mekan Paspası Giriş Paspası Kapı Paspası</t>
        </is>
      </c>
      <c r="B488" s="24" t="inlineStr">
        <is>
          <t>780287237</t>
        </is>
      </c>
      <c r="C488" s="25" t="inlineStr">
        <is>
          <t>TOZKONTROL-IYP2-RAMPASIZ-SIYAH-801350</t>
        </is>
      </c>
      <c r="D488" s="26" t="inlineStr">
        <is>
          <t>TOZKONTROL-IYP2-RAMPASIZ-SIYAH-801350</t>
        </is>
      </c>
      <c r="E488" s="27" t="inlineStr">
        <is>
          <t>80 x 1350</t>
        </is>
      </c>
      <c r="F488" s="28" t="inlineStr">
        <is>
          <t>TOZKONTROL-IYP2-RAMPASIZ</t>
        </is>
      </c>
      <c r="G488" s="29" t="inlineStr">
        <is>
          <t>Kapı Önü Paspası</t>
        </is>
      </c>
      <c r="H488" s="30" t="inlineStr">
        <is>
          <t>Paspas Yap</t>
        </is>
      </c>
      <c r="I488" s="31" t="n">
        <v>93.0</v>
      </c>
      <c r="J488" s="32" t="n">
        <v>14949.0</v>
      </c>
      <c r="K488" s="33" t="n">
        <v>13277.8</v>
      </c>
      <c r="L488" s="34" t="n">
        <v>22.0</v>
      </c>
      <c r="M488" s="35" t="n">
        <v>8677.03</v>
      </c>
      <c r="N488" s="36" t="inlineStr">
        <is>
          <t>25 Ağustos 08.00-1 Eylül 07.59</t>
        </is>
      </c>
      <c r="O488" s="37" t="n">
        <v>14.1</v>
      </c>
      <c r="P488" s="38" t="n">
        <v>13277.8</v>
      </c>
      <c r="Q488" s="39"/>
      <c r="R488" s="40" t="n">
        <f>=IF(AND(ISBLANK(Q488), ISBLANK(U488)), "", "7 Günlük Fiyat")</f>
        <v>0.0</v>
      </c>
      <c r="S488" s="41" t="n">
        <f>=IF(OR(Q488="", R488=""), "-", IF(ISNUMBER(SEARCH("7 Günlük", R488)), IF(Q488&lt;=M488, O488, "-"), "-"))</f>
        <v>0.0</v>
      </c>
      <c r="T488" s="42" t="str">
        <f>=IF(ISBLANK(Q488), "", "Hayır")</f>
      </c>
      <c r="U488" s="43"/>
      <c r="V488" s="44" t="inlineStr">
        <is>
          <t>50461ed1-c2c8-4393-967e-55d58a3e2664</t>
        </is>
      </c>
    </row>
    <row r="489">
      <c r="A489" s="23" t="inlineStr">
        <is>
          <t>Toz Ve Nem Alıcı Paspas Iş Yeri Paspası Iç Ve Dış Mekan Paspası Giriş Paspası Kapı Paspası</t>
        </is>
      </c>
      <c r="B489" s="24" t="inlineStr">
        <is>
          <t>780287237</t>
        </is>
      </c>
      <c r="C489" s="25" t="inlineStr">
        <is>
          <t>TOZKONTROL-IYP2-RAMPASIZ-SIYAH-120600</t>
        </is>
      </c>
      <c r="D489" s="26" t="inlineStr">
        <is>
          <t>TOZKONTROL-IYP2-RAMPASIZ-SIYAH-120600</t>
        </is>
      </c>
      <c r="E489" s="27" t="inlineStr">
        <is>
          <t>120 x 600</t>
        </is>
      </c>
      <c r="F489" s="28" t="inlineStr">
        <is>
          <t>TOZKONTROL-IYP2-RAMPASIZ</t>
        </is>
      </c>
      <c r="G489" s="29" t="inlineStr">
        <is>
          <t>Kapı Önü Paspası</t>
        </is>
      </c>
      <c r="H489" s="30" t="inlineStr">
        <is>
          <t>Paspas Yap</t>
        </is>
      </c>
      <c r="I489" s="31" t="n">
        <v>93.0</v>
      </c>
      <c r="J489" s="32" t="n">
        <v>9731.0</v>
      </c>
      <c r="K489" s="33" t="n">
        <v>7458.63</v>
      </c>
      <c r="L489" s="34" t="n">
        <v>22.0</v>
      </c>
      <c r="M489" s="35" t="n">
        <v>4987.31</v>
      </c>
      <c r="N489" s="36" t="inlineStr">
        <is>
          <t>25 Ağustos 08.00-1 Eylül 07.59</t>
        </is>
      </c>
      <c r="O489" s="37" t="n">
        <v>13.1</v>
      </c>
      <c r="P489" s="38" t="n">
        <v>7458.63</v>
      </c>
      <c r="Q489" s="39"/>
      <c r="R489" s="40" t="n">
        <f>=IF(AND(ISBLANK(Q489), ISBLANK(U489)), "", "7 Günlük Fiyat")</f>
        <v>0.0</v>
      </c>
      <c r="S489" s="41" t="n">
        <f>=IF(OR(Q489="", R489=""), "-", IF(ISNUMBER(SEARCH("7 Günlük", R489)), IF(Q489&lt;=M489, O489, "-"), "-"))</f>
        <v>0.0</v>
      </c>
      <c r="T489" s="42" t="str">
        <f>=IF(ISBLANK(Q489), "", "Hayır")</f>
      </c>
      <c r="U489" s="43"/>
      <c r="V489" s="44" t="inlineStr">
        <is>
          <t>50461ed1-c2c8-4393-967e-55d58a3e2664</t>
        </is>
      </c>
    </row>
    <row r="490">
      <c r="A490" s="23" t="inlineStr">
        <is>
          <t>Toz Ve Nem Alıcı Paspas Iş Yeri Paspası Iç Ve Dış Mekan Paspası Giriş Paspası Kapı Paspası</t>
        </is>
      </c>
      <c r="B490" s="24" t="inlineStr">
        <is>
          <t>780287237</t>
        </is>
      </c>
      <c r="C490" s="25" t="inlineStr">
        <is>
          <t>TOZKONTROL-IYP2-RAMPASIZ-SIYAH-80950</t>
        </is>
      </c>
      <c r="D490" s="26" t="inlineStr">
        <is>
          <t>TOZKONTROL-IYP2-RAMPASIZ-SIYAH-80950</t>
        </is>
      </c>
      <c r="E490" s="27" t="inlineStr">
        <is>
          <t>80 x 950</t>
        </is>
      </c>
      <c r="F490" s="28" t="inlineStr">
        <is>
          <t>TOZKONTROL-IYP2-RAMPASIZ</t>
        </is>
      </c>
      <c r="G490" s="29" t="inlineStr">
        <is>
          <t>Kapı Önü Paspası</t>
        </is>
      </c>
      <c r="H490" s="30" t="inlineStr">
        <is>
          <t>Paspas Yap</t>
        </is>
      </c>
      <c r="I490" s="31" t="n">
        <v>93.0</v>
      </c>
      <c r="J490" s="32" t="n">
        <v>10325.0</v>
      </c>
      <c r="K490" s="33" t="n">
        <v>9187.4</v>
      </c>
      <c r="L490" s="34" t="n">
        <v>22.0</v>
      </c>
      <c r="M490" s="35" t="n">
        <v>6161.82</v>
      </c>
      <c r="N490" s="36" t="inlineStr">
        <is>
          <t>25 Ağustos 08.00-1 Eylül 07.59</t>
        </is>
      </c>
      <c r="O490" s="37" t="n">
        <v>14.5</v>
      </c>
      <c r="P490" s="38" t="n">
        <v>9187.4</v>
      </c>
      <c r="Q490" s="39"/>
      <c r="R490" s="40" t="n">
        <f>=IF(AND(ISBLANK(Q490), ISBLANK(U490)), "", "7 Günlük Fiyat")</f>
        <v>0.0</v>
      </c>
      <c r="S490" s="41" t="n">
        <f>=IF(OR(Q490="", R490=""), "-", IF(ISNUMBER(SEARCH("7 Günlük", R490)), IF(Q490&lt;=M490, O490, "-"), "-"))</f>
        <v>0.0</v>
      </c>
      <c r="T490" s="42" t="str">
        <f>=IF(ISBLANK(Q490), "", "Hayır")</f>
      </c>
      <c r="U490" s="43"/>
      <c r="V490" s="44" t="inlineStr">
        <is>
          <t>50461ed1-c2c8-4393-967e-55d58a3e2664</t>
        </is>
      </c>
    </row>
    <row r="491">
      <c r="A491" s="23" t="inlineStr">
        <is>
          <t>Toz Ve Nem Alıcı Paspas Iş Yeri Paspası Iç Ve Dış Mekan Paspası Giriş Paspası Kapı Paspası</t>
        </is>
      </c>
      <c r="B491" s="24" t="inlineStr">
        <is>
          <t>780287237</t>
        </is>
      </c>
      <c r="C491" s="25" t="inlineStr">
        <is>
          <t>TOZKONTROL-IYP2-RAMPASIZ-SIYAH-1201300</t>
        </is>
      </c>
      <c r="D491" s="26" t="inlineStr">
        <is>
          <t>TOZKONTROL-IYP2-RAMPASIZ-SIYAH-1201300</t>
        </is>
      </c>
      <c r="E491" s="27" t="inlineStr">
        <is>
          <t>120 x 1300</t>
        </is>
      </c>
      <c r="F491" s="28" t="inlineStr">
        <is>
          <t>TOZKONTROL-IYP2-RAMPASIZ</t>
        </is>
      </c>
      <c r="G491" s="29" t="inlineStr">
        <is>
          <t>Kapı Önü Paspası</t>
        </is>
      </c>
      <c r="H491" s="30" t="inlineStr">
        <is>
          <t>Paspas Yap</t>
        </is>
      </c>
      <c r="I491" s="31" t="n">
        <v>93.0</v>
      </c>
      <c r="J491" s="32" t="n">
        <v>21692.0</v>
      </c>
      <c r="K491" s="33" t="n">
        <v>16393.36</v>
      </c>
      <c r="L491" s="34" t="n">
        <v>22.0</v>
      </c>
      <c r="M491" s="35" t="n">
        <v>10554.38</v>
      </c>
      <c r="N491" s="36" t="inlineStr">
        <is>
          <t>25 Ağustos 08.00-1 Eylül 07.59</t>
        </is>
      </c>
      <c r="O491" s="37" t="n">
        <v>12.5</v>
      </c>
      <c r="P491" s="38" t="n">
        <v>16393.36</v>
      </c>
      <c r="Q491" s="39"/>
      <c r="R491" s="40" t="n">
        <f>=IF(AND(ISBLANK(Q491), ISBLANK(U491)), "", "7 Günlük Fiyat")</f>
        <v>0.0</v>
      </c>
      <c r="S491" s="41" t="n">
        <f>=IF(OR(Q491="", R491=""), "-", IF(ISNUMBER(SEARCH("7 Günlük", R491)), IF(Q491&lt;=M491, O491, "-"), "-"))</f>
        <v>0.0</v>
      </c>
      <c r="T491" s="42" t="str">
        <f>=IF(ISBLANK(Q491), "", "Hayır")</f>
      </c>
      <c r="U491" s="43"/>
      <c r="V491" s="44" t="inlineStr">
        <is>
          <t>50461ed1-c2c8-4393-967e-55d58a3e2664</t>
        </is>
      </c>
    </row>
    <row r="492">
      <c r="A492" s="23" t="inlineStr">
        <is>
          <t>Toz Ve Nem Alıcı Paspas Iş Yeri Paspası Iç Ve Dış Mekan Paspası Giriş Paspası Kapı Paspası</t>
        </is>
      </c>
      <c r="B492" s="24" t="inlineStr">
        <is>
          <t>780287237</t>
        </is>
      </c>
      <c r="C492" s="25" t="inlineStr">
        <is>
          <t>TOZKONTROL-IYP2-RAMPASIZ-SIYAH-1201250</t>
        </is>
      </c>
      <c r="D492" s="26" t="inlineStr">
        <is>
          <t>TOZKONTROL-IYP2-RAMPASIZ-SIYAH-1201250</t>
        </is>
      </c>
      <c r="E492" s="27" t="inlineStr">
        <is>
          <t>120 x 1250</t>
        </is>
      </c>
      <c r="F492" s="28" t="inlineStr">
        <is>
          <t>TOZKONTROL-IYP2-RAMPASIZ</t>
        </is>
      </c>
      <c r="G492" s="29" t="inlineStr">
        <is>
          <t>Kapı Önü Paspası</t>
        </is>
      </c>
      <c r="H492" s="30" t="inlineStr">
        <is>
          <t>Paspas Yap</t>
        </is>
      </c>
      <c r="I492" s="31" t="n">
        <v>93.0</v>
      </c>
      <c r="J492" s="32" t="n">
        <v>20929.0</v>
      </c>
      <c r="K492" s="33" t="n">
        <v>17333.35</v>
      </c>
      <c r="L492" s="34" t="n">
        <v>22.0</v>
      </c>
      <c r="M492" s="35" t="n">
        <v>12126.06</v>
      </c>
      <c r="N492" s="36" t="inlineStr">
        <is>
          <t>25 Ağustos 08.00-1 Eylül 07.59</t>
        </is>
      </c>
      <c r="O492" s="37" t="n">
        <v>13.9</v>
      </c>
      <c r="P492" s="38" t="n">
        <v>17333.35</v>
      </c>
      <c r="Q492" s="39"/>
      <c r="R492" s="40" t="n">
        <f>=IF(AND(ISBLANK(Q492), ISBLANK(U492)), "", "7 Günlük Fiyat")</f>
        <v>0.0</v>
      </c>
      <c r="S492" s="41" t="n">
        <f>=IF(OR(Q492="", R492=""), "-", IF(ISNUMBER(SEARCH("7 Günlük", R492)), IF(Q492&lt;=M492, O492, "-"), "-"))</f>
        <v>0.0</v>
      </c>
      <c r="T492" s="42" t="str">
        <f>=IF(ISBLANK(Q492), "", "Hayır")</f>
      </c>
      <c r="U492" s="43"/>
      <c r="V492" s="44" t="inlineStr">
        <is>
          <t>50461ed1-c2c8-4393-967e-55d58a3e2664</t>
        </is>
      </c>
    </row>
    <row r="493">
      <c r="A493" s="23" t="inlineStr">
        <is>
          <t>Toz Ve Nem Alıcı Paspas Iş Yeri Paspası Iç Ve Dış Mekan Paspası Giriş Paspası Kapı Paspası</t>
        </is>
      </c>
      <c r="B493" s="24" t="inlineStr">
        <is>
          <t>780287237</t>
        </is>
      </c>
      <c r="C493" s="25" t="inlineStr">
        <is>
          <t>TOZKONTROL-IYP2-RAMPASIZ-SIYAH-80350</t>
        </is>
      </c>
      <c r="D493" s="26" t="inlineStr">
        <is>
          <t>TOZKONTROL-IYP2-RAMPASIZ-SIYAH-80350</t>
        </is>
      </c>
      <c r="E493" s="27" t="inlineStr">
        <is>
          <t>80 x 350</t>
        </is>
      </c>
      <c r="F493" s="28" t="inlineStr">
        <is>
          <t>TOZKONTROL-IYP2-RAMPASIZ</t>
        </is>
      </c>
      <c r="G493" s="29" t="inlineStr">
        <is>
          <t>Kapı Önü Paspası</t>
        </is>
      </c>
      <c r="H493" s="30" t="inlineStr">
        <is>
          <t>Paspas Yap</t>
        </is>
      </c>
      <c r="I493" s="31" t="n">
        <v>93.0</v>
      </c>
      <c r="J493" s="32" t="n">
        <v>3939.0</v>
      </c>
      <c r="K493" s="33" t="n">
        <v>3041.02</v>
      </c>
      <c r="L493" s="34" t="n">
        <v>22.0</v>
      </c>
      <c r="M493" s="35" t="n">
        <v>2100.04</v>
      </c>
      <c r="N493" s="36" t="inlineStr">
        <is>
          <t>25 Ağustos 08.00-1 Eylül 07.59</t>
        </is>
      </c>
      <c r="O493" s="37" t="n">
        <v>13.6</v>
      </c>
      <c r="P493" s="38" t="n">
        <v>3041.02</v>
      </c>
      <c r="Q493" s="39"/>
      <c r="R493" s="40" t="n">
        <f>=IF(AND(ISBLANK(Q493), ISBLANK(U493)), "", "7 Günlük Fiyat")</f>
        <v>0.0</v>
      </c>
      <c r="S493" s="41" t="n">
        <f>=IF(OR(Q493="", R493=""), "-", IF(ISNUMBER(SEARCH("7 Günlük", R493)), IF(Q493&lt;=M493, O493, "-"), "-"))</f>
        <v>0.0</v>
      </c>
      <c r="T493" s="42" t="str">
        <f>=IF(ISBLANK(Q493), "", "Hayır")</f>
      </c>
      <c r="U493" s="43"/>
      <c r="V493" s="44" t="inlineStr">
        <is>
          <t>50461ed1-c2c8-4393-967e-55d58a3e2664</t>
        </is>
      </c>
    </row>
    <row r="494">
      <c r="A494" s="23" t="inlineStr">
        <is>
          <t>Toz Ve Nem Alıcı Paspas Iş Yeri Paspası Iç Ve Dış Mekan Paspası Giriş Paspası Kapı Paspası</t>
        </is>
      </c>
      <c r="B494" s="24" t="inlineStr">
        <is>
          <t>780287237</t>
        </is>
      </c>
      <c r="C494" s="25" t="inlineStr">
        <is>
          <t>TOZKONTROL-IYP2-RAMPASIZ-SIYAH-100x150</t>
        </is>
      </c>
      <c r="D494" s="26" t="inlineStr">
        <is>
          <t>TOZKONTROL-IYP2-RAMPASIZ-SIYAH-100x150</t>
        </is>
      </c>
      <c r="E494" s="27" t="inlineStr">
        <is>
          <t>100 x 150</t>
        </is>
      </c>
      <c r="F494" s="28" t="inlineStr">
        <is>
          <t>TOZKONTROL-IYP2-RAMPASIZ</t>
        </is>
      </c>
      <c r="G494" s="29" t="inlineStr">
        <is>
          <t>Kapı Önü Paspası</t>
        </is>
      </c>
      <c r="H494" s="30" t="inlineStr">
        <is>
          <t>Paspas Yap</t>
        </is>
      </c>
      <c r="I494" s="31" t="n">
        <v>93.0</v>
      </c>
      <c r="J494" s="32" t="n">
        <v>2299.0</v>
      </c>
      <c r="K494" s="33" t="n">
        <v>1998.16</v>
      </c>
      <c r="L494" s="34" t="n">
        <v>22.0</v>
      </c>
      <c r="M494" s="35" t="n">
        <v>1444.26</v>
      </c>
      <c r="N494" s="36" t="inlineStr">
        <is>
          <t>25 Ağustos 08.00-1 Eylül 07.59</t>
        </is>
      </c>
      <c r="O494" s="37" t="n">
        <v>15.3</v>
      </c>
      <c r="P494" s="38" t="n">
        <v>1998.16</v>
      </c>
      <c r="Q494" s="39"/>
      <c r="R494" s="40" t="n">
        <f>=IF(AND(ISBLANK(Q494), ISBLANK(U494)), "", "7 Günlük Fiyat")</f>
        <v>0.0</v>
      </c>
      <c r="S494" s="41" t="n">
        <f>=IF(OR(Q494="", R494=""), "-", IF(ISNUMBER(SEARCH("7 Günlük", R494)), IF(Q494&lt;=M494, O494, "-"), "-"))</f>
        <v>0.0</v>
      </c>
      <c r="T494" s="42" t="str">
        <f>=IF(ISBLANK(Q494), "", "Hayır")</f>
      </c>
      <c r="U494" s="43"/>
      <c r="V494" s="44" t="inlineStr">
        <is>
          <t>50461ed1-c2c8-4393-967e-55d58a3e2664</t>
        </is>
      </c>
    </row>
    <row r="495">
      <c r="A495" s="23" t="inlineStr">
        <is>
          <t>Toz Ve Nem Alıcı Paspas Iş Yeri Paspası Iç Ve Dış Mekan Paspası Giriş Paspası Kapı Paspası</t>
        </is>
      </c>
      <c r="B495" s="24" t="inlineStr">
        <is>
          <t>780287237</t>
        </is>
      </c>
      <c r="C495" s="25" t="inlineStr">
        <is>
          <t>TOZKONTROL-IYP2-RAMPASIZ-SIYAH-100x250</t>
        </is>
      </c>
      <c r="D495" s="26" t="inlineStr">
        <is>
          <t>TOZKONTROL-IYP2-RAMPASIZ-SIYAH-100x250</t>
        </is>
      </c>
      <c r="E495" s="27" t="inlineStr">
        <is>
          <t>100 x 250</t>
        </is>
      </c>
      <c r="F495" s="28" t="inlineStr">
        <is>
          <t>TOZKONTROL-IYP2-RAMPASIZ</t>
        </is>
      </c>
      <c r="G495" s="29" t="inlineStr">
        <is>
          <t>Kapı Önü Paspası</t>
        </is>
      </c>
      <c r="H495" s="30" t="inlineStr">
        <is>
          <t>Paspas Yap</t>
        </is>
      </c>
      <c r="I495" s="31" t="n">
        <v>93.0</v>
      </c>
      <c r="J495" s="32" t="n">
        <v>3609.0</v>
      </c>
      <c r="K495" s="33" t="n">
        <v>3119.95</v>
      </c>
      <c r="L495" s="34" t="n">
        <v>22.0</v>
      </c>
      <c r="M495" s="35" t="n">
        <v>2088.25</v>
      </c>
      <c r="N495" s="36" t="inlineStr">
        <is>
          <t>25 Ağustos 08.00-1 Eylül 07.59</t>
        </is>
      </c>
      <c r="O495" s="37" t="n">
        <v>14.0</v>
      </c>
      <c r="P495" s="38" t="n">
        <v>3119.95</v>
      </c>
      <c r="Q495" s="39"/>
      <c r="R495" s="40" t="n">
        <f>=IF(AND(ISBLANK(Q495), ISBLANK(U495)), "", "7 Günlük Fiyat")</f>
        <v>0.0</v>
      </c>
      <c r="S495" s="41" t="n">
        <f>=IF(OR(Q495="", R495=""), "-", IF(ISNUMBER(SEARCH("7 Günlük", R495)), IF(Q495&lt;=M495, O495, "-"), "-"))</f>
        <v>0.0</v>
      </c>
      <c r="T495" s="42" t="str">
        <f>=IF(ISBLANK(Q495), "", "Hayır")</f>
      </c>
      <c r="U495" s="43"/>
      <c r="V495" s="44" t="inlineStr">
        <is>
          <t>50461ed1-c2c8-4393-967e-55d58a3e2664</t>
        </is>
      </c>
    </row>
    <row r="496">
      <c r="A496" s="23" t="inlineStr">
        <is>
          <t>Toz Ve Nem Alıcı Paspas Iş Yeri Paspası Iç Ve Dış Mekan Paspası Giriş Paspası Kapı Paspası</t>
        </is>
      </c>
      <c r="B496" s="24" t="inlineStr">
        <is>
          <t>780287237</t>
        </is>
      </c>
      <c r="C496" s="25" t="inlineStr">
        <is>
          <t>TOZKONTROL-IYP2-RAMPASIZ-SIYAH-100900</t>
        </is>
      </c>
      <c r="D496" s="26" t="inlineStr">
        <is>
          <t>TOZKONTROL-IYP2-RAMPASIZ-SIYAH-100900</t>
        </is>
      </c>
      <c r="E496" s="27" t="inlineStr">
        <is>
          <t>100 x 900</t>
        </is>
      </c>
      <c r="F496" s="28" t="inlineStr">
        <is>
          <t>TOZKONTROL-IYP2-RAMPASIZ</t>
        </is>
      </c>
      <c r="G496" s="29" t="inlineStr">
        <is>
          <t>Kapı Önü Paspası</t>
        </is>
      </c>
      <c r="H496" s="30" t="inlineStr">
        <is>
          <t>Paspas Yap</t>
        </is>
      </c>
      <c r="I496" s="31" t="n">
        <v>93.0</v>
      </c>
      <c r="J496" s="32" t="n">
        <v>12300.0</v>
      </c>
      <c r="K496" s="33" t="n">
        <v>9497.39</v>
      </c>
      <c r="L496" s="34" t="n">
        <v>22.0</v>
      </c>
      <c r="M496" s="35" t="n">
        <v>6415.02</v>
      </c>
      <c r="N496" s="36" t="inlineStr">
        <is>
          <t>25 Ağustos 08.00-1 Eylül 07.59</t>
        </is>
      </c>
      <c r="O496" s="37" t="n">
        <v>13.3</v>
      </c>
      <c r="P496" s="38" t="n">
        <v>9497.39</v>
      </c>
      <c r="Q496" s="39"/>
      <c r="R496" s="40" t="n">
        <f>=IF(AND(ISBLANK(Q496), ISBLANK(U496)), "", "7 Günlük Fiyat")</f>
        <v>0.0</v>
      </c>
      <c r="S496" s="41" t="n">
        <f>=IF(OR(Q496="", R496=""), "-", IF(ISNUMBER(SEARCH("7 Günlük", R496)), IF(Q496&lt;=M496, O496, "-"), "-"))</f>
        <v>0.0</v>
      </c>
      <c r="T496" s="42" t="str">
        <f>=IF(ISBLANK(Q496), "", "Hayır")</f>
      </c>
      <c r="U496" s="43"/>
      <c r="V496" s="44" t="inlineStr">
        <is>
          <t>50461ed1-c2c8-4393-967e-55d58a3e2664</t>
        </is>
      </c>
    </row>
    <row r="497">
      <c r="A497" s="23" t="inlineStr">
        <is>
          <t>Toz Ve Nem Alıcı Paspas Iş Yeri Paspası Iç Ve Dış Mekan Paspası Giriş Paspası Kapı Paspası</t>
        </is>
      </c>
      <c r="B497" s="24" t="inlineStr">
        <is>
          <t>780287237</t>
        </is>
      </c>
      <c r="C497" s="25" t="inlineStr">
        <is>
          <t>TOZKONTROL-IYP2-RAMPASIZ-SIYAH-120300</t>
        </is>
      </c>
      <c r="D497" s="26" t="inlineStr">
        <is>
          <t>TOZKONTROL-IYP2-RAMPASIZ-SIYAH-120300</t>
        </is>
      </c>
      <c r="E497" s="27" t="inlineStr">
        <is>
          <t>120 x 300</t>
        </is>
      </c>
      <c r="F497" s="28" t="inlineStr">
        <is>
          <t>TOZKONTROL-IYP2-RAMPASIZ</t>
        </is>
      </c>
      <c r="G497" s="29" t="inlineStr">
        <is>
          <t>Kapı Önü Paspası</t>
        </is>
      </c>
      <c r="H497" s="30" t="inlineStr">
        <is>
          <t>Paspas Yap</t>
        </is>
      </c>
      <c r="I497" s="31" t="n">
        <v>93.0</v>
      </c>
      <c r="J497" s="32" t="n">
        <v>5014.0</v>
      </c>
      <c r="K497" s="33" t="n">
        <v>3868.06</v>
      </c>
      <c r="L497" s="34" t="n">
        <v>22.0</v>
      </c>
      <c r="M497" s="35" t="n">
        <v>2653.03</v>
      </c>
      <c r="N497" s="36" t="inlineStr">
        <is>
          <t>25 Ağustos 08.00-1 Eylül 07.59</t>
        </is>
      </c>
      <c r="O497" s="37" t="n">
        <v>13.5</v>
      </c>
      <c r="P497" s="38" t="n">
        <v>3868.06</v>
      </c>
      <c r="Q497" s="39"/>
      <c r="R497" s="40" t="n">
        <f>=IF(AND(ISBLANK(Q497), ISBLANK(U497)), "", "7 Günlük Fiyat")</f>
        <v>0.0</v>
      </c>
      <c r="S497" s="41" t="n">
        <f>=IF(OR(Q497="", R497=""), "-", IF(ISNUMBER(SEARCH("7 Günlük", R497)), IF(Q497&lt;=M497, O497, "-"), "-"))</f>
        <v>0.0</v>
      </c>
      <c r="T497" s="42" t="str">
        <f>=IF(ISBLANK(Q497), "", "Hayır")</f>
      </c>
      <c r="U497" s="43"/>
      <c r="V497" s="44" t="inlineStr">
        <is>
          <t>50461ed1-c2c8-4393-967e-55d58a3e2664</t>
        </is>
      </c>
    </row>
    <row r="498">
      <c r="A498" s="23" t="inlineStr">
        <is>
          <t>Toz Ve Nem Alıcı Paspas Iş Yeri Paspası Iç Ve Dış Mekan Paspası Giriş Paspası Kapı Paspası</t>
        </is>
      </c>
      <c r="B498" s="24" t="inlineStr">
        <is>
          <t>780287237</t>
        </is>
      </c>
      <c r="C498" s="25" t="inlineStr">
        <is>
          <t>TOZKONTROL-IYP2-RAMPASIZ-SIYAH-100x650</t>
        </is>
      </c>
      <c r="D498" s="26" t="inlineStr">
        <is>
          <t>TOZKONTROL-IYP2-RAMPASIZ-SIYAH-100x650</t>
        </is>
      </c>
      <c r="E498" s="27" t="inlineStr">
        <is>
          <t>100 x 650</t>
        </is>
      </c>
      <c r="F498" s="28" t="inlineStr">
        <is>
          <t>TOZKONTROL-IYP2-RAMPASIZ</t>
        </is>
      </c>
      <c r="G498" s="29" t="inlineStr">
        <is>
          <t>Kapı Önü Paspası</t>
        </is>
      </c>
      <c r="H498" s="30" t="inlineStr">
        <is>
          <t>Paspas Yap</t>
        </is>
      </c>
      <c r="I498" s="31" t="n">
        <v>93.0</v>
      </c>
      <c r="J498" s="32" t="n">
        <v>8806.0</v>
      </c>
      <c r="K498" s="33" t="n">
        <v>7719.63</v>
      </c>
      <c r="L498" s="34" t="n">
        <v>22.0</v>
      </c>
      <c r="M498" s="35" t="n">
        <v>5175.81</v>
      </c>
      <c r="N498" s="36" t="inlineStr">
        <is>
          <t>25 Ağustos 08.00-1 Eylül 07.59</t>
        </is>
      </c>
      <c r="O498" s="37" t="n">
        <v>14.4</v>
      </c>
      <c r="P498" s="38" t="n">
        <v>7719.63</v>
      </c>
      <c r="Q498" s="39"/>
      <c r="R498" s="40" t="n">
        <f>=IF(AND(ISBLANK(Q498), ISBLANK(U498)), "", "7 Günlük Fiyat")</f>
        <v>0.0</v>
      </c>
      <c r="S498" s="41" t="n">
        <f>=IF(OR(Q498="", R498=""), "-", IF(ISNUMBER(SEARCH("7 Günlük", R498)), IF(Q498&lt;=M498, O498, "-"), "-"))</f>
        <v>0.0</v>
      </c>
      <c r="T498" s="42" t="str">
        <f>=IF(ISBLANK(Q498), "", "Hayır")</f>
      </c>
      <c r="U498" s="43"/>
      <c r="V498" s="44" t="inlineStr">
        <is>
          <t>50461ed1-c2c8-4393-967e-55d58a3e2664</t>
        </is>
      </c>
    </row>
    <row r="499">
      <c r="A499" s="23" t="inlineStr">
        <is>
          <t>Toz Ve Nem Alıcı Paspas Iş Yeri Paspası Iç Ve Dış Mekan Paspası Giriş Paspası Kapı Paspası</t>
        </is>
      </c>
      <c r="B499" s="24" t="inlineStr">
        <is>
          <t>780287237</t>
        </is>
      </c>
      <c r="C499" s="25" t="inlineStr">
        <is>
          <t>TOZKONTROL-IYP2-RAMPASIZ-SIYAH-120250</t>
        </is>
      </c>
      <c r="D499" s="26" t="inlineStr">
        <is>
          <t>TOZKONTROL-IYP2-RAMPASIZ-SIYAH-120250</t>
        </is>
      </c>
      <c r="E499" s="27" t="inlineStr">
        <is>
          <t>120 x 250</t>
        </is>
      </c>
      <c r="F499" s="28" t="inlineStr">
        <is>
          <t>TOZKONTROL-IYP2-RAMPASIZ</t>
        </is>
      </c>
      <c r="G499" s="29" t="inlineStr">
        <is>
          <t>Kapı Önü Paspası</t>
        </is>
      </c>
      <c r="H499" s="30" t="inlineStr">
        <is>
          <t>Paspas Yap</t>
        </is>
      </c>
      <c r="I499" s="31" t="n">
        <v>93.0</v>
      </c>
      <c r="J499" s="32" t="n">
        <v>4191.0</v>
      </c>
      <c r="K499" s="33" t="n">
        <v>3682.41</v>
      </c>
      <c r="L499" s="34" t="n">
        <v>22.0</v>
      </c>
      <c r="M499" s="35" t="n">
        <v>2559.64</v>
      </c>
      <c r="N499" s="36" t="inlineStr">
        <is>
          <t>25 Ağustos 08.00-1 Eylül 07.59</t>
        </is>
      </c>
      <c r="O499" s="37" t="n">
        <v>15.1</v>
      </c>
      <c r="P499" s="38" t="n">
        <v>3682.41</v>
      </c>
      <c r="Q499" s="39"/>
      <c r="R499" s="40" t="n">
        <f>=IF(AND(ISBLANK(Q499), ISBLANK(U499)), "", "7 Günlük Fiyat")</f>
        <v>0.0</v>
      </c>
      <c r="S499" s="41" t="n">
        <f>=IF(OR(Q499="", R499=""), "-", IF(ISNUMBER(SEARCH("7 Günlük", R499)), IF(Q499&lt;=M499, O499, "-"), "-"))</f>
        <v>0.0</v>
      </c>
      <c r="T499" s="42" t="str">
        <f>=IF(ISBLANK(Q499), "", "Hayır")</f>
      </c>
      <c r="U499" s="43"/>
      <c r="V499" s="44" t="inlineStr">
        <is>
          <t>50461ed1-c2c8-4393-967e-55d58a3e2664</t>
        </is>
      </c>
    </row>
    <row r="500">
      <c r="A500" s="23" t="inlineStr">
        <is>
          <t>Toz Ve Nem Alıcı Paspas Iş Yeri Paspası Iç Ve Dış Mekan Paspası Giriş Paspası Kapı Paspası</t>
        </is>
      </c>
      <c r="B500" s="24" t="inlineStr">
        <is>
          <t>780287237</t>
        </is>
      </c>
      <c r="C500" s="25" t="inlineStr">
        <is>
          <t>TOZKONTROL-IYP2-RAMPASIZ-SIYAH-100x200</t>
        </is>
      </c>
      <c r="D500" s="26" t="inlineStr">
        <is>
          <t>TOZKONTROL-IYP2-RAMPASIZ-SIYAH-100x200</t>
        </is>
      </c>
      <c r="E500" s="27" t="inlineStr">
        <is>
          <t>100 x 200</t>
        </is>
      </c>
      <c r="F500" s="28" t="inlineStr">
        <is>
          <t>TOZKONTROL-IYP2-RAMPASIZ</t>
        </is>
      </c>
      <c r="G500" s="29" t="inlineStr">
        <is>
          <t>Kapı Önü Paspası</t>
        </is>
      </c>
      <c r="H500" s="30" t="inlineStr">
        <is>
          <t>Paspas Yap</t>
        </is>
      </c>
      <c r="I500" s="31" t="n">
        <v>93.0</v>
      </c>
      <c r="J500" s="32" t="n">
        <v>2886.0</v>
      </c>
      <c r="K500" s="33" t="n">
        <v>2516.33</v>
      </c>
      <c r="L500" s="34" t="n">
        <v>22.0</v>
      </c>
      <c r="M500" s="35" t="n">
        <v>1674.37</v>
      </c>
      <c r="N500" s="36" t="inlineStr">
        <is>
          <t>25 Ağustos 08.00-1 Eylül 07.59</t>
        </is>
      </c>
      <c r="O500" s="37" t="n">
        <v>14.0</v>
      </c>
      <c r="P500" s="38" t="n">
        <v>2516.33</v>
      </c>
      <c r="Q500" s="39"/>
      <c r="R500" s="40" t="n">
        <f>=IF(AND(ISBLANK(Q500), ISBLANK(U500)), "", "7 Günlük Fiyat")</f>
        <v>0.0</v>
      </c>
      <c r="S500" s="41" t="n">
        <f>=IF(OR(Q500="", R500=""), "-", IF(ISNUMBER(SEARCH("7 Günlük", R500)), IF(Q500&lt;=M500, O500, "-"), "-"))</f>
        <v>0.0</v>
      </c>
      <c r="T500" s="42" t="str">
        <f>=IF(ISBLANK(Q500), "", "Hayır")</f>
      </c>
      <c r="U500" s="43"/>
      <c r="V500" s="44" t="inlineStr">
        <is>
          <t>50461ed1-c2c8-4393-967e-55d58a3e2664</t>
        </is>
      </c>
    </row>
    <row r="501">
      <c r="A501" s="23" t="inlineStr">
        <is>
          <t>Toz Ve Nem Alıcı Paspas Iş Yeri Paspası Iç Ve Dış Mekan Paspası Giriş Paspası Kapı Paspası</t>
        </is>
      </c>
      <c r="B501" s="24" t="inlineStr">
        <is>
          <t>780287237</t>
        </is>
      </c>
      <c r="C501" s="25" t="inlineStr">
        <is>
          <t>TOZKONTROL-IYP2-RAMPASIZ-SIYAH-80450</t>
        </is>
      </c>
      <c r="D501" s="26" t="inlineStr">
        <is>
          <t>TOZKONTROL-IYP2-RAMPASIZ-SIYAH-80450</t>
        </is>
      </c>
      <c r="E501" s="27" t="inlineStr">
        <is>
          <t>80 x 450</t>
        </is>
      </c>
      <c r="F501" s="28" t="inlineStr">
        <is>
          <t>TOZKONTROL-IYP2-RAMPASIZ</t>
        </is>
      </c>
      <c r="G501" s="29" t="inlineStr">
        <is>
          <t>Kapı Önü Paspası</t>
        </is>
      </c>
      <c r="H501" s="30" t="inlineStr">
        <is>
          <t>Paspas Yap</t>
        </is>
      </c>
      <c r="I501" s="31" t="n">
        <v>93.0</v>
      </c>
      <c r="J501" s="32" t="n">
        <v>5014.0</v>
      </c>
      <c r="K501" s="33" t="n">
        <v>4362.79</v>
      </c>
      <c r="L501" s="34" t="n">
        <v>22.0</v>
      </c>
      <c r="M501" s="35" t="n">
        <v>2927.24</v>
      </c>
      <c r="N501" s="36" t="inlineStr">
        <is>
          <t>25 Ağustos 08.00-1 Eylül 07.59</t>
        </is>
      </c>
      <c r="O501" s="37" t="n">
        <v>14.3</v>
      </c>
      <c r="P501" s="38" t="n">
        <v>4362.79</v>
      </c>
      <c r="Q501" s="39"/>
      <c r="R501" s="40" t="n">
        <f>=IF(AND(ISBLANK(Q501), ISBLANK(U501)), "", "7 Günlük Fiyat")</f>
        <v>0.0</v>
      </c>
      <c r="S501" s="41" t="n">
        <f>=IF(OR(Q501="", R501=""), "-", IF(ISNUMBER(SEARCH("7 Günlük", R501)), IF(Q501&lt;=M501, O501, "-"), "-"))</f>
        <v>0.0</v>
      </c>
      <c r="T501" s="42" t="str">
        <f>=IF(ISBLANK(Q501), "", "Hayır")</f>
      </c>
      <c r="U501" s="43"/>
      <c r="V501" s="44" t="inlineStr">
        <is>
          <t>50461ed1-c2c8-4393-967e-55d58a3e2664</t>
        </is>
      </c>
    </row>
    <row r="502">
      <c r="A502" s="23" t="inlineStr">
        <is>
          <t>Toz Ve Nem Alıcı Paspas Iş Yeri Paspası Iç Ve Dış Mekan Paspası Giriş Paspası Kapı Paspası</t>
        </is>
      </c>
      <c r="B502" s="24" t="inlineStr">
        <is>
          <t>780287237</t>
        </is>
      </c>
      <c r="C502" s="25" t="inlineStr">
        <is>
          <t>TOZKONTROL-IYP2-RAMPASIZ-SIYAH-80750</t>
        </is>
      </c>
      <c r="D502" s="26" t="inlineStr">
        <is>
          <t>TOZKONTROL-IYP2-RAMPASIZ-SIYAH-80750</t>
        </is>
      </c>
      <c r="E502" s="27" t="inlineStr">
        <is>
          <t>80 x 750</t>
        </is>
      </c>
      <c r="F502" s="28" t="inlineStr">
        <is>
          <t>TOZKONTROL-IYP2-RAMPASIZ</t>
        </is>
      </c>
      <c r="G502" s="29" t="inlineStr">
        <is>
          <t>Kapı Önü Paspası</t>
        </is>
      </c>
      <c r="H502" s="30" t="inlineStr">
        <is>
          <t>Paspas Yap</t>
        </is>
      </c>
      <c r="I502" s="31" t="n">
        <v>93.0</v>
      </c>
      <c r="J502" s="32" t="n">
        <v>8116.0</v>
      </c>
      <c r="K502" s="33" t="n">
        <v>6224.95</v>
      </c>
      <c r="L502" s="34" t="n">
        <v>22.0</v>
      </c>
      <c r="M502" s="35" t="n">
        <v>4250.65</v>
      </c>
      <c r="N502" s="36" t="inlineStr">
        <is>
          <t>25 Ağustos 08.00-1 Eylül 07.59</t>
        </is>
      </c>
      <c r="O502" s="37" t="n">
        <v>13.3</v>
      </c>
      <c r="P502" s="38" t="n">
        <v>6224.95</v>
      </c>
      <c r="Q502" s="39"/>
      <c r="R502" s="40" t="n">
        <f>=IF(AND(ISBLANK(Q502), ISBLANK(U502)), "", "7 Günlük Fiyat")</f>
        <v>0.0</v>
      </c>
      <c r="S502" s="41" t="n">
        <f>=IF(OR(Q502="", R502=""), "-", IF(ISNUMBER(SEARCH("7 Günlük", R502)), IF(Q502&lt;=M502, O502, "-"), "-"))</f>
        <v>0.0</v>
      </c>
      <c r="T502" s="42" t="str">
        <f>=IF(ISBLANK(Q502), "", "Hayır")</f>
      </c>
      <c r="U502" s="43"/>
      <c r="V502" s="44" t="inlineStr">
        <is>
          <t>50461ed1-c2c8-4393-967e-55d58a3e2664</t>
        </is>
      </c>
    </row>
    <row r="503">
      <c r="A503" s="23" t="inlineStr">
        <is>
          <t>Kim Oo Kedili Paspas Koko Paspas Dış Kapı Paspası Kıl Paspas Kapı Giriş Paspası Kapı Önü Paspası</t>
        </is>
      </c>
      <c r="B503" s="24" t="inlineStr">
        <is>
          <t>114818659</t>
        </is>
      </c>
      <c r="C503" s="25" t="inlineStr">
        <is>
          <t>ST9-5090</t>
        </is>
      </c>
      <c r="D503" s="26" t="inlineStr">
        <is>
          <t>KOKO--50x90--ST9</t>
        </is>
      </c>
      <c r="E503" s="27" t="inlineStr">
        <is>
          <t>50 x 90</t>
        </is>
      </c>
      <c r="F503" s="28" t="inlineStr">
        <is>
          <t>ST9</t>
        </is>
      </c>
      <c r="G503" s="29" t="inlineStr">
        <is>
          <t>Kapı Önü Paspası</t>
        </is>
      </c>
      <c r="H503" s="30" t="inlineStr">
        <is>
          <t>Paspas Yap</t>
        </is>
      </c>
      <c r="I503" s="31" t="n">
        <v>90.0</v>
      </c>
      <c r="J503" s="32" t="n">
        <v>2199.0</v>
      </c>
      <c r="K503" s="33" t="n">
        <v>1756.79</v>
      </c>
      <c r="L503" s="34" t="n">
        <v>22.0</v>
      </c>
      <c r="M503" s="35" t="n">
        <v>1114.9</v>
      </c>
      <c r="N503" s="36" t="inlineStr">
        <is>
          <t>25 Ağustos 08.00-1 Eylül 07.59</t>
        </is>
      </c>
      <c r="O503" s="37" t="n">
        <v>12.5</v>
      </c>
      <c r="P503" s="38" t="n">
        <v>1756.79</v>
      </c>
      <c r="Q503" s="39"/>
      <c r="R503" s="40" t="n">
        <f>=IF(AND(ISBLANK(Q503), ISBLANK(U503)), "", "7 Günlük Fiyat")</f>
        <v>0.0</v>
      </c>
      <c r="S503" s="41" t="n">
        <f>=IF(OR(Q503="", R503=""), "-", IF(ISNUMBER(SEARCH("7 Günlük", R503)), IF(Q503&lt;=M503, O503, "-"), "-"))</f>
        <v>0.0</v>
      </c>
      <c r="T503" s="42" t="str">
        <f>=IF(ISBLANK(Q503), "", "Hayır")</f>
      </c>
      <c r="U503" s="43"/>
      <c r="V503" s="44" t="inlineStr">
        <is>
          <t>50461ed1-c2c8-4393-967e-55d58a3e2664</t>
        </is>
      </c>
    </row>
    <row r="504">
      <c r="A504" s="23" t="inlineStr">
        <is>
          <t>Kim Oo Kedili Paspas Koko Paspas Dış Kapı Paspası Kıl Paspas Kapı Giriş Paspası Kapı Önü Paspası</t>
        </is>
      </c>
      <c r="B504" s="24" t="inlineStr">
        <is>
          <t>114818659</t>
        </is>
      </c>
      <c r="C504" s="25" t="inlineStr">
        <is>
          <t>ST9-3360</t>
        </is>
      </c>
      <c r="D504" s="26" t="inlineStr">
        <is>
          <t>KOKO--33x60--ST9</t>
        </is>
      </c>
      <c r="E504" s="27" t="inlineStr">
        <is>
          <t>33 x 60</t>
        </is>
      </c>
      <c r="F504" s="28" t="inlineStr">
        <is>
          <t>ST9</t>
        </is>
      </c>
      <c r="G504" s="29" t="inlineStr">
        <is>
          <t>Kapı Önü Paspası</t>
        </is>
      </c>
      <c r="H504" s="30" t="inlineStr">
        <is>
          <t>Paspas Yap</t>
        </is>
      </c>
      <c r="I504" s="31" t="n">
        <v>92.0</v>
      </c>
      <c r="J504" s="32" t="n">
        <v>799.0</v>
      </c>
      <c r="K504" s="33" t="n">
        <v>799.0</v>
      </c>
      <c r="L504" s="34" t="n">
        <v>22.0</v>
      </c>
      <c r="M504" s="35" t="n">
        <v>577.15</v>
      </c>
      <c r="N504" s="36" t="inlineStr">
        <is>
          <t>25 Ağustos 08.00-1 Eylül 07.59</t>
        </is>
      </c>
      <c r="O504" s="37" t="n">
        <v>16.5</v>
      </c>
      <c r="P504" s="38" t="n">
        <v>799.0</v>
      </c>
      <c r="Q504" s="39"/>
      <c r="R504" s="40" t="n">
        <f>=IF(AND(ISBLANK(Q504), ISBLANK(U504)), "", "7 Günlük Fiyat")</f>
        <v>0.0</v>
      </c>
      <c r="S504" s="41" t="n">
        <f>=IF(OR(Q504="", R504=""), "-", IF(ISNUMBER(SEARCH("7 Günlük", R504)), IF(Q504&lt;=M504, O504, "-"), "-"))</f>
        <v>0.0</v>
      </c>
      <c r="T504" s="42" t="str">
        <f>=IF(ISBLANK(Q504), "", "Hayır")</f>
      </c>
      <c r="U504" s="43"/>
      <c r="V504" s="44" t="inlineStr">
        <is>
          <t>50461ed1-c2c8-4393-967e-55d58a3e2664</t>
        </is>
      </c>
    </row>
    <row r="505">
      <c r="A505" s="23" t="inlineStr">
        <is>
          <t>Kim Oo Kedili Paspas Koko Paspas Dış Kapı Paspası Kıl Paspas Kapı Giriş Paspası Kapı Önü Paspası</t>
        </is>
      </c>
      <c r="B505" s="24" t="inlineStr">
        <is>
          <t>114818659</t>
        </is>
      </c>
      <c r="C505" s="25" t="inlineStr">
        <is>
          <t>ST9-4060</t>
        </is>
      </c>
      <c r="D505" s="26" t="inlineStr">
        <is>
          <t>KOKO--40x60--ST9</t>
        </is>
      </c>
      <c r="E505" s="27" t="inlineStr">
        <is>
          <t>40 x 60</t>
        </is>
      </c>
      <c r="F505" s="28" t="inlineStr">
        <is>
          <t>ST9</t>
        </is>
      </c>
      <c r="G505" s="29" t="inlineStr">
        <is>
          <t>Kapı Önü Paspası</t>
        </is>
      </c>
      <c r="H505" s="30" t="inlineStr">
        <is>
          <t>Paspas Yap</t>
        </is>
      </c>
      <c r="I505" s="31" t="n">
        <v>93.0</v>
      </c>
      <c r="J505" s="32" t="n">
        <v>988.0</v>
      </c>
      <c r="K505" s="33" t="n">
        <v>988.0</v>
      </c>
      <c r="L505" s="34" t="n">
        <v>22.0</v>
      </c>
      <c r="M505" s="35" t="n">
        <v>700.88</v>
      </c>
      <c r="N505" s="36" t="inlineStr">
        <is>
          <t>25 Ağustos 08.00-1 Eylül 07.59</t>
        </is>
      </c>
      <c r="O505" s="37" t="n">
        <v>17.4</v>
      </c>
      <c r="P505" s="38" t="n">
        <v>988.0</v>
      </c>
      <c r="Q505" s="39"/>
      <c r="R505" s="40" t="n">
        <f>=IF(AND(ISBLANK(Q505), ISBLANK(U505)), "", "7 Günlük Fiyat")</f>
        <v>0.0</v>
      </c>
      <c r="S505" s="41" t="n">
        <f>=IF(OR(Q505="", R505=""), "-", IF(ISNUMBER(SEARCH("7 Günlük", R505)), IF(Q505&lt;=M505, O505, "-"), "-"))</f>
        <v>0.0</v>
      </c>
      <c r="T505" s="42" t="str">
        <f>=IF(ISBLANK(Q505), "", "Hayır")</f>
      </c>
      <c r="U505" s="43"/>
      <c r="V505" s="44" t="inlineStr">
        <is>
          <t>50461ed1-c2c8-4393-967e-55d58a3e2664</t>
        </is>
      </c>
    </row>
    <row r="506">
      <c r="A506" s="23" t="inlineStr">
        <is>
          <t>Kim Oo Kedili Paspas Koko Paspas Dış Kapı Paspası Kıl Paspas Kapı Giriş Paspası Kapı Önü Paspası</t>
        </is>
      </c>
      <c r="B506" s="24" t="inlineStr">
        <is>
          <t>114818659</t>
        </is>
      </c>
      <c r="C506" s="25" t="inlineStr">
        <is>
          <t>ST9-4070</t>
        </is>
      </c>
      <c r="D506" s="26" t="inlineStr">
        <is>
          <t>KOKO--40x70--ST9</t>
        </is>
      </c>
      <c r="E506" s="27" t="inlineStr">
        <is>
          <t>40 x 70</t>
        </is>
      </c>
      <c r="F506" s="28" t="inlineStr">
        <is>
          <t>ST9</t>
        </is>
      </c>
      <c r="G506" s="29" t="inlineStr">
        <is>
          <t>Kapı Önü Paspası</t>
        </is>
      </c>
      <c r="H506" s="30" t="inlineStr">
        <is>
          <t>Paspas Yap</t>
        </is>
      </c>
      <c r="I506" s="31" t="n">
        <v>92.0</v>
      </c>
      <c r="J506" s="32" t="n">
        <v>1240.54</v>
      </c>
      <c r="K506" s="33" t="n">
        <v>1067.74</v>
      </c>
      <c r="L506" s="34" t="n">
        <v>22.0</v>
      </c>
      <c r="M506" s="35" t="n">
        <v>733.1</v>
      </c>
      <c r="N506" s="36" t="inlineStr">
        <is>
          <t>25 Ağustos 08.00-1 Eylül 07.59</t>
        </is>
      </c>
      <c r="O506" s="37" t="n">
        <v>11.6</v>
      </c>
      <c r="P506" s="38" t="n">
        <v>1067.74</v>
      </c>
      <c r="Q506" s="39"/>
      <c r="R506" s="40" t="n">
        <f>=IF(AND(ISBLANK(Q506), ISBLANK(U506)), "", "7 Günlük Fiyat")</f>
        <v>0.0</v>
      </c>
      <c r="S506" s="41" t="n">
        <f>=IF(OR(Q506="", R506=""), "-", IF(ISNUMBER(SEARCH("7 Günlük", R506)), IF(Q506&lt;=M506, O506, "-"), "-"))</f>
        <v>0.0</v>
      </c>
      <c r="T506" s="42" t="str">
        <f>=IF(ISBLANK(Q506), "", "Hayır")</f>
      </c>
      <c r="U506" s="43"/>
      <c r="V506" s="44" t="inlineStr">
        <is>
          <t>50461ed1-c2c8-4393-967e-55d58a3e2664</t>
        </is>
      </c>
    </row>
    <row r="507">
      <c r="A507" s="23" t="inlineStr">
        <is>
          <t>Welcome Siyah Kalpli Sağ Altta Home Çizgili Kapı Önü Paspası Koko Paspas Kıl Paspas Ev Paspası</t>
        </is>
      </c>
      <c r="B507" s="24" t="inlineStr">
        <is>
          <t>472345556</t>
        </is>
      </c>
      <c r="C507" s="25" t="inlineStr">
        <is>
          <t>ST149-4060</t>
        </is>
      </c>
      <c r="D507" s="26" t="inlineStr">
        <is>
          <t>KOKO--40x60--ST149</t>
        </is>
      </c>
      <c r="E507" s="27" t="inlineStr">
        <is>
          <t>40 x 60</t>
        </is>
      </c>
      <c r="F507" s="28" t="inlineStr">
        <is>
          <t>ST149</t>
        </is>
      </c>
      <c r="G507" s="29" t="inlineStr">
        <is>
          <t>Kapı Önü Paspası</t>
        </is>
      </c>
      <c r="H507" s="30" t="inlineStr">
        <is>
          <t>Paspas Yap</t>
        </is>
      </c>
      <c r="I507" s="31" t="n">
        <v>93.0</v>
      </c>
      <c r="J507" s="32" t="n">
        <v>988.0</v>
      </c>
      <c r="K507" s="33" t="n">
        <v>988.0</v>
      </c>
      <c r="L507" s="34" t="n">
        <v>22.0</v>
      </c>
      <c r="M507" s="35" t="n">
        <v>666.52</v>
      </c>
      <c r="N507" s="36" t="inlineStr">
        <is>
          <t>25 Ağustos 08.00-1 Eylül 07.59</t>
        </is>
      </c>
      <c r="O507" s="37" t="n">
        <v>16.1</v>
      </c>
      <c r="P507" s="38" t="n">
        <v>988.0</v>
      </c>
      <c r="Q507" s="39"/>
      <c r="R507" s="40" t="n">
        <f>=IF(AND(ISBLANK(Q507), ISBLANK(U507)), "", "7 Günlük Fiyat")</f>
        <v>0.0</v>
      </c>
      <c r="S507" s="41" t="n">
        <f>=IF(OR(Q507="", R507=""), "-", IF(ISNUMBER(SEARCH("7 Günlük", R507)), IF(Q507&lt;=M507, O507, "-"), "-"))</f>
        <v>0.0</v>
      </c>
      <c r="T507" s="42" t="str">
        <f>=IF(ISBLANK(Q507), "", "Hayır")</f>
      </c>
      <c r="U507" s="43"/>
      <c r="V507" s="44" t="inlineStr">
        <is>
          <t>50461ed1-c2c8-4393-967e-55d58a3e2664</t>
        </is>
      </c>
    </row>
    <row r="508">
      <c r="A508" s="23" t="inlineStr">
        <is>
          <t>Welcome Siyah Kalpli Sağ Altta Home Çizgili Kapı Önü Paspası Koko Paspas Kıl Paspas Ev Paspası</t>
        </is>
      </c>
      <c r="B508" s="24" t="inlineStr">
        <is>
          <t>472345556</t>
        </is>
      </c>
      <c r="C508" s="25" t="inlineStr">
        <is>
          <t>ST149-4070</t>
        </is>
      </c>
      <c r="D508" s="26" t="inlineStr">
        <is>
          <t>KOKO--40x70--ST149</t>
        </is>
      </c>
      <c r="E508" s="27" t="inlineStr">
        <is>
          <t>40 x 70</t>
        </is>
      </c>
      <c r="F508" s="28" t="inlineStr">
        <is>
          <t>ST149</t>
        </is>
      </c>
      <c r="G508" s="29" t="inlineStr">
        <is>
          <t>Kapı Önü Paspası</t>
        </is>
      </c>
      <c r="H508" s="30" t="inlineStr">
        <is>
          <t>Paspas Yap</t>
        </is>
      </c>
      <c r="I508" s="31" t="n">
        <v>87.0</v>
      </c>
      <c r="J508" s="32" t="n">
        <v>1506.0</v>
      </c>
      <c r="K508" s="33" t="n">
        <v>1102.3</v>
      </c>
      <c r="L508" s="34" t="n">
        <v>22.0</v>
      </c>
      <c r="M508" s="35" t="n">
        <v>769.29</v>
      </c>
      <c r="N508" s="36" t="inlineStr">
        <is>
          <t>25 Ağustos 08.00-1 Eylül 07.59</t>
        </is>
      </c>
      <c r="O508" s="37" t="n">
        <v>13.1</v>
      </c>
      <c r="P508" s="38" t="n">
        <v>1102.3</v>
      </c>
      <c r="Q508" s="39"/>
      <c r="R508" s="40" t="n">
        <f>=IF(AND(ISBLANK(Q508), ISBLANK(U508)), "", "7 Günlük Fiyat")</f>
        <v>0.0</v>
      </c>
      <c r="S508" s="41" t="n">
        <f>=IF(OR(Q508="", R508=""), "-", IF(ISNUMBER(SEARCH("7 Günlük", R508)), IF(Q508&lt;=M508, O508, "-"), "-"))</f>
        <v>0.0</v>
      </c>
      <c r="T508" s="42" t="str">
        <f>=IF(ISBLANK(Q508), "", "Hayır")</f>
      </c>
      <c r="U508" s="43"/>
      <c r="V508" s="44" t="inlineStr">
        <is>
          <t>50461ed1-c2c8-4393-967e-55d58a3e2664</t>
        </is>
      </c>
    </row>
    <row r="509">
      <c r="A509" s="23" t="inlineStr">
        <is>
          <t>Welcome Siyah Kalpli Sağ Altta Home Çizgili Kapı Önü Paspası Koko Paspas Kıl Paspas Ev Paspası</t>
        </is>
      </c>
      <c r="B509" s="24" t="inlineStr">
        <is>
          <t>472345556</t>
        </is>
      </c>
      <c r="C509" s="25" t="inlineStr">
        <is>
          <t>ST149-5090</t>
        </is>
      </c>
      <c r="D509" s="26" t="inlineStr">
        <is>
          <t>KOKO5090-ST149</t>
        </is>
      </c>
      <c r="E509" s="27" t="inlineStr">
        <is>
          <t>50 x 90</t>
        </is>
      </c>
      <c r="F509" s="28" t="inlineStr">
        <is>
          <t>ST149</t>
        </is>
      </c>
      <c r="G509" s="29" t="inlineStr">
        <is>
          <t>Kapı Önü Paspası</t>
        </is>
      </c>
      <c r="H509" s="30" t="inlineStr">
        <is>
          <t>Paspas Yap</t>
        </is>
      </c>
      <c r="I509" s="31" t="n">
        <v>89.0</v>
      </c>
      <c r="J509" s="32" t="n">
        <v>2199.0</v>
      </c>
      <c r="K509" s="33" t="n">
        <v>1991.58</v>
      </c>
      <c r="L509" s="34" t="n">
        <v>22.0</v>
      </c>
      <c r="M509" s="35" t="n">
        <v>1512.73</v>
      </c>
      <c r="N509" s="36" t="inlineStr">
        <is>
          <t>25 Ağustos 08.00-1 Eylül 07.59</t>
        </is>
      </c>
      <c r="O509" s="37" t="n">
        <v>16.1</v>
      </c>
      <c r="P509" s="38" t="n">
        <v>1991.58</v>
      </c>
      <c r="Q509" s="39"/>
      <c r="R509" s="40" t="n">
        <f>=IF(AND(ISBLANK(Q509), ISBLANK(U509)), "", "7 Günlük Fiyat")</f>
        <v>0.0</v>
      </c>
      <c r="S509" s="41" t="n">
        <f>=IF(OR(Q509="", R509=""), "-", IF(ISNUMBER(SEARCH("7 Günlük", R509)), IF(Q509&lt;=M509, O509, "-"), "-"))</f>
        <v>0.0</v>
      </c>
      <c r="T509" s="42" t="str">
        <f>=IF(ISBLANK(Q509), "", "Hayır")</f>
      </c>
      <c r="U509" s="43"/>
      <c r="V509" s="44" t="inlineStr">
        <is>
          <t>50461ed1-c2c8-4393-967e-55d58a3e2664</t>
        </is>
      </c>
    </row>
    <row r="510">
      <c r="A510" s="23" t="inlineStr">
        <is>
          <t>Welcome Siyah Kalpli Sağ Altta Home Çizgili Kapı Önü Paspası Koko Paspas Kıl Paspas Ev Paspası</t>
        </is>
      </c>
      <c r="B510" s="24" t="inlineStr">
        <is>
          <t>472345556</t>
        </is>
      </c>
      <c r="C510" s="25" t="inlineStr">
        <is>
          <t>ST149-3360</t>
        </is>
      </c>
      <c r="D510" s="26" t="inlineStr">
        <is>
          <t>KOKO--33x60--ST149</t>
        </is>
      </c>
      <c r="E510" s="27" t="inlineStr">
        <is>
          <t>33 x 60</t>
        </is>
      </c>
      <c r="F510" s="28" t="inlineStr">
        <is>
          <t>ST149</t>
        </is>
      </c>
      <c r="G510" s="29" t="inlineStr">
        <is>
          <t>Kapı Önü Paspası</t>
        </is>
      </c>
      <c r="H510" s="30" t="inlineStr">
        <is>
          <t>Paspas Yap</t>
        </is>
      </c>
      <c r="I510" s="31" t="n">
        <v>93.0</v>
      </c>
      <c r="J510" s="32" t="n">
        <v>799.0</v>
      </c>
      <c r="K510" s="33" t="n">
        <v>799.0</v>
      </c>
      <c r="L510" s="34" t="n">
        <v>22.0</v>
      </c>
      <c r="M510" s="35" t="n">
        <v>515.18</v>
      </c>
      <c r="N510" s="36" t="inlineStr">
        <is>
          <t>25 Ağustos 08.00-1 Eylül 07.59</t>
        </is>
      </c>
      <c r="O510" s="37" t="n">
        <v>14.1</v>
      </c>
      <c r="P510" s="38" t="n">
        <v>799.0</v>
      </c>
      <c r="Q510" s="39"/>
      <c r="R510" s="40" t="n">
        <f>=IF(AND(ISBLANK(Q510), ISBLANK(U510)), "", "7 Günlük Fiyat")</f>
        <v>0.0</v>
      </c>
      <c r="S510" s="41" t="n">
        <f>=IF(OR(Q510="", R510=""), "-", IF(ISNUMBER(SEARCH("7 Günlük", R510)), IF(Q510&lt;=M510, O510, "-"), "-"))</f>
        <v>0.0</v>
      </c>
      <c r="T510" s="42" t="str">
        <f>=IF(ISBLANK(Q510), "", "Hayır")</f>
      </c>
      <c r="U510" s="43"/>
      <c r="V510" s="44" t="inlineStr">
        <is>
          <t>50461ed1-c2c8-4393-967e-55d58a3e2664</t>
        </is>
      </c>
    </row>
    <row r="511">
      <c r="A511" s="23" t="inlineStr">
        <is>
          <t>Rampalı Kıvırcık Paspas Iş Yeri Paspası Su Emici Kaymaz Paspas Kivircik Iş Yeri Paspas Apartman Ofis</t>
        </is>
      </c>
      <c r="B511" s="24" t="inlineStr">
        <is>
          <t>844766616</t>
        </is>
      </c>
      <c r="C511" s="25" t="inlineStr">
        <is>
          <t>KIVIRCIKRAMPALII-KR1-SIYAH-100x1450</t>
        </is>
      </c>
      <c r="D511" s="26" t="inlineStr">
        <is>
          <t>KIVIRCIKRAMPALII-KR1-SIYAH-100x1450</t>
        </is>
      </c>
      <c r="E511" s="27" t="inlineStr">
        <is>
          <t>100 x 1450</t>
        </is>
      </c>
      <c r="F511" s="28" t="inlineStr">
        <is>
          <t>TYCSS3MAPN169778498328887</t>
        </is>
      </c>
      <c r="G511" s="29" t="inlineStr">
        <is>
          <t>Kapı Önü Paspası</t>
        </is>
      </c>
      <c r="H511" s="30" t="inlineStr">
        <is>
          <t>Paspas Yap</t>
        </is>
      </c>
      <c r="I511" s="31" t="n">
        <v>93.0</v>
      </c>
      <c r="J511" s="32" t="n">
        <v>29220.0</v>
      </c>
      <c r="K511" s="33" t="n">
        <v>26692.53</v>
      </c>
      <c r="L511" s="34" t="n">
        <v>22.0</v>
      </c>
      <c r="M511" s="35" t="n">
        <v>16674.01</v>
      </c>
      <c r="N511" s="36" t="inlineStr">
        <is>
          <t>25 Ağustos 08.00-1 Eylül 07.59</t>
        </is>
      </c>
      <c r="O511" s="37" t="n">
        <v>12.8</v>
      </c>
      <c r="P511" s="38" t="n">
        <v>26692.53</v>
      </c>
      <c r="Q511" s="39"/>
      <c r="R511" s="40" t="n">
        <f>=IF(AND(ISBLANK(Q511), ISBLANK(U511)), "", "7 Günlük Fiyat")</f>
        <v>0.0</v>
      </c>
      <c r="S511" s="41" t="n">
        <f>=IF(OR(Q511="", R511=""), "-", IF(ISNUMBER(SEARCH("7 Günlük", R511)), IF(Q511&lt;=M511, O511, "-"), "-"))</f>
        <v>0.0</v>
      </c>
      <c r="T511" s="42" t="str">
        <f>=IF(ISBLANK(Q511), "", "Hayır")</f>
      </c>
      <c r="U511" s="43"/>
      <c r="V511" s="44" t="inlineStr">
        <is>
          <t>50461ed1-c2c8-4393-967e-55d58a3e2664</t>
        </is>
      </c>
    </row>
    <row r="512">
      <c r="A512" s="23" t="inlineStr">
        <is>
          <t>Rampalı Kıvırcık Paspas Iş Yeri Paspası Su Emici Kaymaz Paspas Kivircik Iş Yeri Paspas Apartman Ofis</t>
        </is>
      </c>
      <c r="B512" s="24" t="inlineStr">
        <is>
          <t>844766616</t>
        </is>
      </c>
      <c r="C512" s="25" t="inlineStr">
        <is>
          <t>KIVIRCIKRAMPALII-KR1-SIYAH-100x450</t>
        </is>
      </c>
      <c r="D512" s="26" t="inlineStr">
        <is>
          <t>KIVIRCIKRAMPALII-KR1-SIYAH-100x450</t>
        </is>
      </c>
      <c r="E512" s="27" t="inlineStr">
        <is>
          <t>100 x 450</t>
        </is>
      </c>
      <c r="F512" s="28" t="inlineStr">
        <is>
          <t>TYCSS3MAPN169778498328887</t>
        </is>
      </c>
      <c r="G512" s="29" t="inlineStr">
        <is>
          <t>Kapı Önü Paspası</t>
        </is>
      </c>
      <c r="H512" s="30" t="inlineStr">
        <is>
          <t>Paspas Yap</t>
        </is>
      </c>
      <c r="I512" s="31" t="n">
        <v>93.0</v>
      </c>
      <c r="J512" s="32" t="n">
        <v>8653.0</v>
      </c>
      <c r="K512" s="33" t="n">
        <v>7860.36</v>
      </c>
      <c r="L512" s="34" t="n">
        <v>22.0</v>
      </c>
      <c r="M512" s="35" t="n">
        <v>5732.93</v>
      </c>
      <c r="N512" s="36" t="inlineStr">
        <is>
          <t>25 Ağustos 08.00-1 Eylül 07.59</t>
        </is>
      </c>
      <c r="O512" s="37" t="n">
        <v>15.7</v>
      </c>
      <c r="P512" s="38" t="n">
        <v>7860.36</v>
      </c>
      <c r="Q512" s="39"/>
      <c r="R512" s="40" t="n">
        <f>=IF(AND(ISBLANK(Q512), ISBLANK(U512)), "", "7 Günlük Fiyat")</f>
        <v>0.0</v>
      </c>
      <c r="S512" s="41" t="n">
        <f>=IF(OR(Q512="", R512=""), "-", IF(ISNUMBER(SEARCH("7 Günlük", R512)), IF(Q512&lt;=M512, O512, "-"), "-"))</f>
        <v>0.0</v>
      </c>
      <c r="T512" s="42" t="str">
        <f>=IF(ISBLANK(Q512), "", "Hayır")</f>
      </c>
      <c r="U512" s="43"/>
      <c r="V512" s="44" t="inlineStr">
        <is>
          <t>50461ed1-c2c8-4393-967e-55d58a3e2664</t>
        </is>
      </c>
    </row>
    <row r="513">
      <c r="A513" s="23" t="inlineStr">
        <is>
          <t>Rampalı Kıvırcık Paspas Iş Yeri Paspası Su Emici Kaymaz Paspas Kivircik Iş Yeri Paspas Apartman Ofis</t>
        </is>
      </c>
      <c r="B513" s="24" t="inlineStr">
        <is>
          <t>844766616</t>
        </is>
      </c>
      <c r="C513" s="25" t="inlineStr">
        <is>
          <t>KIVIRCIKRAMPALII-KR1-SIYAH-120x1400</t>
        </is>
      </c>
      <c r="D513" s="26" t="inlineStr">
        <is>
          <t>KIVIRCIKRAMPALII-KR1-SIYAH-120x1400</t>
        </is>
      </c>
      <c r="E513" s="27" t="inlineStr">
        <is>
          <t>120 x 1400</t>
        </is>
      </c>
      <c r="F513" s="28" t="inlineStr">
        <is>
          <t>TYCSS3MAPN169778498328887</t>
        </is>
      </c>
      <c r="G513" s="29" t="inlineStr">
        <is>
          <t>Kapı Önü Paspası</t>
        </is>
      </c>
      <c r="H513" s="30" t="inlineStr">
        <is>
          <t>Paspas Yap</t>
        </is>
      </c>
      <c r="I513" s="31" t="n">
        <v>93.0</v>
      </c>
      <c r="J513" s="32" t="n">
        <v>32563.0</v>
      </c>
      <c r="K513" s="33" t="n">
        <v>30245.19</v>
      </c>
      <c r="L513" s="34" t="n">
        <v>22.0</v>
      </c>
      <c r="M513" s="35" t="n">
        <v>20874.14</v>
      </c>
      <c r="N513" s="36" t="inlineStr">
        <is>
          <t>25 Ağustos 08.00-1 Eylül 07.59</t>
        </is>
      </c>
      <c r="O513" s="37" t="n">
        <v>14.8</v>
      </c>
      <c r="P513" s="38" t="n">
        <v>30245.19</v>
      </c>
      <c r="Q513" s="39"/>
      <c r="R513" s="40" t="n">
        <f>=IF(AND(ISBLANK(Q513), ISBLANK(U513)), "", "7 Günlük Fiyat")</f>
        <v>0.0</v>
      </c>
      <c r="S513" s="41" t="n">
        <f>=IF(OR(Q513="", R513=""), "-", IF(ISNUMBER(SEARCH("7 Günlük", R513)), IF(Q513&lt;=M513, O513, "-"), "-"))</f>
        <v>0.0</v>
      </c>
      <c r="T513" s="42" t="str">
        <f>=IF(ISBLANK(Q513), "", "Hayır")</f>
      </c>
      <c r="U513" s="43"/>
      <c r="V513" s="44" t="inlineStr">
        <is>
          <t>50461ed1-c2c8-4393-967e-55d58a3e2664</t>
        </is>
      </c>
    </row>
    <row r="514">
      <c r="A514" s="23" t="inlineStr">
        <is>
          <t>Rampalı Kıvırcık Paspas Iş Yeri Paspası Su Emici Kaymaz Paspas Kivircik Iş Yeri Paspas Apartman Ofis</t>
        </is>
      </c>
      <c r="B514" s="24" t="inlineStr">
        <is>
          <t>844766616</t>
        </is>
      </c>
      <c r="C514" s="25" t="inlineStr">
        <is>
          <t>KIVIRCIKRAMPALII-KR1-SIYAH-120x1300</t>
        </is>
      </c>
      <c r="D514" s="26" t="inlineStr">
        <is>
          <t>KIVIRCIKRAMPALII-KR1-SIYAH-120x1300</t>
        </is>
      </c>
      <c r="E514" s="27" t="inlineStr">
        <is>
          <t>120 x 1300</t>
        </is>
      </c>
      <c r="F514" s="28" t="inlineStr">
        <is>
          <t>TYCSS3MAPN169778498328887</t>
        </is>
      </c>
      <c r="G514" s="29" t="inlineStr">
        <is>
          <t>Kapı Önü Paspası</t>
        </is>
      </c>
      <c r="H514" s="30" t="inlineStr">
        <is>
          <t>Paspas Yap</t>
        </is>
      </c>
      <c r="I514" s="31" t="n">
        <v>93.0</v>
      </c>
      <c r="J514" s="32" t="n">
        <v>30650.0</v>
      </c>
      <c r="K514" s="33" t="n">
        <v>28337.34</v>
      </c>
      <c r="L514" s="34" t="n">
        <v>22.0</v>
      </c>
      <c r="M514" s="35" t="n">
        <v>20025.13</v>
      </c>
      <c r="N514" s="36" t="inlineStr">
        <is>
          <t>25 Ağustos 08.00-1 Eylül 07.59</t>
        </is>
      </c>
      <c r="O514" s="37" t="n">
        <v>15.3</v>
      </c>
      <c r="P514" s="38" t="n">
        <v>28337.34</v>
      </c>
      <c r="Q514" s="39"/>
      <c r="R514" s="40" t="n">
        <f>=IF(AND(ISBLANK(Q514), ISBLANK(U514)), "", "7 Günlük Fiyat")</f>
        <v>0.0</v>
      </c>
      <c r="S514" s="41" t="n">
        <f>=IF(OR(Q514="", R514=""), "-", IF(ISNUMBER(SEARCH("7 Günlük", R514)), IF(Q514&lt;=M514, O514, "-"), "-"))</f>
        <v>0.0</v>
      </c>
      <c r="T514" s="42" t="str">
        <f>=IF(ISBLANK(Q514), "", "Hayır")</f>
      </c>
      <c r="U514" s="43"/>
      <c r="V514" s="44" t="inlineStr">
        <is>
          <t>50461ed1-c2c8-4393-967e-55d58a3e2664</t>
        </is>
      </c>
    </row>
    <row r="515">
      <c r="A515" s="23" t="inlineStr">
        <is>
          <t>Rampalı Kıvırcık Paspas Iş Yeri Paspası Su Emici Kaymaz Paspas Kivircik Iş Yeri Paspas Apartman Ofis</t>
        </is>
      </c>
      <c r="B515" s="24" t="inlineStr">
        <is>
          <t>844766616</t>
        </is>
      </c>
      <c r="C515" s="25" t="inlineStr">
        <is>
          <t>KIVIRCIKRAMPALII-KR1-SIYAH-100x400</t>
        </is>
      </c>
      <c r="D515" s="26" t="inlineStr">
        <is>
          <t>KIVIRCIKRAMPALII-KR1-SIYAH-100x400</t>
        </is>
      </c>
      <c r="E515" s="27" t="inlineStr">
        <is>
          <t>100 x 400</t>
        </is>
      </c>
      <c r="F515" s="28" t="inlineStr">
        <is>
          <t>TYCSS3MAPN169778498328887</t>
        </is>
      </c>
      <c r="G515" s="29" t="inlineStr">
        <is>
          <t>Kapı Önü Paspası</t>
        </is>
      </c>
      <c r="H515" s="30" t="inlineStr">
        <is>
          <t>Paspas Yap</t>
        </is>
      </c>
      <c r="I515" s="31" t="n">
        <v>93.0</v>
      </c>
      <c r="J515" s="32" t="n">
        <v>8102.0</v>
      </c>
      <c r="K515" s="33" t="n">
        <v>7602.16</v>
      </c>
      <c r="L515" s="34" t="n">
        <v>22.0</v>
      </c>
      <c r="M515" s="35" t="n">
        <v>5277.11</v>
      </c>
      <c r="N515" s="36" t="inlineStr">
        <is>
          <t>25 Ağustos 08.00-1 Eylül 07.59</t>
        </is>
      </c>
      <c r="O515" s="37" t="n">
        <v>15.2</v>
      </c>
      <c r="P515" s="38" t="n">
        <v>7602.16</v>
      </c>
      <c r="Q515" s="39"/>
      <c r="R515" s="40" t="n">
        <f>=IF(AND(ISBLANK(Q515), ISBLANK(U515)), "", "7 Günlük Fiyat")</f>
        <v>0.0</v>
      </c>
      <c r="S515" s="41" t="n">
        <f>=IF(OR(Q515="", R515=""), "-", IF(ISNUMBER(SEARCH("7 Günlük", R515)), IF(Q515&lt;=M515, O515, "-"), "-"))</f>
        <v>0.0</v>
      </c>
      <c r="T515" s="42" t="str">
        <f>=IF(ISBLANK(Q515), "", "Hayır")</f>
      </c>
      <c r="U515" s="43"/>
      <c r="V515" s="44" t="inlineStr">
        <is>
          <t>50461ed1-c2c8-4393-967e-55d58a3e2664</t>
        </is>
      </c>
    </row>
    <row r="516">
      <c r="A516" s="23" t="inlineStr">
        <is>
          <t>Rampalı Kıvırcık Paspas Iş Yeri Paspası Su Emici Kaymaz Paspas Kivircik Iş Yeri Paspas Apartman Ofis</t>
        </is>
      </c>
      <c r="B516" s="24" t="inlineStr">
        <is>
          <t>844766616</t>
        </is>
      </c>
      <c r="C516" s="25" t="inlineStr">
        <is>
          <t>KIVIRCIKRAMPALII-KR1-SIYAH-100x1100</t>
        </is>
      </c>
      <c r="D516" s="26" t="inlineStr">
        <is>
          <t>KIVIRCIKRAMPALII-KR1-SIYAH-100x1100</t>
        </is>
      </c>
      <c r="E516" s="27" t="inlineStr">
        <is>
          <t>100 x 1100</t>
        </is>
      </c>
      <c r="F516" s="28" t="inlineStr">
        <is>
          <t>TYCSS3MAPN169778498328887</t>
        </is>
      </c>
      <c r="G516" s="29" t="inlineStr">
        <is>
          <t>Kapı Önü Paspası</t>
        </is>
      </c>
      <c r="H516" s="30" t="inlineStr">
        <is>
          <t>Paspas Yap</t>
        </is>
      </c>
      <c r="I516" s="31" t="n">
        <v>93.0</v>
      </c>
      <c r="J516" s="32" t="n">
        <v>23587.0</v>
      </c>
      <c r="K516" s="33" t="n">
        <v>21972.49</v>
      </c>
      <c r="L516" s="34" t="n">
        <v>22.0</v>
      </c>
      <c r="M516" s="35" t="n">
        <v>14949.68</v>
      </c>
      <c r="N516" s="36" t="inlineStr">
        <is>
          <t>25 Ağustos 08.00-1 Eylül 07.59</t>
        </is>
      </c>
      <c r="O516" s="37" t="n">
        <v>14.6</v>
      </c>
      <c r="P516" s="38" t="n">
        <v>21972.49</v>
      </c>
      <c r="Q516" s="39"/>
      <c r="R516" s="40" t="n">
        <f>=IF(AND(ISBLANK(Q516), ISBLANK(U516)), "", "7 Günlük Fiyat")</f>
        <v>0.0</v>
      </c>
      <c r="S516" s="41" t="n">
        <f>=IF(OR(Q516="", R516=""), "-", IF(ISNUMBER(SEARCH("7 Günlük", R516)), IF(Q516&lt;=M516, O516, "-"), "-"))</f>
        <v>0.0</v>
      </c>
      <c r="T516" s="42" t="str">
        <f>=IF(ISBLANK(Q516), "", "Hayır")</f>
      </c>
      <c r="U516" s="43"/>
      <c r="V516" s="44" t="inlineStr">
        <is>
          <t>50461ed1-c2c8-4393-967e-55d58a3e2664</t>
        </is>
      </c>
    </row>
    <row r="517">
      <c r="A517" s="23" t="inlineStr">
        <is>
          <t>Rampalı Kıvırcık Paspas Iş Yeri Paspası Su Emici Kaymaz Paspas Kivircik Iş Yeri Paspas Apartman Ofis</t>
        </is>
      </c>
      <c r="B517" s="24" t="inlineStr">
        <is>
          <t>844766616</t>
        </is>
      </c>
      <c r="C517" s="25" t="inlineStr">
        <is>
          <t>KIVIRCIKRAMPALII-KR1-SIYAH-120x1200</t>
        </is>
      </c>
      <c r="D517" s="26" t="inlineStr">
        <is>
          <t>KIVIRCIKRAMPALII-KR1-SIYAH-120x1200</t>
        </is>
      </c>
      <c r="E517" s="27" t="inlineStr">
        <is>
          <t>120 x 1200</t>
        </is>
      </c>
      <c r="F517" s="28" t="inlineStr">
        <is>
          <t>TYCSS3MAPN169778498328887</t>
        </is>
      </c>
      <c r="G517" s="29" t="inlineStr">
        <is>
          <t>Kapı Önü Paspası</t>
        </is>
      </c>
      <c r="H517" s="30" t="inlineStr">
        <is>
          <t>Paspas Yap</t>
        </is>
      </c>
      <c r="I517" s="31" t="n">
        <v>93.0</v>
      </c>
      <c r="J517" s="32" t="n">
        <v>28738.0</v>
      </c>
      <c r="K517" s="33" t="n">
        <v>26472.28</v>
      </c>
      <c r="L517" s="34" t="n">
        <v>22.0</v>
      </c>
      <c r="M517" s="35" t="n">
        <v>17511.49</v>
      </c>
      <c r="N517" s="36" t="inlineStr">
        <is>
          <t>25 Ağustos 08.00-1 Eylül 07.59</t>
        </is>
      </c>
      <c r="O517" s="37" t="n">
        <v>13.9</v>
      </c>
      <c r="P517" s="38" t="n">
        <v>26472.28</v>
      </c>
      <c r="Q517" s="39"/>
      <c r="R517" s="40" t="n">
        <f>=IF(AND(ISBLANK(Q517), ISBLANK(U517)), "", "7 Günlük Fiyat")</f>
        <v>0.0</v>
      </c>
      <c r="S517" s="41" t="n">
        <f>=IF(OR(Q517="", R517=""), "-", IF(ISNUMBER(SEARCH("7 Günlük", R517)), IF(Q517&lt;=M517, O517, "-"), "-"))</f>
        <v>0.0</v>
      </c>
      <c r="T517" s="42" t="str">
        <f>=IF(ISBLANK(Q517), "", "Hayır")</f>
      </c>
      <c r="U517" s="43"/>
      <c r="V517" s="44" t="inlineStr">
        <is>
          <t>50461ed1-c2c8-4393-967e-55d58a3e2664</t>
        </is>
      </c>
    </row>
    <row r="518">
      <c r="A518" s="23" t="inlineStr">
        <is>
          <t>Rampalı Kıvırcık Paspas Iş Yeri Paspası Su Emici Kaymaz Paspas Kivircik Iş Yeri Paspas Apartman Ofis</t>
        </is>
      </c>
      <c r="B518" s="24" t="inlineStr">
        <is>
          <t>844766616</t>
        </is>
      </c>
      <c r="C518" s="25" t="inlineStr">
        <is>
          <t>KIVIRCIKRAMPALII-KR1-SIYAH-100x1000</t>
        </is>
      </c>
      <c r="D518" s="26" t="inlineStr">
        <is>
          <t>KIVIRCIKRAMPALII-KR1-SIYAH-100x1000</t>
        </is>
      </c>
      <c r="E518" s="27" t="inlineStr">
        <is>
          <t>100 x 1000</t>
        </is>
      </c>
      <c r="F518" s="28" t="inlineStr">
        <is>
          <t>TYCSS3MAPN169778498328887</t>
        </is>
      </c>
      <c r="G518" s="29" t="inlineStr">
        <is>
          <t>Kapı Önü Paspası</t>
        </is>
      </c>
      <c r="H518" s="30" t="inlineStr">
        <is>
          <t>Paspas Yap</t>
        </is>
      </c>
      <c r="I518" s="31" t="n">
        <v>93.0</v>
      </c>
      <c r="J518" s="32" t="n">
        <v>18373.0</v>
      </c>
      <c r="K518" s="33" t="n">
        <v>17218.04</v>
      </c>
      <c r="L518" s="34" t="n">
        <v>22.0</v>
      </c>
      <c r="M518" s="35" t="n">
        <v>12305.57</v>
      </c>
      <c r="N518" s="36" t="inlineStr">
        <is>
          <t>25 Ağustos 08.00-1 Eylül 07.59</t>
        </is>
      </c>
      <c r="O518" s="37" t="n">
        <v>15.6</v>
      </c>
      <c r="P518" s="38" t="n">
        <v>17218.04</v>
      </c>
      <c r="Q518" s="39"/>
      <c r="R518" s="40" t="n">
        <f>=IF(AND(ISBLANK(Q518), ISBLANK(U518)), "", "7 Günlük Fiyat")</f>
        <v>0.0</v>
      </c>
      <c r="S518" s="41" t="n">
        <f>=IF(OR(Q518="", R518=""), "-", IF(ISNUMBER(SEARCH("7 Günlük", R518)), IF(Q518&lt;=M518, O518, "-"), "-"))</f>
        <v>0.0</v>
      </c>
      <c r="T518" s="42" t="str">
        <f>=IF(ISBLANK(Q518), "", "Hayır")</f>
      </c>
      <c r="U518" s="43"/>
      <c r="V518" s="44" t="inlineStr">
        <is>
          <t>50461ed1-c2c8-4393-967e-55d58a3e2664</t>
        </is>
      </c>
    </row>
    <row r="519">
      <c r="A519" s="23" t="inlineStr">
        <is>
          <t>Rampalı Kıvırcık Paspas Iş Yeri Paspası Su Emici Kaymaz Paspas Kivircik Iş Yeri Paspas Apartman Ofis</t>
        </is>
      </c>
      <c r="B519" s="24" t="inlineStr">
        <is>
          <t>844766616</t>
        </is>
      </c>
      <c r="C519" s="25" t="inlineStr">
        <is>
          <t>KIVIRCIKRAMPALII-KR1-SIYAH-100x1400</t>
        </is>
      </c>
      <c r="D519" s="26" t="inlineStr">
        <is>
          <t>KIVIRCIKRAMPALII-KR1-SIYAH-100x1400</t>
        </is>
      </c>
      <c r="E519" s="27" t="inlineStr">
        <is>
          <t>100 x 1400</t>
        </is>
      </c>
      <c r="F519" s="28" t="inlineStr">
        <is>
          <t>TYCSS3MAPN169778498328887</t>
        </is>
      </c>
      <c r="G519" s="29" t="inlineStr">
        <is>
          <t>Kapı Önü Paspası</t>
        </is>
      </c>
      <c r="H519" s="30" t="inlineStr">
        <is>
          <t>Paspas Yap</t>
        </is>
      </c>
      <c r="I519" s="31" t="n">
        <v>93.0</v>
      </c>
      <c r="J519" s="32" t="n">
        <v>28415.0</v>
      </c>
      <c r="K519" s="33" t="n">
        <v>26416.41</v>
      </c>
      <c r="L519" s="34" t="n">
        <v>22.0</v>
      </c>
      <c r="M519" s="35" t="n">
        <v>18016.94</v>
      </c>
      <c r="N519" s="36" t="inlineStr">
        <is>
          <t>25 Ağustos 08.00-1 Eylül 07.59</t>
        </is>
      </c>
      <c r="O519" s="37" t="n">
        <v>14.6</v>
      </c>
      <c r="P519" s="38" t="n">
        <v>26416.41</v>
      </c>
      <c r="Q519" s="39"/>
      <c r="R519" s="40" t="n">
        <f>=IF(AND(ISBLANK(Q519), ISBLANK(U519)), "", "7 Günlük Fiyat")</f>
        <v>0.0</v>
      </c>
      <c r="S519" s="41" t="n">
        <f>=IF(OR(Q519="", R519=""), "-", IF(ISNUMBER(SEARCH("7 Günlük", R519)), IF(Q519&lt;=M519, O519, "-"), "-"))</f>
        <v>0.0</v>
      </c>
      <c r="T519" s="42" t="str">
        <f>=IF(ISBLANK(Q519), "", "Hayır")</f>
      </c>
      <c r="U519" s="43"/>
      <c r="V519" s="44" t="inlineStr">
        <is>
          <t>50461ed1-c2c8-4393-967e-55d58a3e2664</t>
        </is>
      </c>
    </row>
    <row r="520">
      <c r="A520" s="23" t="inlineStr">
        <is>
          <t>Rampalı Kıvırcık Paspas Iş Yeri Paspası Su Emici Kaymaz Paspas Kivircik Iş Yeri Paspas Apartman Ofis</t>
        </is>
      </c>
      <c r="B520" s="24" t="inlineStr">
        <is>
          <t>844766616</t>
        </is>
      </c>
      <c r="C520" s="25" t="inlineStr">
        <is>
          <t>KIVIRCIKRAMPALII-KR1-SIYAH-100x100</t>
        </is>
      </c>
      <c r="D520" s="26" t="inlineStr">
        <is>
          <t>KIVIRCIKRAMPALII-KR1-SIYAH-100x100</t>
        </is>
      </c>
      <c r="E520" s="27" t="inlineStr">
        <is>
          <t>100 x 100</t>
        </is>
      </c>
      <c r="F520" s="28" t="inlineStr">
        <is>
          <t>TYCSS3MAPN169778498328887</t>
        </is>
      </c>
      <c r="G520" s="29" t="inlineStr">
        <is>
          <t>Kapı Önü Paspası</t>
        </is>
      </c>
      <c r="H520" s="30" t="inlineStr">
        <is>
          <t>Paspas Yap</t>
        </is>
      </c>
      <c r="I520" s="31" t="n">
        <v>93.0</v>
      </c>
      <c r="J520" s="32" t="n">
        <v>2407.0</v>
      </c>
      <c r="K520" s="33" t="n">
        <v>2407.0</v>
      </c>
      <c r="L520" s="34" t="n">
        <v>22.0</v>
      </c>
      <c r="M520" s="35" t="n">
        <v>1811.39</v>
      </c>
      <c r="N520" s="36" t="inlineStr">
        <is>
          <t>25 Ağustos 08.00-1 Eylül 07.59</t>
        </is>
      </c>
      <c r="O520" s="37" t="n">
        <v>17.3</v>
      </c>
      <c r="P520" s="38" t="n">
        <v>2407.0</v>
      </c>
      <c r="Q520" s="39"/>
      <c r="R520" s="40" t="n">
        <f>=IF(AND(ISBLANK(Q520), ISBLANK(U520)), "", "7 Günlük Fiyat")</f>
        <v>0.0</v>
      </c>
      <c r="S520" s="41" t="n">
        <f>=IF(OR(Q520="", R520=""), "-", IF(ISNUMBER(SEARCH("7 Günlük", R520)), IF(Q520&lt;=M520, O520, "-"), "-"))</f>
        <v>0.0</v>
      </c>
      <c r="T520" s="42" t="str">
        <f>=IF(ISBLANK(Q520), "", "Hayır")</f>
      </c>
      <c r="U520" s="43"/>
      <c r="V520" s="44" t="inlineStr">
        <is>
          <t>50461ed1-c2c8-4393-967e-55d58a3e2664</t>
        </is>
      </c>
    </row>
    <row r="521">
      <c r="A521" s="23" t="inlineStr">
        <is>
          <t>Rampalı Kıvırcık Paspas Iş Yeri Paspası Su Emici Kaymaz Paspas Kivircik Iş Yeri Paspas Apartman Ofis</t>
        </is>
      </c>
      <c r="B521" s="24" t="inlineStr">
        <is>
          <t>844766616</t>
        </is>
      </c>
      <c r="C521" s="25" t="inlineStr">
        <is>
          <t>KIVIRCIKRAMPALII-KR1-SIYAH-120x1150</t>
        </is>
      </c>
      <c r="D521" s="26" t="inlineStr">
        <is>
          <t>KIVIRCIKRAMPALII-KR1-SIYAH-120x1150</t>
        </is>
      </c>
      <c r="E521" s="27" t="inlineStr">
        <is>
          <t>120 x 1150</t>
        </is>
      </c>
      <c r="F521" s="28" t="inlineStr">
        <is>
          <t>TYCSS3MAPN169778498328887</t>
        </is>
      </c>
      <c r="G521" s="29" t="inlineStr">
        <is>
          <t>Kapı Önü Paspası</t>
        </is>
      </c>
      <c r="H521" s="30" t="inlineStr">
        <is>
          <t>Paspas Yap</t>
        </is>
      </c>
      <c r="I521" s="31" t="n">
        <v>93.0</v>
      </c>
      <c r="J521" s="32" t="n">
        <v>27850.0</v>
      </c>
      <c r="K521" s="33" t="n">
        <v>25505.67</v>
      </c>
      <c r="L521" s="34" t="n">
        <v>22.0</v>
      </c>
      <c r="M521" s="35" t="n">
        <v>16118.76</v>
      </c>
      <c r="N521" s="36" t="inlineStr">
        <is>
          <t>25 Ağustos 08.00-1 Eylül 07.59</t>
        </is>
      </c>
      <c r="O521" s="37" t="n">
        <v>12.8</v>
      </c>
      <c r="P521" s="38" t="n">
        <v>25505.67</v>
      </c>
      <c r="Q521" s="39"/>
      <c r="R521" s="40" t="n">
        <f>=IF(AND(ISBLANK(Q521), ISBLANK(U521)), "", "7 Günlük Fiyat")</f>
        <v>0.0</v>
      </c>
      <c r="S521" s="41" t="n">
        <f>=IF(OR(Q521="", R521=""), "-", IF(ISNUMBER(SEARCH("7 Günlük", R521)), IF(Q521&lt;=M521, O521, "-"), "-"))</f>
        <v>0.0</v>
      </c>
      <c r="T521" s="42" t="str">
        <f>=IF(ISBLANK(Q521), "", "Hayır")</f>
      </c>
      <c r="U521" s="43"/>
      <c r="V521" s="44" t="inlineStr">
        <is>
          <t>50461ed1-c2c8-4393-967e-55d58a3e2664</t>
        </is>
      </c>
    </row>
    <row r="522">
      <c r="A522" s="23" t="inlineStr">
        <is>
          <t>Rampalı Kıvırcık Paspas Iş Yeri Paspası Su Emici Kaymaz Paspas Kivircik Iş Yeri Paspas Apartman Ofis</t>
        </is>
      </c>
      <c r="B522" s="24" t="inlineStr">
        <is>
          <t>844766616</t>
        </is>
      </c>
      <c r="C522" s="25" t="inlineStr">
        <is>
          <t>KIVIRCIKRAMPALII-KR1-SIYAH-120x900</t>
        </is>
      </c>
      <c r="D522" s="26" t="inlineStr">
        <is>
          <t>KIVIRCIKRAMPALII-KR1-SIYAH-120x900</t>
        </is>
      </c>
      <c r="E522" s="27" t="inlineStr">
        <is>
          <t>120 x 900</t>
        </is>
      </c>
      <c r="F522" s="28" t="inlineStr">
        <is>
          <t>TYCSS3MAPN169778498328887</t>
        </is>
      </c>
      <c r="G522" s="29" t="inlineStr">
        <is>
          <t>Kapı Önü Paspası</t>
        </is>
      </c>
      <c r="H522" s="30" t="inlineStr">
        <is>
          <t>Paspas Yap</t>
        </is>
      </c>
      <c r="I522" s="31" t="n">
        <v>93.0</v>
      </c>
      <c r="J522" s="32" t="n">
        <v>23547.0</v>
      </c>
      <c r="K522" s="33" t="n">
        <v>21887.93</v>
      </c>
      <c r="L522" s="34" t="n">
        <v>22.0</v>
      </c>
      <c r="M522" s="35" t="n">
        <v>14801.16</v>
      </c>
      <c r="N522" s="36" t="inlineStr">
        <is>
          <t>25 Ağustos 08.00-1 Eylül 07.59</t>
        </is>
      </c>
      <c r="O522" s="37" t="n">
        <v>14.4</v>
      </c>
      <c r="P522" s="38" t="n">
        <v>21887.93</v>
      </c>
      <c r="Q522" s="39"/>
      <c r="R522" s="40" t="n">
        <f>=IF(AND(ISBLANK(Q522), ISBLANK(U522)), "", "7 Günlük Fiyat")</f>
        <v>0.0</v>
      </c>
      <c r="S522" s="41" t="n">
        <f>=IF(OR(Q522="", R522=""), "-", IF(ISNUMBER(SEARCH("7 Günlük", R522)), IF(Q522&lt;=M522, O522, "-"), "-"))</f>
        <v>0.0</v>
      </c>
      <c r="T522" s="42" t="str">
        <f>=IF(ISBLANK(Q522), "", "Hayır")</f>
      </c>
      <c r="U522" s="43"/>
      <c r="V522" s="44" t="inlineStr">
        <is>
          <t>50461ed1-c2c8-4393-967e-55d58a3e2664</t>
        </is>
      </c>
    </row>
    <row r="523">
      <c r="A523" s="23" t="inlineStr">
        <is>
          <t>Rampalı Kıvırcık Paspas Iş Yeri Paspası Su Emici Kaymaz Paspas Kivircik Iş Yeri Paspas Apartman Ofis</t>
        </is>
      </c>
      <c r="B523" s="24" t="inlineStr">
        <is>
          <t>844766616</t>
        </is>
      </c>
      <c r="C523" s="25" t="inlineStr">
        <is>
          <t>KIVIRCIKRAMPALII-KR1-SIYAH-100x1250</t>
        </is>
      </c>
      <c r="D523" s="26" t="inlineStr">
        <is>
          <t>KIVIRCIKRAMPALII-KR1-SIYAH-100x1250</t>
        </is>
      </c>
      <c r="E523" s="27" t="inlineStr">
        <is>
          <t>100 x 1250</t>
        </is>
      </c>
      <c r="F523" s="28" t="inlineStr">
        <is>
          <t>TYCSS3MAPN169778498328887</t>
        </is>
      </c>
      <c r="G523" s="29" t="inlineStr">
        <is>
          <t>Kapı Önü Paspası</t>
        </is>
      </c>
      <c r="H523" s="30" t="inlineStr">
        <is>
          <t>Paspas Yap</t>
        </is>
      </c>
      <c r="I523" s="31" t="n">
        <v>93.0</v>
      </c>
      <c r="J523" s="32" t="n">
        <v>26002.0</v>
      </c>
      <c r="K523" s="33" t="n">
        <v>24149.92</v>
      </c>
      <c r="L523" s="34" t="n">
        <v>22.0</v>
      </c>
      <c r="M523" s="35" t="n">
        <v>16722.11</v>
      </c>
      <c r="N523" s="36" t="inlineStr">
        <is>
          <t>25 Ağustos 08.00-1 Eylül 07.59</t>
        </is>
      </c>
      <c r="O523" s="37" t="n">
        <v>14.9</v>
      </c>
      <c r="P523" s="38" t="n">
        <v>24149.92</v>
      </c>
      <c r="Q523" s="39"/>
      <c r="R523" s="40" t="n">
        <f>=IF(AND(ISBLANK(Q523), ISBLANK(U523)), "", "7 Günlük Fiyat")</f>
        <v>0.0</v>
      </c>
      <c r="S523" s="41" t="n">
        <f>=IF(OR(Q523="", R523=""), "-", IF(ISNUMBER(SEARCH("7 Günlük", R523)), IF(Q523&lt;=M523, O523, "-"), "-"))</f>
        <v>0.0</v>
      </c>
      <c r="T523" s="42" t="str">
        <f>=IF(ISBLANK(Q523), "", "Hayır")</f>
      </c>
      <c r="U523" s="43"/>
      <c r="V523" s="44" t="inlineStr">
        <is>
          <t>50461ed1-c2c8-4393-967e-55d58a3e2664</t>
        </is>
      </c>
    </row>
    <row r="524">
      <c r="A524" s="23" t="inlineStr">
        <is>
          <t>Rampalı Kıvırcık Paspas Iş Yeri Paspası Su Emici Kaymaz Paspas Kivircik Iş Yeri Paspas Apartman Ofis</t>
        </is>
      </c>
      <c r="B524" s="24" t="inlineStr">
        <is>
          <t>844766616</t>
        </is>
      </c>
      <c r="C524" s="25" t="inlineStr">
        <is>
          <t>KIVIRCIKRAMPALII-KR1-SIYAH-120x550</t>
        </is>
      </c>
      <c r="D524" s="26" t="inlineStr">
        <is>
          <t>KIVIRCIKRAMPALII-KR1-SIYAH-120x550</t>
        </is>
      </c>
      <c r="E524" s="27" t="inlineStr">
        <is>
          <t>120 x 550</t>
        </is>
      </c>
      <c r="F524" s="28" t="inlineStr">
        <is>
          <t>TYCSS3MAPN169778498328887</t>
        </is>
      </c>
      <c r="G524" s="29" t="inlineStr">
        <is>
          <t>Kapı Önü Paspası</t>
        </is>
      </c>
      <c r="H524" s="30" t="inlineStr">
        <is>
          <t>Paspas Yap</t>
        </is>
      </c>
      <c r="I524" s="31" t="n">
        <v>93.0</v>
      </c>
      <c r="J524" s="32" t="n">
        <v>13199.0</v>
      </c>
      <c r="K524" s="33" t="n">
        <v>12335.06</v>
      </c>
      <c r="L524" s="34" t="n">
        <v>22.0</v>
      </c>
      <c r="M524" s="35" t="n">
        <v>9004.59</v>
      </c>
      <c r="N524" s="36" t="inlineStr">
        <is>
          <t>25 Ağustos 08.00-1 Eylül 07.59</t>
        </is>
      </c>
      <c r="O524" s="37" t="n">
        <v>16.0</v>
      </c>
      <c r="P524" s="38" t="n">
        <v>12335.06</v>
      </c>
      <c r="Q524" s="39"/>
      <c r="R524" s="40" t="n">
        <f>=IF(AND(ISBLANK(Q524), ISBLANK(U524)), "", "7 Günlük Fiyat")</f>
        <v>0.0</v>
      </c>
      <c r="S524" s="41" t="n">
        <f>=IF(OR(Q524="", R524=""), "-", IF(ISNUMBER(SEARCH("7 Günlük", R524)), IF(Q524&lt;=M524, O524, "-"), "-"))</f>
        <v>0.0</v>
      </c>
      <c r="T524" s="42" t="str">
        <f>=IF(ISBLANK(Q524), "", "Hayır")</f>
      </c>
      <c r="U524" s="43"/>
      <c r="V524" s="44" t="inlineStr">
        <is>
          <t>50461ed1-c2c8-4393-967e-55d58a3e2664</t>
        </is>
      </c>
    </row>
    <row r="525">
      <c r="A525" s="23" t="inlineStr">
        <is>
          <t>Rampalı Kıvırcık Paspas Iş Yeri Paspası Su Emici Kaymaz Paspas Kivircik Iş Yeri Paspas Apartman Ofis</t>
        </is>
      </c>
      <c r="B525" s="24" t="inlineStr">
        <is>
          <t>844766616</t>
        </is>
      </c>
      <c r="C525" s="25" t="inlineStr">
        <is>
          <t>KIVIRCIKRAMPALII-KR1-SIYAH-100x200</t>
        </is>
      </c>
      <c r="D525" s="26" t="inlineStr">
        <is>
          <t>KIVIRCIKRAMPALII-KR1-SIYAH-100x200</t>
        </is>
      </c>
      <c r="E525" s="27" t="inlineStr">
        <is>
          <t>100 x 200</t>
        </is>
      </c>
      <c r="F525" s="28" t="inlineStr">
        <is>
          <t>TYCSS3MAPN169778498328887</t>
        </is>
      </c>
      <c r="G525" s="29" t="inlineStr">
        <is>
          <t>Kapı Önü Paspası</t>
        </is>
      </c>
      <c r="H525" s="30" t="inlineStr">
        <is>
          <t>Paspas Yap</t>
        </is>
      </c>
      <c r="I525" s="31" t="n">
        <v>93.0</v>
      </c>
      <c r="J525" s="32" t="n">
        <v>3830.0</v>
      </c>
      <c r="K525" s="33" t="n">
        <v>3547.92</v>
      </c>
      <c r="L525" s="34" t="n">
        <v>22.0</v>
      </c>
      <c r="M525" s="35" t="n">
        <v>2719.63</v>
      </c>
      <c r="N525" s="36" t="inlineStr">
        <is>
          <t>25 Ağustos 08.00-1 Eylül 07.59</t>
        </is>
      </c>
      <c r="O525" s="37" t="n">
        <v>16.7</v>
      </c>
      <c r="P525" s="38" t="n">
        <v>3547.92</v>
      </c>
      <c r="Q525" s="39"/>
      <c r="R525" s="40" t="n">
        <f>=IF(AND(ISBLANK(Q525), ISBLANK(U525)), "", "7 Günlük Fiyat")</f>
        <v>0.0</v>
      </c>
      <c r="S525" s="41" t="n">
        <f>=IF(OR(Q525="", R525=""), "-", IF(ISNUMBER(SEARCH("7 Günlük", R525)), IF(Q525&lt;=M525, O525, "-"), "-"))</f>
        <v>0.0</v>
      </c>
      <c r="T525" s="42" t="str">
        <f>=IF(ISBLANK(Q525), "", "Hayır")</f>
      </c>
      <c r="U525" s="43"/>
      <c r="V525" s="44" t="inlineStr">
        <is>
          <t>50461ed1-c2c8-4393-967e-55d58a3e2664</t>
        </is>
      </c>
    </row>
    <row r="526">
      <c r="A526" s="23" t="inlineStr">
        <is>
          <t>Rampalı Kıvırcık Paspas Iş Yeri Paspası Su Emici Kaymaz Paspas Kivircik Iş Yeri Paspas Apartman Ofis</t>
        </is>
      </c>
      <c r="B526" s="24" t="inlineStr">
        <is>
          <t>844766616</t>
        </is>
      </c>
      <c r="C526" s="25" t="inlineStr">
        <is>
          <t>KIVIRCIKRAMPALII-KR1-SIYAH-120x650</t>
        </is>
      </c>
      <c r="D526" s="26" t="inlineStr">
        <is>
          <t>KIVIRCIKRAMPALII-KR1-SIYAH-120x650</t>
        </is>
      </c>
      <c r="E526" s="27" t="inlineStr">
        <is>
          <t>120 x 650</t>
        </is>
      </c>
      <c r="F526" s="28" t="inlineStr">
        <is>
          <t>TYCSS3MAPN169778498328887</t>
        </is>
      </c>
      <c r="G526" s="29" t="inlineStr">
        <is>
          <t>Kapı Önü Paspası</t>
        </is>
      </c>
      <c r="H526" s="30" t="inlineStr">
        <is>
          <t>Paspas Yap</t>
        </is>
      </c>
      <c r="I526" s="31" t="n">
        <v>93.0</v>
      </c>
      <c r="J526" s="32" t="n">
        <v>14974.0</v>
      </c>
      <c r="K526" s="33" t="n">
        <v>14008.03</v>
      </c>
      <c r="L526" s="34" t="n">
        <v>22.0</v>
      </c>
      <c r="M526" s="35" t="n">
        <v>10322.43</v>
      </c>
      <c r="N526" s="36" t="inlineStr">
        <is>
          <t>25 Ağustos 08.00-1 Eylül 07.59</t>
        </is>
      </c>
      <c r="O526" s="37" t="n">
        <v>16.2</v>
      </c>
      <c r="P526" s="38" t="n">
        <v>14008.03</v>
      </c>
      <c r="Q526" s="39"/>
      <c r="R526" s="40" t="n">
        <f>=IF(AND(ISBLANK(Q526), ISBLANK(U526)), "", "7 Günlük Fiyat")</f>
        <v>0.0</v>
      </c>
      <c r="S526" s="41" t="n">
        <f>=IF(OR(Q526="", R526=""), "-", IF(ISNUMBER(SEARCH("7 Günlük", R526)), IF(Q526&lt;=M526, O526, "-"), "-"))</f>
        <v>0.0</v>
      </c>
      <c r="T526" s="42" t="str">
        <f>=IF(ISBLANK(Q526), "", "Hayır")</f>
      </c>
      <c r="U526" s="43"/>
      <c r="V526" s="44" t="inlineStr">
        <is>
          <t>50461ed1-c2c8-4393-967e-55d58a3e2664</t>
        </is>
      </c>
    </row>
    <row r="527">
      <c r="A527" s="23" t="inlineStr">
        <is>
          <t>Rampalı Kıvırcık Paspas Iş Yeri Paspası Su Emici Kaymaz Paspas Kivircik Iş Yeri Paspas Apartman Ofis</t>
        </is>
      </c>
      <c r="B527" s="24" t="inlineStr">
        <is>
          <t>844766616</t>
        </is>
      </c>
      <c r="C527" s="25" t="inlineStr">
        <is>
          <t>KIVIRCIKRAMPALII-KR1-SIYAH-50x100</t>
        </is>
      </c>
      <c r="D527" s="26" t="inlineStr">
        <is>
          <t>KIVIRCIKRAMPALII-KR1-SIYAH-50x100</t>
        </is>
      </c>
      <c r="E527" s="27" t="inlineStr">
        <is>
          <t>50 x 100</t>
        </is>
      </c>
      <c r="F527" s="28" t="inlineStr">
        <is>
          <t>TYCSS3MAPN169778498328887</t>
        </is>
      </c>
      <c r="G527" s="29" t="inlineStr">
        <is>
          <t>Kapı Önü Paspası</t>
        </is>
      </c>
      <c r="H527" s="30" t="inlineStr">
        <is>
          <t>Paspas Yap</t>
        </is>
      </c>
      <c r="I527" s="31" t="n">
        <v>92.0</v>
      </c>
      <c r="J527" s="32" t="n">
        <v>1460.0</v>
      </c>
      <c r="K527" s="33" t="n">
        <v>1265.25</v>
      </c>
      <c r="L527" s="34" t="n">
        <v>22.0</v>
      </c>
      <c r="M527" s="35" t="n">
        <v>983.73</v>
      </c>
      <c r="N527" s="36" t="inlineStr">
        <is>
          <t>25 Ağustos 08.00-1 Eylül 07.59</t>
        </is>
      </c>
      <c r="O527" s="37" t="n">
        <v>16.0</v>
      </c>
      <c r="P527" s="38" t="n">
        <v>1265.25</v>
      </c>
      <c r="Q527" s="39"/>
      <c r="R527" s="40" t="n">
        <f>=IF(AND(ISBLANK(Q527), ISBLANK(U527)), "", "7 Günlük Fiyat")</f>
        <v>0.0</v>
      </c>
      <c r="S527" s="41" t="n">
        <f>=IF(OR(Q527="", R527=""), "-", IF(ISNUMBER(SEARCH("7 Günlük", R527)), IF(Q527&lt;=M527, O527, "-"), "-"))</f>
        <v>0.0</v>
      </c>
      <c r="T527" s="42" t="str">
        <f>=IF(ISBLANK(Q527), "", "Hayır")</f>
      </c>
      <c r="U527" s="43"/>
      <c r="V527" s="44" t="inlineStr">
        <is>
          <t>50461ed1-c2c8-4393-967e-55d58a3e2664</t>
        </is>
      </c>
    </row>
    <row r="528">
      <c r="A528" s="23" t="inlineStr">
        <is>
          <t>Rampalı Kıvırcık Paspas Iş Yeri Paspası Su Emici Kaymaz Paspas Kivircik Iş Yeri Paspas Apartman Ofis</t>
        </is>
      </c>
      <c r="B528" s="24" t="inlineStr">
        <is>
          <t>844766616</t>
        </is>
      </c>
      <c r="C528" s="25" t="inlineStr">
        <is>
          <t>KIVIRCIKRAMPALII-KR1-SIYAH-120x1100</t>
        </is>
      </c>
      <c r="D528" s="26" t="inlineStr">
        <is>
          <t>KIVIRCIKRAMPALII-KR1-SIYAH-120x1100</t>
        </is>
      </c>
      <c r="E528" s="27" t="inlineStr">
        <is>
          <t>120 x 1100</t>
        </is>
      </c>
      <c r="F528" s="28" t="inlineStr">
        <is>
          <t>TYCSS3MAPN169778498328887</t>
        </is>
      </c>
      <c r="G528" s="29" t="inlineStr">
        <is>
          <t>Kapı Önü Paspası</t>
        </is>
      </c>
      <c r="H528" s="30" t="inlineStr">
        <is>
          <t>Paspas Yap</t>
        </is>
      </c>
      <c r="I528" s="31" t="n">
        <v>93.0</v>
      </c>
      <c r="J528" s="32" t="n">
        <v>26963.0</v>
      </c>
      <c r="K528" s="33" t="n">
        <v>24873.09</v>
      </c>
      <c r="L528" s="34" t="n">
        <v>22.0</v>
      </c>
      <c r="M528" s="35" t="n">
        <v>16553.12</v>
      </c>
      <c r="N528" s="36" t="inlineStr">
        <is>
          <t>25 Ağustos 08.00-1 Eylül 07.59</t>
        </is>
      </c>
      <c r="O528" s="37" t="n">
        <v>14.0</v>
      </c>
      <c r="P528" s="38" t="n">
        <v>24873.09</v>
      </c>
      <c r="Q528" s="39"/>
      <c r="R528" s="40" t="n">
        <f>=IF(AND(ISBLANK(Q528), ISBLANK(U528)), "", "7 Günlük Fiyat")</f>
        <v>0.0</v>
      </c>
      <c r="S528" s="41" t="n">
        <f>=IF(OR(Q528="", R528=""), "-", IF(ISNUMBER(SEARCH("7 Günlük", R528)), IF(Q528&lt;=M528, O528, "-"), "-"))</f>
        <v>0.0</v>
      </c>
      <c r="T528" s="42" t="str">
        <f>=IF(ISBLANK(Q528), "", "Hayır")</f>
      </c>
      <c r="U528" s="43"/>
      <c r="V528" s="44" t="inlineStr">
        <is>
          <t>50461ed1-c2c8-4393-967e-55d58a3e2664</t>
        </is>
      </c>
    </row>
    <row r="529">
      <c r="A529" s="23" t="inlineStr">
        <is>
          <t>Rampalı Kıvırcık Paspas Iş Yeri Paspası Su Emici Kaymaz Paspas Kivircik Iş Yeri Paspas Apartman Ofis</t>
        </is>
      </c>
      <c r="B529" s="24" t="inlineStr">
        <is>
          <t>844766616</t>
        </is>
      </c>
      <c r="C529" s="25" t="inlineStr">
        <is>
          <t>KIVIRCIKRAMPALII-KR1-SIYAH-120x400</t>
        </is>
      </c>
      <c r="D529" s="26" t="inlineStr">
        <is>
          <t>KIVIRCIKRAMPALII-KR1-SIYAH-120x400</t>
        </is>
      </c>
      <c r="E529" s="27" t="inlineStr">
        <is>
          <t>120 x 400</t>
        </is>
      </c>
      <c r="F529" s="28" t="inlineStr">
        <is>
          <t>TYCSS3MAPN169778498328887</t>
        </is>
      </c>
      <c r="G529" s="29" t="inlineStr">
        <is>
          <t>Kapı Önü Paspası</t>
        </is>
      </c>
      <c r="H529" s="30" t="inlineStr">
        <is>
          <t>Paspas Yap</t>
        </is>
      </c>
      <c r="I529" s="31" t="n">
        <v>93.0</v>
      </c>
      <c r="J529" s="32" t="n">
        <v>9204.0</v>
      </c>
      <c r="K529" s="33" t="n">
        <v>8045.81</v>
      </c>
      <c r="L529" s="34" t="n">
        <v>22.0</v>
      </c>
      <c r="M529" s="35" t="n">
        <v>6198.86</v>
      </c>
      <c r="N529" s="36" t="inlineStr">
        <is>
          <t>25 Ağustos 08.00-1 Eylül 07.59</t>
        </is>
      </c>
      <c r="O529" s="37" t="n">
        <v>16.6</v>
      </c>
      <c r="P529" s="38" t="n">
        <v>8045.81</v>
      </c>
      <c r="Q529" s="39"/>
      <c r="R529" s="40" t="n">
        <f>=IF(AND(ISBLANK(Q529), ISBLANK(U529)), "", "7 Günlük Fiyat")</f>
        <v>0.0</v>
      </c>
      <c r="S529" s="41" t="n">
        <f>=IF(OR(Q529="", R529=""), "-", IF(ISNUMBER(SEARCH("7 Günlük", R529)), IF(Q529&lt;=M529, O529, "-"), "-"))</f>
        <v>0.0</v>
      </c>
      <c r="T529" s="42" t="str">
        <f>=IF(ISBLANK(Q529), "", "Hayır")</f>
      </c>
      <c r="U529" s="43"/>
      <c r="V529" s="44" t="inlineStr">
        <is>
          <t>50461ed1-c2c8-4393-967e-55d58a3e2664</t>
        </is>
      </c>
    </row>
    <row r="530">
      <c r="A530" s="23" t="inlineStr">
        <is>
          <t>Rampalı Kıvırcık Paspas Iş Yeri Paspası Su Emici Kaymaz Paspas Kivircik Iş Yeri Paspas Apartman Ofis</t>
        </is>
      </c>
      <c r="B530" s="24" t="inlineStr">
        <is>
          <t>844766616</t>
        </is>
      </c>
      <c r="C530" s="25" t="inlineStr">
        <is>
          <t>KIVIRCIKRAMPALII-KR1-SIYAH-100x600</t>
        </is>
      </c>
      <c r="D530" s="26" t="inlineStr">
        <is>
          <t>KIVIRCIKRAMPALII-KR1-SIYAH-100x600</t>
        </is>
      </c>
      <c r="E530" s="27" t="inlineStr">
        <is>
          <t>100 x 600</t>
        </is>
      </c>
      <c r="F530" s="28" t="inlineStr">
        <is>
          <t>TYCSS3MAPN169778498328887</t>
        </is>
      </c>
      <c r="G530" s="29" t="inlineStr">
        <is>
          <t>Kapı Önü Paspası</t>
        </is>
      </c>
      <c r="H530" s="30" t="inlineStr">
        <is>
          <t>Paspas Yap</t>
        </is>
      </c>
      <c r="I530" s="31" t="n">
        <v>93.0</v>
      </c>
      <c r="J530" s="32" t="n">
        <v>12312.0</v>
      </c>
      <c r="K530" s="33" t="n">
        <v>11453.75</v>
      </c>
      <c r="L530" s="34" t="n">
        <v>22.0</v>
      </c>
      <c r="M530" s="35" t="n">
        <v>8332.94</v>
      </c>
      <c r="N530" s="36" t="inlineStr">
        <is>
          <t>25 Ağustos 08.00-1 Eylül 07.59</t>
        </is>
      </c>
      <c r="O530" s="37" t="n">
        <v>15.9</v>
      </c>
      <c r="P530" s="38" t="n">
        <v>11453.75</v>
      </c>
      <c r="Q530" s="39"/>
      <c r="R530" s="40" t="n">
        <f>=IF(AND(ISBLANK(Q530), ISBLANK(U530)), "", "7 Günlük Fiyat")</f>
        <v>0.0</v>
      </c>
      <c r="S530" s="41" t="n">
        <f>=IF(OR(Q530="", R530=""), "-", IF(ISNUMBER(SEARCH("7 Günlük", R530)), IF(Q530&lt;=M530, O530, "-"), "-"))</f>
        <v>0.0</v>
      </c>
      <c r="T530" s="42" t="str">
        <f>=IF(ISBLANK(Q530), "", "Hayır")</f>
      </c>
      <c r="U530" s="43"/>
      <c r="V530" s="44" t="inlineStr">
        <is>
          <t>50461ed1-c2c8-4393-967e-55d58a3e2664</t>
        </is>
      </c>
    </row>
    <row r="531">
      <c r="A531" s="23" t="inlineStr">
        <is>
          <t>Rampalı Kıvırcık Paspas Iş Yeri Paspası Su Emici Kaymaz Paspas Kivircik Iş Yeri Paspas Apartman Ofis</t>
        </is>
      </c>
      <c r="B531" s="24" t="inlineStr">
        <is>
          <t>844766616</t>
        </is>
      </c>
      <c r="C531" s="25" t="inlineStr">
        <is>
          <t>KIVIRCIKRAMPALII-KR1-SIYAH-40x70</t>
        </is>
      </c>
      <c r="D531" s="26" t="inlineStr">
        <is>
          <t>KIVIRCIKRAMPALII-KR1-SIYAH-40x70</t>
        </is>
      </c>
      <c r="E531" s="27" t="inlineStr">
        <is>
          <t>40 x 70</t>
        </is>
      </c>
      <c r="F531" s="28" t="inlineStr">
        <is>
          <t>TYCSS3MAPN169778498328887</t>
        </is>
      </c>
      <c r="G531" s="29" t="inlineStr">
        <is>
          <t>Kapı Önü Paspası</t>
        </is>
      </c>
      <c r="H531" s="30" t="inlineStr">
        <is>
          <t>Paspas Yap</t>
        </is>
      </c>
      <c r="I531" s="31" t="n">
        <v>93.0</v>
      </c>
      <c r="J531" s="32" t="n">
        <v>1062.0</v>
      </c>
      <c r="K531" s="33" t="n">
        <v>876.33</v>
      </c>
      <c r="L531" s="34" t="n">
        <v>22.0</v>
      </c>
      <c r="M531" s="35" t="n">
        <v>588.34</v>
      </c>
      <c r="N531" s="36" t="inlineStr">
        <is>
          <t>25 Ağustos 08.00-1 Eylül 07.59</t>
        </is>
      </c>
      <c r="O531" s="37" t="n">
        <v>12.6</v>
      </c>
      <c r="P531" s="38" t="n">
        <v>876.33</v>
      </c>
      <c r="Q531" s="39"/>
      <c r="R531" s="40" t="n">
        <f>=IF(AND(ISBLANK(Q531), ISBLANK(U531)), "", "7 Günlük Fiyat")</f>
        <v>0.0</v>
      </c>
      <c r="S531" s="41" t="n">
        <f>=IF(OR(Q531="", R531=""), "-", IF(ISNUMBER(SEARCH("7 Günlük", R531)), IF(Q531&lt;=M531, O531, "-"), "-"))</f>
        <v>0.0</v>
      </c>
      <c r="T531" s="42" t="str">
        <f>=IF(ISBLANK(Q531), "", "Hayır")</f>
      </c>
      <c r="U531" s="43"/>
      <c r="V531" s="44" t="inlineStr">
        <is>
          <t>50461ed1-c2c8-4393-967e-55d58a3e2664</t>
        </is>
      </c>
    </row>
    <row r="532">
      <c r="A532" s="23" t="inlineStr">
        <is>
          <t>Rampalı Kıvırcık Paspas Iş Yeri Paspası Su Emici Kaymaz Paspas Kivircik Iş Yeri Paspas Apartman Ofis</t>
        </is>
      </c>
      <c r="B532" s="24" t="inlineStr">
        <is>
          <t>844766616</t>
        </is>
      </c>
      <c r="C532" s="25" t="inlineStr">
        <is>
          <t>KIVIRCIKRAMPALII-KR1-SIYAH-100x1200</t>
        </is>
      </c>
      <c r="D532" s="26" t="inlineStr">
        <is>
          <t>KIVIRCIKRAMPALII-KR1-SIYAH-100x1200</t>
        </is>
      </c>
      <c r="E532" s="27" t="inlineStr">
        <is>
          <t>100 x 1200</t>
        </is>
      </c>
      <c r="F532" s="28" t="inlineStr">
        <is>
          <t>TYCSS3MAPN169778498328887</t>
        </is>
      </c>
      <c r="G532" s="29" t="inlineStr">
        <is>
          <t>Kapı Önü Paspası</t>
        </is>
      </c>
      <c r="H532" s="30" t="inlineStr">
        <is>
          <t>Paspas Yap</t>
        </is>
      </c>
      <c r="I532" s="31" t="n">
        <v>93.0</v>
      </c>
      <c r="J532" s="32" t="n">
        <v>25197.0</v>
      </c>
      <c r="K532" s="33" t="n">
        <v>23415.68</v>
      </c>
      <c r="L532" s="34" t="n">
        <v>22.0</v>
      </c>
      <c r="M532" s="35" t="n">
        <v>15751.23</v>
      </c>
      <c r="N532" s="36" t="inlineStr">
        <is>
          <t>25 Ağustos 08.00-1 Eylül 07.59</t>
        </is>
      </c>
      <c r="O532" s="37" t="n">
        <v>14.3</v>
      </c>
      <c r="P532" s="38" t="n">
        <v>23415.68</v>
      </c>
      <c r="Q532" s="39"/>
      <c r="R532" s="40" t="n">
        <f>=IF(AND(ISBLANK(Q532), ISBLANK(U532)), "", "7 Günlük Fiyat")</f>
        <v>0.0</v>
      </c>
      <c r="S532" s="41" t="n">
        <f>=IF(OR(Q532="", R532=""), "-", IF(ISNUMBER(SEARCH("7 Günlük", R532)), IF(Q532&lt;=M532, O532, "-"), "-"))</f>
        <v>0.0</v>
      </c>
      <c r="T532" s="42" t="str">
        <f>=IF(ISBLANK(Q532), "", "Hayır")</f>
      </c>
      <c r="U532" s="43"/>
      <c r="V532" s="44" t="inlineStr">
        <is>
          <t>50461ed1-c2c8-4393-967e-55d58a3e2664</t>
        </is>
      </c>
    </row>
    <row r="533">
      <c r="A533" s="23" t="inlineStr">
        <is>
          <t>Rampalı Kıvırcık Paspas Iş Yeri Paspası Su Emici Kaymaz Paspas Kivircik Iş Yeri Paspas Apartman Ofis</t>
        </is>
      </c>
      <c r="B533" s="24" t="inlineStr">
        <is>
          <t>844766616</t>
        </is>
      </c>
      <c r="C533" s="25" t="inlineStr">
        <is>
          <t>KIVIRCIKRAMPALII-KR1-SIYAH-120x300</t>
        </is>
      </c>
      <c r="D533" s="26" t="inlineStr">
        <is>
          <t>KIVIRCIKRAMPALII-KR1-SIYAH-120x300</t>
        </is>
      </c>
      <c r="E533" s="27" t="inlineStr">
        <is>
          <t>120 x 300</t>
        </is>
      </c>
      <c r="F533" s="28" t="inlineStr">
        <is>
          <t>TYCSS3MAPN169778498328887</t>
        </is>
      </c>
      <c r="G533" s="29" t="inlineStr">
        <is>
          <t>Kapı Önü Paspası</t>
        </is>
      </c>
      <c r="H533" s="30" t="inlineStr">
        <is>
          <t>Paspas Yap</t>
        </is>
      </c>
      <c r="I533" s="31" t="n">
        <v>93.0</v>
      </c>
      <c r="J533" s="32" t="n">
        <v>7238.0</v>
      </c>
      <c r="K533" s="33" t="n">
        <v>6654.48</v>
      </c>
      <c r="L533" s="34" t="n">
        <v>22.0</v>
      </c>
      <c r="M533" s="35" t="n">
        <v>4644.8</v>
      </c>
      <c r="N533" s="36" t="inlineStr">
        <is>
          <t>25 Ağustos 08.00-1 Eylül 07.59</t>
        </is>
      </c>
      <c r="O533" s="37" t="n">
        <v>14.9</v>
      </c>
      <c r="P533" s="38" t="n">
        <v>6654.48</v>
      </c>
      <c r="Q533" s="39"/>
      <c r="R533" s="40" t="n">
        <f>=IF(AND(ISBLANK(Q533), ISBLANK(U533)), "", "7 Günlük Fiyat")</f>
        <v>0.0</v>
      </c>
      <c r="S533" s="41" t="n">
        <f>=IF(OR(Q533="", R533=""), "-", IF(ISNUMBER(SEARCH("7 Günlük", R533)), IF(Q533&lt;=M533, O533, "-"), "-"))</f>
        <v>0.0</v>
      </c>
      <c r="T533" s="42" t="str">
        <f>=IF(ISBLANK(Q533), "", "Hayır")</f>
      </c>
      <c r="U533" s="43"/>
      <c r="V533" s="44" t="inlineStr">
        <is>
          <t>50461ed1-c2c8-4393-967e-55d58a3e2664</t>
        </is>
      </c>
    </row>
    <row r="534">
      <c r="A534" s="23" t="inlineStr">
        <is>
          <t>Rampalı Kıvırcık Paspas Iş Yeri Paspası Su Emici Kaymaz Paspas Kivircik Iş Yeri Paspas Apartman Ofis</t>
        </is>
      </c>
      <c r="B534" s="24" t="inlineStr">
        <is>
          <t>844766616</t>
        </is>
      </c>
      <c r="C534" s="25" t="inlineStr">
        <is>
          <t>KIVIRCIKRAMPALII-KR1-SIYAH-100x650</t>
        </is>
      </c>
      <c r="D534" s="26" t="inlineStr">
        <is>
          <t>KIVIRCIKRAMPALII-KR1-SIYAH-100x650</t>
        </is>
      </c>
      <c r="E534" s="27" t="inlineStr">
        <is>
          <t>100 x 650</t>
        </is>
      </c>
      <c r="F534" s="28" t="inlineStr">
        <is>
          <t>TYCSS3MAPN169778498328887</t>
        </is>
      </c>
      <c r="G534" s="29" t="inlineStr">
        <is>
          <t>Kapı Önü Paspası</t>
        </is>
      </c>
      <c r="H534" s="30" t="inlineStr">
        <is>
          <t>Paspas Yap</t>
        </is>
      </c>
      <c r="I534" s="31" t="n">
        <v>93.0</v>
      </c>
      <c r="J534" s="32" t="n">
        <v>12753.0</v>
      </c>
      <c r="K534" s="33" t="n">
        <v>12019.8</v>
      </c>
      <c r="L534" s="34" t="n">
        <v>22.0</v>
      </c>
      <c r="M534" s="35" t="n">
        <v>8827.74</v>
      </c>
      <c r="N534" s="36" t="inlineStr">
        <is>
          <t>25 Ağustos 08.00-1 Eylül 07.59</t>
        </is>
      </c>
      <c r="O534" s="37" t="n">
        <v>16.2</v>
      </c>
      <c r="P534" s="38" t="n">
        <v>12019.8</v>
      </c>
      <c r="Q534" s="39"/>
      <c r="R534" s="40" t="n">
        <f>=IF(AND(ISBLANK(Q534), ISBLANK(U534)), "", "7 Günlük Fiyat")</f>
        <v>0.0</v>
      </c>
      <c r="S534" s="41" t="n">
        <f>=IF(OR(Q534="", R534=""), "-", IF(ISNUMBER(SEARCH("7 Günlük", R534)), IF(Q534&lt;=M534, O534, "-"), "-"))</f>
        <v>0.0</v>
      </c>
      <c r="T534" s="42" t="str">
        <f>=IF(ISBLANK(Q534), "", "Hayır")</f>
      </c>
      <c r="U534" s="43"/>
      <c r="V534" s="44" t="inlineStr">
        <is>
          <t>50461ed1-c2c8-4393-967e-55d58a3e2664</t>
        </is>
      </c>
    </row>
    <row r="535">
      <c r="A535" s="23" t="inlineStr">
        <is>
          <t>Rampalı Kıvırcık Paspas Iş Yeri Paspası Su Emici Kaymaz Paspas Kivircik Iş Yeri Paspas Apartman Ofis</t>
        </is>
      </c>
      <c r="B535" s="24" t="inlineStr">
        <is>
          <t>844766616</t>
        </is>
      </c>
      <c r="C535" s="25" t="inlineStr">
        <is>
          <t>KIVIRCIKRAMPALII-KR1-SIYAH-60x100</t>
        </is>
      </c>
      <c r="D535" s="26" t="inlineStr">
        <is>
          <t>KIVIRCIKRAMPALII-KR1-SIYAH-60x100</t>
        </is>
      </c>
      <c r="E535" s="27" t="inlineStr">
        <is>
          <t>60 x 100</t>
        </is>
      </c>
      <c r="F535" s="28" t="inlineStr">
        <is>
          <t>TYCSS3MAPN169778498328887</t>
        </is>
      </c>
      <c r="G535" s="29" t="inlineStr">
        <is>
          <t>Kapı Önü Paspası</t>
        </is>
      </c>
      <c r="H535" s="30" t="inlineStr">
        <is>
          <t>Paspas Yap</t>
        </is>
      </c>
      <c r="I535" s="31" t="n">
        <v>89.0</v>
      </c>
      <c r="J535" s="32" t="n">
        <v>1858.0</v>
      </c>
      <c r="K535" s="33" t="n">
        <v>1610.99</v>
      </c>
      <c r="L535" s="34" t="n">
        <v>21.4</v>
      </c>
      <c r="M535" s="35" t="n">
        <v>1316.28</v>
      </c>
      <c r="N535" s="36" t="inlineStr">
        <is>
          <t>25 Ağustos 08.00-1 Eylül 07.59</t>
        </is>
      </c>
      <c r="O535" s="37" t="n">
        <v>16.6</v>
      </c>
      <c r="P535" s="38" t="n">
        <v>1610.99</v>
      </c>
      <c r="Q535" s="39"/>
      <c r="R535" s="40" t="n">
        <f>=IF(AND(ISBLANK(Q535), ISBLANK(U535)), "", "7 Günlük Fiyat")</f>
        <v>0.0</v>
      </c>
      <c r="S535" s="41" t="n">
        <f>=IF(OR(Q535="", R535=""), "-", IF(ISNUMBER(SEARCH("7 Günlük", R535)), IF(Q535&lt;=M535, O535, "-"), "-"))</f>
        <v>0.0</v>
      </c>
      <c r="T535" s="42" t="str">
        <f>=IF(ISBLANK(Q535), "", "Hayır")</f>
      </c>
      <c r="U535" s="43"/>
      <c r="V535" s="44" t="inlineStr">
        <is>
          <t>50461ed1-c2c8-4393-967e-55d58a3e2664</t>
        </is>
      </c>
    </row>
    <row r="536">
      <c r="A536" s="23" t="inlineStr">
        <is>
          <t>Rampalı Kıvırcık Paspas Iş Yeri Paspası Su Emici Kaymaz Paspas Kivircik Iş Yeri Paspas Apartman Ofis</t>
        </is>
      </c>
      <c r="B536" s="24" t="inlineStr">
        <is>
          <t>844766616</t>
        </is>
      </c>
      <c r="C536" s="25" t="inlineStr">
        <is>
          <t>KIVIRCIKRAMPALII-KR1-SIYAH-120x200</t>
        </is>
      </c>
      <c r="D536" s="26" t="inlineStr">
        <is>
          <t>KIVIRCIKRAMPALII-KR1-SIYAH-120x200</t>
        </is>
      </c>
      <c r="E536" s="27" t="inlineStr">
        <is>
          <t>120 x 200</t>
        </is>
      </c>
      <c r="F536" s="28" t="inlineStr">
        <is>
          <t>TYCSS3MAPN169778498328887</t>
        </is>
      </c>
      <c r="G536" s="29" t="inlineStr">
        <is>
          <t>Kapı Önü Paspası</t>
        </is>
      </c>
      <c r="H536" s="30" t="inlineStr">
        <is>
          <t>Paspas Yap</t>
        </is>
      </c>
      <c r="I536" s="31" t="n">
        <v>93.0</v>
      </c>
      <c r="J536" s="32" t="n">
        <v>4709.0</v>
      </c>
      <c r="K536" s="33" t="n">
        <v>4143.41</v>
      </c>
      <c r="L536" s="34" t="n">
        <v>22.0</v>
      </c>
      <c r="M536" s="35" t="n">
        <v>2883.69</v>
      </c>
      <c r="N536" s="36" t="inlineStr">
        <is>
          <t>25 Ağustos 08.00-1 Eylül 07.59</t>
        </is>
      </c>
      <c r="O536" s="37" t="n">
        <v>14.7</v>
      </c>
      <c r="P536" s="38" t="n">
        <v>4143.41</v>
      </c>
      <c r="Q536" s="39"/>
      <c r="R536" s="40" t="n">
        <f>=IF(AND(ISBLANK(Q536), ISBLANK(U536)), "", "7 Günlük Fiyat")</f>
        <v>0.0</v>
      </c>
      <c r="S536" s="41" t="n">
        <f>=IF(OR(Q536="", R536=""), "-", IF(ISNUMBER(SEARCH("7 Günlük", R536)), IF(Q536&lt;=M536, O536, "-"), "-"))</f>
        <v>0.0</v>
      </c>
      <c r="T536" s="42" t="str">
        <f>=IF(ISBLANK(Q536), "", "Hayır")</f>
      </c>
      <c r="U536" s="43"/>
      <c r="V536" s="44" t="inlineStr">
        <is>
          <t>50461ed1-c2c8-4393-967e-55d58a3e2664</t>
        </is>
      </c>
    </row>
    <row r="537">
      <c r="A537" s="23" t="inlineStr">
        <is>
          <t>Rampalı Kıvırcık Paspas Iş Yeri Paspası Su Emici Kaymaz Paspas Kivircik Iş Yeri Paspas Apartman Ofis</t>
        </is>
      </c>
      <c r="B537" s="24" t="inlineStr">
        <is>
          <t>844766616</t>
        </is>
      </c>
      <c r="C537" s="25" t="inlineStr">
        <is>
          <t>KIVIRCIKRAMPALII-KR1-SIYAH-100x950</t>
        </is>
      </c>
      <c r="D537" s="26" t="inlineStr">
        <is>
          <t>KIVIRCIKRAMPALII-KR1-SIYAH-100x950</t>
        </is>
      </c>
      <c r="E537" s="27" t="inlineStr">
        <is>
          <t>100 x 950</t>
        </is>
      </c>
      <c r="F537" s="28" t="inlineStr">
        <is>
          <t>TYCSS3MAPN169778498328887</t>
        </is>
      </c>
      <c r="G537" s="29" t="inlineStr">
        <is>
          <t>Kapı Önü Paspası</t>
        </is>
      </c>
      <c r="H537" s="30" t="inlineStr">
        <is>
          <t>Paspas Yap</t>
        </is>
      </c>
      <c r="I537" s="31" t="n">
        <v>93.0</v>
      </c>
      <c r="J537" s="32" t="n">
        <v>17307.0</v>
      </c>
      <c r="K537" s="33" t="n">
        <v>16172.92</v>
      </c>
      <c r="L537" s="34" t="n">
        <v>22.0</v>
      </c>
      <c r="M537" s="35" t="n">
        <v>11906.03</v>
      </c>
      <c r="N537" s="36" t="inlineStr">
        <is>
          <t>25 Ağustos 08.00-1 Eylül 07.59</t>
        </is>
      </c>
      <c r="O537" s="37" t="n">
        <v>16.2</v>
      </c>
      <c r="P537" s="38" t="n">
        <v>16172.92</v>
      </c>
      <c r="Q537" s="39"/>
      <c r="R537" s="40" t="n">
        <f>=IF(AND(ISBLANK(Q537), ISBLANK(U537)), "", "7 Günlük Fiyat")</f>
        <v>0.0</v>
      </c>
      <c r="S537" s="41" t="n">
        <f>=IF(OR(Q537="", R537=""), "-", IF(ISNUMBER(SEARCH("7 Günlük", R537)), IF(Q537&lt;=M537, O537, "-"), "-"))</f>
        <v>0.0</v>
      </c>
      <c r="T537" s="42" t="str">
        <f>=IF(ISBLANK(Q537), "", "Hayır")</f>
      </c>
      <c r="U537" s="43"/>
      <c r="V537" s="44" t="inlineStr">
        <is>
          <t>50461ed1-c2c8-4393-967e-55d58a3e2664</t>
        </is>
      </c>
    </row>
    <row r="538">
      <c r="A538" s="23" t="inlineStr">
        <is>
          <t>Rampalı Kıvırcık Paspas Iş Yeri Paspası Su Emici Kaymaz Paspas Kivircik Iş Yeri Paspas Apartman Ofis</t>
        </is>
      </c>
      <c r="B538" s="24" t="inlineStr">
        <is>
          <t>844766616</t>
        </is>
      </c>
      <c r="C538" s="25" t="inlineStr">
        <is>
          <t>KIVIRCIKRAMPALII-KR1-SIYAH-120x150</t>
        </is>
      </c>
      <c r="D538" s="26" t="inlineStr">
        <is>
          <t>KIVIRCIKRAMPALII-KR1-SIYAH-120x150</t>
        </is>
      </c>
      <c r="E538" s="27" t="inlineStr">
        <is>
          <t>120 x 150</t>
        </is>
      </c>
      <c r="F538" s="28" t="inlineStr">
        <is>
          <t>TYCSS3MAPN169778498328887</t>
        </is>
      </c>
      <c r="G538" s="29" t="inlineStr">
        <is>
          <t>Kapı Önü Paspası</t>
        </is>
      </c>
      <c r="H538" s="30" t="inlineStr">
        <is>
          <t>Paspas Yap</t>
        </is>
      </c>
      <c r="I538" s="31" t="n">
        <v>93.0</v>
      </c>
      <c r="J538" s="32" t="n">
        <v>3525.0</v>
      </c>
      <c r="K538" s="33" t="n">
        <v>3232.23</v>
      </c>
      <c r="L538" s="34" t="n">
        <v>22.0</v>
      </c>
      <c r="M538" s="35" t="n">
        <v>2452.3</v>
      </c>
      <c r="N538" s="36" t="inlineStr">
        <is>
          <t>25 Ağustos 08.00-1 Eylül 07.59</t>
        </is>
      </c>
      <c r="O538" s="37" t="n">
        <v>16.4</v>
      </c>
      <c r="P538" s="38" t="n">
        <v>3232.23</v>
      </c>
      <c r="Q538" s="39"/>
      <c r="R538" s="40" t="n">
        <f>=IF(AND(ISBLANK(Q538), ISBLANK(U538)), "", "7 Günlük Fiyat")</f>
        <v>0.0</v>
      </c>
      <c r="S538" s="41" t="n">
        <f>=IF(OR(Q538="", R538=""), "-", IF(ISNUMBER(SEARCH("7 Günlük", R538)), IF(Q538&lt;=M538, O538, "-"), "-"))</f>
        <v>0.0</v>
      </c>
      <c r="T538" s="42" t="str">
        <f>=IF(ISBLANK(Q538), "", "Hayır")</f>
      </c>
      <c r="U538" s="43"/>
      <c r="V538" s="44" t="inlineStr">
        <is>
          <t>50461ed1-c2c8-4393-967e-55d58a3e2664</t>
        </is>
      </c>
    </row>
    <row r="539">
      <c r="A539" s="23" t="inlineStr">
        <is>
          <t>Rampalı Kıvırcık Paspas Iş Yeri Paspası Su Emici Kaymaz Paspas Kivircik Iş Yeri Paspas Apartman Ofis</t>
        </is>
      </c>
      <c r="B539" s="24" t="inlineStr">
        <is>
          <t>844766616</t>
        </is>
      </c>
      <c r="C539" s="25" t="inlineStr">
        <is>
          <t>KIVIRCIKRAMPALII-KR1-SIYAH-120x850</t>
        </is>
      </c>
      <c r="D539" s="26" t="inlineStr">
        <is>
          <t>KIVIRCIKRAMPALII-KR1-SIYAH-120x850</t>
        </is>
      </c>
      <c r="E539" s="27" t="inlineStr">
        <is>
          <t>120 x 850</t>
        </is>
      </c>
      <c r="F539" s="28" t="inlineStr">
        <is>
          <t>TYCSS3MAPN169778498328887</t>
        </is>
      </c>
      <c r="G539" s="29" t="inlineStr">
        <is>
          <t>Kapı Önü Paspası</t>
        </is>
      </c>
      <c r="H539" s="30" t="inlineStr">
        <is>
          <t>Paspas Yap</t>
        </is>
      </c>
      <c r="I539" s="31" t="n">
        <v>93.0</v>
      </c>
      <c r="J539" s="32" t="n">
        <v>22389.0</v>
      </c>
      <c r="K539" s="33" t="n">
        <v>20694.19</v>
      </c>
      <c r="L539" s="34" t="n">
        <v>22.0</v>
      </c>
      <c r="M539" s="35" t="n">
        <v>13934.56</v>
      </c>
      <c r="N539" s="36" t="inlineStr">
        <is>
          <t>25 Ağustos 08.00-1 Eylül 07.59</t>
        </is>
      </c>
      <c r="O539" s="37" t="n">
        <v>14.2</v>
      </c>
      <c r="P539" s="38" t="n">
        <v>20694.19</v>
      </c>
      <c r="Q539" s="39"/>
      <c r="R539" s="40" t="n">
        <f>=IF(AND(ISBLANK(Q539), ISBLANK(U539)), "", "7 Günlük Fiyat")</f>
        <v>0.0</v>
      </c>
      <c r="S539" s="41" t="n">
        <f>=IF(OR(Q539="", R539=""), "-", IF(ISNUMBER(SEARCH("7 Günlük", R539)), IF(Q539&lt;=M539, O539, "-"), "-"))</f>
        <v>0.0</v>
      </c>
      <c r="T539" s="42" t="str">
        <f>=IF(ISBLANK(Q539), "", "Hayır")</f>
      </c>
      <c r="U539" s="43"/>
      <c r="V539" s="44" t="inlineStr">
        <is>
          <t>50461ed1-c2c8-4393-967e-55d58a3e2664</t>
        </is>
      </c>
    </row>
    <row r="540">
      <c r="A540" s="23" t="inlineStr">
        <is>
          <t>Rampalı Kıvırcık Paspas Iş Yeri Paspası Su Emici Kaymaz Paspas Kivircik Iş Yeri Paspas Apartman Ofis</t>
        </is>
      </c>
      <c r="B540" s="24" t="inlineStr">
        <is>
          <t>844766616</t>
        </is>
      </c>
      <c r="C540" s="25" t="inlineStr">
        <is>
          <t>KIVIRCIKRAMPALII-KR1-SIYAH-120x350</t>
        </is>
      </c>
      <c r="D540" s="26" t="inlineStr">
        <is>
          <t>KIVIRCIKRAMPALII-KR1-SIYAH-120x350</t>
        </is>
      </c>
      <c r="E540" s="27" t="inlineStr">
        <is>
          <t>120 x 350</t>
        </is>
      </c>
      <c r="F540" s="28" t="inlineStr">
        <is>
          <t>TYCSS3MAPN169778498328887</t>
        </is>
      </c>
      <c r="G540" s="29" t="inlineStr">
        <is>
          <t>Kapı Önü Paspası</t>
        </is>
      </c>
      <c r="H540" s="30" t="inlineStr">
        <is>
          <t>Paspas Yap</t>
        </is>
      </c>
      <c r="I540" s="31" t="n">
        <v>93.0</v>
      </c>
      <c r="J540" s="32" t="n">
        <v>8187.0</v>
      </c>
      <c r="K540" s="33" t="n">
        <v>8187.0</v>
      </c>
      <c r="L540" s="34" t="n">
        <v>22.0</v>
      </c>
      <c r="M540" s="35" t="n">
        <v>5709.41</v>
      </c>
      <c r="N540" s="36" t="inlineStr">
        <is>
          <t>25 Ağustos 08.00-1 Eylül 07.59</t>
        </is>
      </c>
      <c r="O540" s="37" t="n">
        <v>15.8</v>
      </c>
      <c r="P540" s="38" t="n">
        <v>8187.0</v>
      </c>
      <c r="Q540" s="39"/>
      <c r="R540" s="40" t="n">
        <f>=IF(AND(ISBLANK(Q540), ISBLANK(U540)), "", "7 Günlük Fiyat")</f>
        <v>0.0</v>
      </c>
      <c r="S540" s="41" t="n">
        <f>=IF(OR(Q540="", R540=""), "-", IF(ISNUMBER(SEARCH("7 Günlük", R540)), IF(Q540&lt;=M540, O540, "-"), "-"))</f>
        <v>0.0</v>
      </c>
      <c r="T540" s="42" t="str">
        <f>=IF(ISBLANK(Q540), "", "Hayır")</f>
      </c>
      <c r="U540" s="43"/>
      <c r="V540" s="44" t="inlineStr">
        <is>
          <t>50461ed1-c2c8-4393-967e-55d58a3e2664</t>
        </is>
      </c>
    </row>
    <row r="541">
      <c r="A541" s="23" t="inlineStr">
        <is>
          <t>Rampalı Kıvırcık Paspas Iş Yeri Paspası Su Emici Kaymaz Paspas Kivircik Iş Yeri Paspas Apartman Ofis</t>
        </is>
      </c>
      <c r="B541" s="24" t="inlineStr">
        <is>
          <t>844766616</t>
        </is>
      </c>
      <c r="C541" s="25" t="inlineStr">
        <is>
          <t>KIVIRCIKRAMPALII-KR1-SIYAH-120x1450</t>
        </is>
      </c>
      <c r="D541" s="26" t="inlineStr">
        <is>
          <t>KIVIRCIKRAMPALII-KR1-SIYAH-120x1450</t>
        </is>
      </c>
      <c r="E541" s="27" t="inlineStr">
        <is>
          <t>120 x 1450</t>
        </is>
      </c>
      <c r="F541" s="28" t="inlineStr">
        <is>
          <t>TYCSS3MAPN169778498328887</t>
        </is>
      </c>
      <c r="G541" s="29" t="inlineStr">
        <is>
          <t>Kapı Önü Paspası</t>
        </is>
      </c>
      <c r="H541" s="30" t="inlineStr">
        <is>
          <t>Paspas Yap</t>
        </is>
      </c>
      <c r="I541" s="31" t="n">
        <v>93.0</v>
      </c>
      <c r="J541" s="32" t="n">
        <v>33587.0</v>
      </c>
      <c r="K541" s="33" t="n">
        <v>31210.32</v>
      </c>
      <c r="L541" s="34" t="n">
        <v>22.0</v>
      </c>
      <c r="M541" s="35" t="n">
        <v>21062.42</v>
      </c>
      <c r="N541" s="36" t="inlineStr">
        <is>
          <t>25 Ağustos 08.00-1 Eylül 07.59</t>
        </is>
      </c>
      <c r="O541" s="37" t="n">
        <v>14.4</v>
      </c>
      <c r="P541" s="38" t="n">
        <v>31210.32</v>
      </c>
      <c r="Q541" s="39"/>
      <c r="R541" s="40" t="n">
        <f>=IF(AND(ISBLANK(Q541), ISBLANK(U541)), "", "7 Günlük Fiyat")</f>
        <v>0.0</v>
      </c>
      <c r="S541" s="41" t="n">
        <f>=IF(OR(Q541="", R541=""), "-", IF(ISNUMBER(SEARCH("7 Günlük", R541)), IF(Q541&lt;=M541, O541, "-"), "-"))</f>
        <v>0.0</v>
      </c>
      <c r="T541" s="42" t="str">
        <f>=IF(ISBLANK(Q541), "", "Hayır")</f>
      </c>
      <c r="U541" s="43"/>
      <c r="V541" s="44" t="inlineStr">
        <is>
          <t>50461ed1-c2c8-4393-967e-55d58a3e2664</t>
        </is>
      </c>
    </row>
    <row r="542">
      <c r="A542" s="23" t="inlineStr">
        <is>
          <t>Rampalı Kıvırcık Paspas Iş Yeri Paspası Su Emici Kaymaz Paspas Kivircik Iş Yeri Paspas Apartman Ofis</t>
        </is>
      </c>
      <c r="B542" s="24" t="inlineStr">
        <is>
          <t>844766616</t>
        </is>
      </c>
      <c r="C542" s="25" t="inlineStr">
        <is>
          <t>KIVIRCIKRAMPALII-KR1-SIYAH-120x950</t>
        </is>
      </c>
      <c r="D542" s="26" t="inlineStr">
        <is>
          <t>KIVIRCIKRAMPALII-KR1-SIYAH-120x950</t>
        </is>
      </c>
      <c r="E542" s="27" t="inlineStr">
        <is>
          <t>120 x 950</t>
        </is>
      </c>
      <c r="F542" s="28" t="inlineStr">
        <is>
          <t>TYCSS3MAPN169778498328887</t>
        </is>
      </c>
      <c r="G542" s="29" t="inlineStr">
        <is>
          <t>Kapı Önü Paspası</t>
        </is>
      </c>
      <c r="H542" s="30" t="inlineStr">
        <is>
          <t>Paspas Yap</t>
        </is>
      </c>
      <c r="I542" s="31" t="n">
        <v>93.0</v>
      </c>
      <c r="J542" s="32" t="n">
        <v>24164.0</v>
      </c>
      <c r="K542" s="33" t="n">
        <v>22294.22</v>
      </c>
      <c r="L542" s="34" t="n">
        <v>22.0</v>
      </c>
      <c r="M542" s="35" t="n">
        <v>15062.99</v>
      </c>
      <c r="N542" s="36" t="inlineStr">
        <is>
          <t>25 Ağustos 08.00-1 Eylül 07.59</t>
        </is>
      </c>
      <c r="O542" s="37" t="n">
        <v>14.4</v>
      </c>
      <c r="P542" s="38" t="n">
        <v>22294.22</v>
      </c>
      <c r="Q542" s="39"/>
      <c r="R542" s="40" t="n">
        <f>=IF(AND(ISBLANK(Q542), ISBLANK(U542)), "", "7 Günlük Fiyat")</f>
        <v>0.0</v>
      </c>
      <c r="S542" s="41" t="n">
        <f>=IF(OR(Q542="", R542=""), "-", IF(ISNUMBER(SEARCH("7 Günlük", R542)), IF(Q542&lt;=M542, O542, "-"), "-"))</f>
        <v>0.0</v>
      </c>
      <c r="T542" s="42" t="str">
        <f>=IF(ISBLANK(Q542), "", "Hayır")</f>
      </c>
      <c r="U542" s="43"/>
      <c r="V542" s="44" t="inlineStr">
        <is>
          <t>50461ed1-c2c8-4393-967e-55d58a3e2664</t>
        </is>
      </c>
    </row>
    <row r="543">
      <c r="A543" s="23" t="inlineStr">
        <is>
          <t>Rampalı Kıvırcık Paspas Iş Yeri Paspası Su Emici Kaymaz Paspas Kivircik Iş Yeri Paspas Apartman Ofis</t>
        </is>
      </c>
      <c r="B543" s="24" t="inlineStr">
        <is>
          <t>844766616</t>
        </is>
      </c>
      <c r="C543" s="25" t="inlineStr">
        <is>
          <t>KIVIRCIKRAMPALII-KR1-SIYAH-120x1500</t>
        </is>
      </c>
      <c r="D543" s="26" t="inlineStr">
        <is>
          <t>KIVIRCIKRAMPALII-KR1-SIYAH-120x1500</t>
        </is>
      </c>
      <c r="E543" s="27" t="inlineStr">
        <is>
          <t>120 x 1500</t>
        </is>
      </c>
      <c r="F543" s="28" t="inlineStr">
        <is>
          <t>TYCSS3MAPN169778498328887</t>
        </is>
      </c>
      <c r="G543" s="29" t="inlineStr">
        <is>
          <t>Kapı Önü Paspası</t>
        </is>
      </c>
      <c r="H543" s="30" t="inlineStr">
        <is>
          <t>Paspas Yap</t>
        </is>
      </c>
      <c r="I543" s="31" t="n">
        <v>93.0</v>
      </c>
      <c r="J543" s="32" t="n">
        <v>34474.0</v>
      </c>
      <c r="K543" s="33" t="n">
        <v>31584.77</v>
      </c>
      <c r="L543" s="34" t="n">
        <v>22.0</v>
      </c>
      <c r="M543" s="35" t="n">
        <v>20232.84</v>
      </c>
      <c r="N543" s="36" t="inlineStr">
        <is>
          <t>25 Ağustos 08.00-1 Eylül 07.59</t>
        </is>
      </c>
      <c r="O543" s="37" t="n">
        <v>13.1</v>
      </c>
      <c r="P543" s="38" t="n">
        <v>31584.77</v>
      </c>
      <c r="Q543" s="39"/>
      <c r="R543" s="40" t="n">
        <f>=IF(AND(ISBLANK(Q543), ISBLANK(U543)), "", "7 Günlük Fiyat")</f>
        <v>0.0</v>
      </c>
      <c r="S543" s="41" t="n">
        <f>=IF(OR(Q543="", R543=""), "-", IF(ISNUMBER(SEARCH("7 Günlük", R543)), IF(Q543&lt;=M543, O543, "-"), "-"))</f>
        <v>0.0</v>
      </c>
      <c r="T543" s="42" t="str">
        <f>=IF(ISBLANK(Q543), "", "Hayır")</f>
      </c>
      <c r="U543" s="43"/>
      <c r="V543" s="44" t="inlineStr">
        <is>
          <t>50461ed1-c2c8-4393-967e-55d58a3e2664</t>
        </is>
      </c>
    </row>
    <row r="544">
      <c r="A544" s="23" t="inlineStr">
        <is>
          <t>Rampalı Kıvırcık Paspas Iş Yeri Paspası Su Emici Kaymaz Paspas Kivircik Iş Yeri Paspas Apartman Ofis</t>
        </is>
      </c>
      <c r="B544" s="24" t="inlineStr">
        <is>
          <t>844766616</t>
        </is>
      </c>
      <c r="C544" s="25" t="inlineStr">
        <is>
          <t>KIVIRCIKRAMPALII-KR1-SIYAH-100x1300</t>
        </is>
      </c>
      <c r="D544" s="26" t="inlineStr">
        <is>
          <t>KIVIRCIKRAMPALII-KR1-SIYAH-100x1300</t>
        </is>
      </c>
      <c r="E544" s="27" t="inlineStr">
        <is>
          <t>100 x 1300</t>
        </is>
      </c>
      <c r="F544" s="28" t="inlineStr">
        <is>
          <t>TYCSS3MAPN169778498328887</t>
        </is>
      </c>
      <c r="G544" s="29" t="inlineStr">
        <is>
          <t>Kapı Önü Paspası</t>
        </is>
      </c>
      <c r="H544" s="30" t="inlineStr">
        <is>
          <t>Paspas Yap</t>
        </is>
      </c>
      <c r="I544" s="31" t="n">
        <v>93.0</v>
      </c>
      <c r="J544" s="32" t="n">
        <v>26805.0</v>
      </c>
      <c r="K544" s="33" t="n">
        <v>24695.37</v>
      </c>
      <c r="L544" s="34" t="n">
        <v>22.0</v>
      </c>
      <c r="M544" s="35" t="n">
        <v>15877.22</v>
      </c>
      <c r="N544" s="36" t="inlineStr">
        <is>
          <t>25 Ağustos 08.00-1 Eylül 07.59</t>
        </is>
      </c>
      <c r="O544" s="37" t="n">
        <v>13.1</v>
      </c>
      <c r="P544" s="38" t="n">
        <v>24695.37</v>
      </c>
      <c r="Q544" s="39"/>
      <c r="R544" s="40" t="n">
        <f>=IF(AND(ISBLANK(Q544), ISBLANK(U544)), "", "7 Günlük Fiyat")</f>
        <v>0.0</v>
      </c>
      <c r="S544" s="41" t="n">
        <f>=IF(OR(Q544="", R544=""), "-", IF(ISNUMBER(SEARCH("7 Günlük", R544)), IF(Q544&lt;=M544, O544, "-"), "-"))</f>
        <v>0.0</v>
      </c>
      <c r="T544" s="42" t="str">
        <f>=IF(ISBLANK(Q544), "", "Hayır")</f>
      </c>
      <c r="U544" s="43"/>
      <c r="V544" s="44" t="inlineStr">
        <is>
          <t>50461ed1-c2c8-4393-967e-55d58a3e2664</t>
        </is>
      </c>
    </row>
    <row r="545">
      <c r="A545" s="23" t="inlineStr">
        <is>
          <t>Rampalı Kıvırcık Paspas Iş Yeri Paspası Su Emici Kaymaz Paspas Kivircik Iş Yeri Paspas Apartman Ofis</t>
        </is>
      </c>
      <c r="B545" s="24" t="inlineStr">
        <is>
          <t>844766616</t>
        </is>
      </c>
      <c r="C545" s="25" t="inlineStr">
        <is>
          <t>KIVIRCIKRAMPALII-KR1-SIYAH-100x1350</t>
        </is>
      </c>
      <c r="D545" s="26" t="inlineStr">
        <is>
          <t>KIVIRCIKRAMPALII-KR1-SIYAH-100x1350</t>
        </is>
      </c>
      <c r="E545" s="27" t="inlineStr">
        <is>
          <t>100 x 1350</t>
        </is>
      </c>
      <c r="F545" s="28" t="inlineStr">
        <is>
          <t>TYCSS3MAPN169778498328887</t>
        </is>
      </c>
      <c r="G545" s="29" t="inlineStr">
        <is>
          <t>Kapı Önü Paspası</t>
        </is>
      </c>
      <c r="H545" s="30" t="inlineStr">
        <is>
          <t>Paspas Yap</t>
        </is>
      </c>
      <c r="I545" s="31" t="n">
        <v>93.0</v>
      </c>
      <c r="J545" s="32" t="n">
        <v>27610.0</v>
      </c>
      <c r="K545" s="33" t="n">
        <v>25521.23</v>
      </c>
      <c r="L545" s="34" t="n">
        <v>22.0</v>
      </c>
      <c r="M545" s="35" t="n">
        <v>17189.45</v>
      </c>
      <c r="N545" s="36" t="inlineStr">
        <is>
          <t>25 Ağustos 08.00-1 Eylül 07.59</t>
        </is>
      </c>
      <c r="O545" s="37" t="n">
        <v>14.3</v>
      </c>
      <c r="P545" s="38" t="n">
        <v>25521.23</v>
      </c>
      <c r="Q545" s="39"/>
      <c r="R545" s="40" t="n">
        <f>=IF(AND(ISBLANK(Q545), ISBLANK(U545)), "", "7 Günlük Fiyat")</f>
        <v>0.0</v>
      </c>
      <c r="S545" s="41" t="n">
        <f>=IF(OR(Q545="", R545=""), "-", IF(ISNUMBER(SEARCH("7 Günlük", R545)), IF(Q545&lt;=M545, O545, "-"), "-"))</f>
        <v>0.0</v>
      </c>
      <c r="T545" s="42" t="str">
        <f>=IF(ISBLANK(Q545), "", "Hayır")</f>
      </c>
      <c r="U545" s="43"/>
      <c r="V545" s="44" t="inlineStr">
        <is>
          <t>50461ed1-c2c8-4393-967e-55d58a3e2664</t>
        </is>
      </c>
    </row>
    <row r="546">
      <c r="A546" s="23" t="inlineStr">
        <is>
          <t>Rampalı Kıvırcık Paspas Iş Yeri Paspası Su Emici Kaymaz Paspas Kivircik Iş Yeri Paspas Apartman Ofis</t>
        </is>
      </c>
      <c r="B546" s="24" t="inlineStr">
        <is>
          <t>844766616</t>
        </is>
      </c>
      <c r="C546" s="25" t="inlineStr">
        <is>
          <t>KIVIRCIKRAMPALII-KR1-SIYAH-120x800</t>
        </is>
      </c>
      <c r="D546" s="26" t="inlineStr">
        <is>
          <t>KIVIRCIKRAMPALII-KR1-SIYAH-120x800</t>
        </is>
      </c>
      <c r="E546" s="27" t="inlineStr">
        <is>
          <t>120 x 800</t>
        </is>
      </c>
      <c r="F546" s="28" t="inlineStr">
        <is>
          <t>TYCSS3MAPN169778498328887</t>
        </is>
      </c>
      <c r="G546" s="29" t="inlineStr">
        <is>
          <t>Kapı Önü Paspası</t>
        </is>
      </c>
      <c r="H546" s="30" t="inlineStr">
        <is>
          <t>Paspas Yap</t>
        </is>
      </c>
      <c r="I546" s="31" t="n">
        <v>93.0</v>
      </c>
      <c r="J546" s="32" t="n">
        <v>17652.0</v>
      </c>
      <c r="K546" s="33" t="n">
        <v>16473.03</v>
      </c>
      <c r="L546" s="34" t="n">
        <v>22.0</v>
      </c>
      <c r="M546" s="35" t="n">
        <v>11595.28</v>
      </c>
      <c r="N546" s="36" t="inlineStr">
        <is>
          <t>25 Ağustos 08.00-1 Eylül 07.59</t>
        </is>
      </c>
      <c r="O546" s="37" t="n">
        <v>15.2</v>
      </c>
      <c r="P546" s="38" t="n">
        <v>16473.03</v>
      </c>
      <c r="Q546" s="39"/>
      <c r="R546" s="40" t="n">
        <f>=IF(AND(ISBLANK(Q546), ISBLANK(U546)), "", "7 Günlük Fiyat")</f>
        <v>0.0</v>
      </c>
      <c r="S546" s="41" t="n">
        <f>=IF(OR(Q546="", R546=""), "-", IF(ISNUMBER(SEARCH("7 Günlük", R546)), IF(Q546&lt;=M546, O546, "-"), "-"))</f>
        <v>0.0</v>
      </c>
      <c r="T546" s="42" t="str">
        <f>=IF(ISBLANK(Q546), "", "Hayır")</f>
      </c>
      <c r="U546" s="43"/>
      <c r="V546" s="44" t="inlineStr">
        <is>
          <t>50461ed1-c2c8-4393-967e-55d58a3e2664</t>
        </is>
      </c>
    </row>
    <row r="547">
      <c r="A547" s="23" t="inlineStr">
        <is>
          <t>Rampalı Kıvırcık Paspas Iş Yeri Paspası Su Emici Kaymaz Paspas Kivircik Iş Yeri Paspas Apartman Ofis</t>
        </is>
      </c>
      <c r="B547" s="24" t="inlineStr">
        <is>
          <t>844766616</t>
        </is>
      </c>
      <c r="C547" s="25" t="inlineStr">
        <is>
          <t>KIVIRCIKRAMPALII-KR1-SIYAH-100x550</t>
        </is>
      </c>
      <c r="D547" s="26" t="inlineStr">
        <is>
          <t>KIVIRCIKRAMPALII-KR1-SIYAH-100x550</t>
        </is>
      </c>
      <c r="E547" s="27" t="inlineStr">
        <is>
          <t>100 x 550</t>
        </is>
      </c>
      <c r="F547" s="28" t="inlineStr">
        <is>
          <t>TYCSS3MAPN169778498328887</t>
        </is>
      </c>
      <c r="G547" s="29" t="inlineStr">
        <is>
          <t>Kapı Önü Paspası</t>
        </is>
      </c>
      <c r="H547" s="30" t="inlineStr">
        <is>
          <t>Paspas Yap</t>
        </is>
      </c>
      <c r="I547" s="31" t="n">
        <v>93.0</v>
      </c>
      <c r="J547" s="32" t="n">
        <v>11282.0</v>
      </c>
      <c r="K547" s="33" t="n">
        <v>10613.49</v>
      </c>
      <c r="L547" s="34" t="n">
        <v>22.0</v>
      </c>
      <c r="M547" s="35" t="n">
        <v>7692.51</v>
      </c>
      <c r="N547" s="36" t="inlineStr">
        <is>
          <t>25 Ağustos 08.00-1 Eylül 07.59</t>
        </is>
      </c>
      <c r="O547" s="37" t="n">
        <v>15.8</v>
      </c>
      <c r="P547" s="38" t="n">
        <v>10613.49</v>
      </c>
      <c r="Q547" s="39"/>
      <c r="R547" s="40" t="n">
        <f>=IF(AND(ISBLANK(Q547), ISBLANK(U547)), "", "7 Günlük Fiyat")</f>
        <v>0.0</v>
      </c>
      <c r="S547" s="41" t="n">
        <f>=IF(OR(Q547="", R547=""), "-", IF(ISNUMBER(SEARCH("7 Günlük", R547)), IF(Q547&lt;=M547, O547, "-"), "-"))</f>
        <v>0.0</v>
      </c>
      <c r="T547" s="42" t="str">
        <f>=IF(ISBLANK(Q547), "", "Hayır")</f>
      </c>
      <c r="U547" s="43"/>
      <c r="V547" s="44" t="inlineStr">
        <is>
          <t>50461ed1-c2c8-4393-967e-55d58a3e2664</t>
        </is>
      </c>
    </row>
    <row r="548">
      <c r="A548" s="23" t="inlineStr">
        <is>
          <t>Rampalı Kıvırcık Paspas Iş Yeri Paspası Su Emici Kaymaz Paspas Kivircik Iş Yeri Paspas Apartman Ofis</t>
        </is>
      </c>
      <c r="B548" s="24" t="inlineStr">
        <is>
          <t>844766616</t>
        </is>
      </c>
      <c r="C548" s="25" t="inlineStr">
        <is>
          <t>KIVIRCIKRAMPALII-KR1-SIYAH-50x120</t>
        </is>
      </c>
      <c r="D548" s="26" t="inlineStr">
        <is>
          <t>KIVIRCIKRAMPALII-KR1-SIYAH-50x120</t>
        </is>
      </c>
      <c r="E548" s="27" t="inlineStr">
        <is>
          <t>50 x 120</t>
        </is>
      </c>
      <c r="F548" s="28" t="inlineStr">
        <is>
          <t>TYCSS3MAPN169778498328887</t>
        </is>
      </c>
      <c r="G548" s="29" t="inlineStr">
        <is>
          <t>Kapı Önü Paspası</t>
        </is>
      </c>
      <c r="H548" s="30" t="inlineStr">
        <is>
          <t>Paspas Yap</t>
        </is>
      </c>
      <c r="I548" s="31" t="n">
        <v>93.0</v>
      </c>
      <c r="J548" s="32" t="n">
        <v>1858.0</v>
      </c>
      <c r="K548" s="33" t="n">
        <v>1509.53</v>
      </c>
      <c r="L548" s="34" t="n">
        <v>22.0</v>
      </c>
      <c r="M548" s="35" t="n">
        <v>1159.21</v>
      </c>
      <c r="N548" s="36" t="inlineStr">
        <is>
          <t>25 Ağustos 08.00-1 Eylül 07.59</t>
        </is>
      </c>
      <c r="O548" s="37" t="n">
        <v>15.3</v>
      </c>
      <c r="P548" s="38" t="n">
        <v>1435.37</v>
      </c>
      <c r="Q548" s="39"/>
      <c r="R548" s="40" t="n">
        <f>=IF(AND(ISBLANK(Q548), ISBLANK(U548)), "", "7 Günlük Fiyat")</f>
        <v>0.0</v>
      </c>
      <c r="S548" s="41" t="n">
        <f>=IF(OR(Q548="", R548=""), "-", IF(ISNUMBER(SEARCH("7 Günlük", R548)), IF(Q548&lt;=M548, O548, "-"), "-"))</f>
        <v>0.0</v>
      </c>
      <c r="T548" s="42" t="str">
        <f>=IF(ISBLANK(Q548), "", "Hayır")</f>
      </c>
      <c r="U548" s="43"/>
      <c r="V548" s="44" t="inlineStr">
        <is>
          <t>50461ed1-c2c8-4393-967e-55d58a3e2664</t>
        </is>
      </c>
    </row>
    <row r="549">
      <c r="A549" s="23" t="inlineStr">
        <is>
          <t>Rampalı Kıvırcık Paspas Iş Yeri Paspası Su Emici Kaymaz Paspas Kivircik Iş Yeri Paspas Apartman Ofis</t>
        </is>
      </c>
      <c r="B549" s="24" t="inlineStr">
        <is>
          <t>844766616</t>
        </is>
      </c>
      <c r="C549" s="25" t="inlineStr">
        <is>
          <t>KIVIRCIKRAMPALII-KR1-SIYAH-100x1150</t>
        </is>
      </c>
      <c r="D549" s="26" t="inlineStr">
        <is>
          <t>KIVIRCIKRAMPALII-KR1-SIYAH-100x1150</t>
        </is>
      </c>
      <c r="E549" s="27" t="inlineStr">
        <is>
          <t>100 x 1150</t>
        </is>
      </c>
      <c r="F549" s="28" t="inlineStr">
        <is>
          <t>TYCSS3MAPN169778498328887</t>
        </is>
      </c>
      <c r="G549" s="29" t="inlineStr">
        <is>
          <t>Kapı Önü Paspası</t>
        </is>
      </c>
      <c r="H549" s="30" t="inlineStr">
        <is>
          <t>Paspas Yap</t>
        </is>
      </c>
      <c r="I549" s="31" t="n">
        <v>93.0</v>
      </c>
      <c r="J549" s="32" t="n">
        <v>24392.0</v>
      </c>
      <c r="K549" s="33" t="n">
        <v>22672.15</v>
      </c>
      <c r="L549" s="34" t="n">
        <v>22.0</v>
      </c>
      <c r="M549" s="35" t="n">
        <v>15185.78</v>
      </c>
      <c r="N549" s="36" t="inlineStr">
        <is>
          <t>25 Ağustos 08.00-1 Eylül 07.59</t>
        </is>
      </c>
      <c r="O549" s="37" t="n">
        <v>14.2</v>
      </c>
      <c r="P549" s="38" t="n">
        <v>22672.15</v>
      </c>
      <c r="Q549" s="39"/>
      <c r="R549" s="40" t="n">
        <f>=IF(AND(ISBLANK(Q549), ISBLANK(U549)), "", "7 Günlük Fiyat")</f>
        <v>0.0</v>
      </c>
      <c r="S549" s="41" t="n">
        <f>=IF(OR(Q549="", R549=""), "-", IF(ISNUMBER(SEARCH("7 Günlük", R549)), IF(Q549&lt;=M549, O549, "-"), "-"))</f>
        <v>0.0</v>
      </c>
      <c r="T549" s="42" t="str">
        <f>=IF(ISBLANK(Q549), "", "Hayır")</f>
      </c>
      <c r="U549" s="43"/>
      <c r="V549" s="44" t="inlineStr">
        <is>
          <t>50461ed1-c2c8-4393-967e-55d58a3e2664</t>
        </is>
      </c>
    </row>
    <row r="550">
      <c r="A550" s="23" t="inlineStr">
        <is>
          <t>Rampalı Kıvırcık Paspas Iş Yeri Paspası Su Emici Kaymaz Paspas Kivircik Iş Yeri Paspas Apartman Ofis</t>
        </is>
      </c>
      <c r="B550" s="24" t="inlineStr">
        <is>
          <t>844766616</t>
        </is>
      </c>
      <c r="C550" s="25" t="inlineStr">
        <is>
          <t>KIVIRCIKRAMPALII-KR1-SIYAH-100x350</t>
        </is>
      </c>
      <c r="D550" s="26" t="inlineStr">
        <is>
          <t>KIVIRCIKRAMPALII-KR1-SIYAH-100x350</t>
        </is>
      </c>
      <c r="E550" s="27" t="inlineStr">
        <is>
          <t>100 x 350</t>
        </is>
      </c>
      <c r="F550" s="28" t="inlineStr">
        <is>
          <t>TYCSS3MAPN169778498328887</t>
        </is>
      </c>
      <c r="G550" s="29" t="inlineStr">
        <is>
          <t>Kapı Önü Paspası</t>
        </is>
      </c>
      <c r="H550" s="30" t="inlineStr">
        <is>
          <t>Paspas Yap</t>
        </is>
      </c>
      <c r="I550" s="31" t="n">
        <v>93.0</v>
      </c>
      <c r="J550" s="32" t="n">
        <v>6677.0</v>
      </c>
      <c r="K550" s="33" t="n">
        <v>6263.04</v>
      </c>
      <c r="L550" s="34" t="n">
        <v>22.0</v>
      </c>
      <c r="M550" s="35" t="n">
        <v>4744.83</v>
      </c>
      <c r="N550" s="36" t="inlineStr">
        <is>
          <t>25 Ağustos 08.00-1 Eylül 07.59</t>
        </is>
      </c>
      <c r="O550" s="37" t="n">
        <v>16.6</v>
      </c>
      <c r="P550" s="38" t="n">
        <v>6263.04</v>
      </c>
      <c r="Q550" s="39"/>
      <c r="R550" s="40" t="n">
        <f>=IF(AND(ISBLANK(Q550), ISBLANK(U550)), "", "7 Günlük Fiyat")</f>
        <v>0.0</v>
      </c>
      <c r="S550" s="41" t="n">
        <f>=IF(OR(Q550="", R550=""), "-", IF(ISNUMBER(SEARCH("7 Günlük", R550)), IF(Q550&lt;=M550, O550, "-"), "-"))</f>
        <v>0.0</v>
      </c>
      <c r="T550" s="42" t="str">
        <f>=IF(ISBLANK(Q550), "", "Hayır")</f>
      </c>
      <c r="U550" s="43"/>
      <c r="V550" s="44" t="inlineStr">
        <is>
          <t>50461ed1-c2c8-4393-967e-55d58a3e2664</t>
        </is>
      </c>
    </row>
    <row r="551">
      <c r="A551" s="23" t="inlineStr">
        <is>
          <t>Rampalı Kıvırcık Paspas Iş Yeri Paspası Su Emici Kaymaz Paspas Kivircik Iş Yeri Paspas Apartman Ofis</t>
        </is>
      </c>
      <c r="B551" s="24" t="inlineStr">
        <is>
          <t>844766616</t>
        </is>
      </c>
      <c r="C551" s="25" t="inlineStr">
        <is>
          <t>KIVIRCIKRAMPALII-KR1-SIYAH-120x500</t>
        </is>
      </c>
      <c r="D551" s="26" t="inlineStr">
        <is>
          <t>KIVIRCIKRAMPALII-KR1-SIYAH-120x500</t>
        </is>
      </c>
      <c r="E551" s="27" t="inlineStr">
        <is>
          <t>120 x 500</t>
        </is>
      </c>
      <c r="F551" s="28" t="inlineStr">
        <is>
          <t>TYCSS3MAPN169778498328887</t>
        </is>
      </c>
      <c r="G551" s="29" t="inlineStr">
        <is>
          <t>Kapı Önü Paspası</t>
        </is>
      </c>
      <c r="H551" s="30" t="inlineStr">
        <is>
          <t>Paspas Yap</t>
        </is>
      </c>
      <c r="I551" s="31" t="n">
        <v>93.0</v>
      </c>
      <c r="J551" s="32" t="n">
        <v>12312.0</v>
      </c>
      <c r="K551" s="33" t="n">
        <v>11501.01</v>
      </c>
      <c r="L551" s="34" t="n">
        <v>22.0</v>
      </c>
      <c r="M551" s="35" t="n">
        <v>8187.89</v>
      </c>
      <c r="N551" s="36" t="inlineStr">
        <is>
          <t>25 Ağustos 08.00-1 Eylül 07.59</t>
        </is>
      </c>
      <c r="O551" s="37" t="n">
        <v>15.5</v>
      </c>
      <c r="P551" s="38" t="n">
        <v>11501.01</v>
      </c>
      <c r="Q551" s="39"/>
      <c r="R551" s="40" t="n">
        <f>=IF(AND(ISBLANK(Q551), ISBLANK(U551)), "", "7 Günlük Fiyat")</f>
        <v>0.0</v>
      </c>
      <c r="S551" s="41" t="n">
        <f>=IF(OR(Q551="", R551=""), "-", IF(ISNUMBER(SEARCH("7 Günlük", R551)), IF(Q551&lt;=M551, O551, "-"), "-"))</f>
        <v>0.0</v>
      </c>
      <c r="T551" s="42" t="str">
        <f>=IF(ISBLANK(Q551), "", "Hayır")</f>
      </c>
      <c r="U551" s="43"/>
      <c r="V551" s="44" t="inlineStr">
        <is>
          <t>50461ed1-c2c8-4393-967e-55d58a3e2664</t>
        </is>
      </c>
    </row>
    <row r="552">
      <c r="A552" s="23" t="inlineStr">
        <is>
          <t>Rampalı Kıvırcık Paspas Iş Yeri Paspası Su Emici Kaymaz Paspas Kivircik Iş Yeri Paspas Apartman Ofis</t>
        </is>
      </c>
      <c r="B552" s="24" t="inlineStr">
        <is>
          <t>844766616</t>
        </is>
      </c>
      <c r="C552" s="25" t="inlineStr">
        <is>
          <t>KIVIRCIKRAMPALII-KR1-SIYAH-120x750</t>
        </is>
      </c>
      <c r="D552" s="26" t="inlineStr">
        <is>
          <t>KIVIRCIKRAMPALII-KR1-SIYAH-120x750</t>
        </is>
      </c>
      <c r="E552" s="27" t="inlineStr">
        <is>
          <t>120 x 750</t>
        </is>
      </c>
      <c r="F552" s="28" t="inlineStr">
        <is>
          <t>TYCSS3MAPN169778498328887</t>
        </is>
      </c>
      <c r="G552" s="29" t="inlineStr">
        <is>
          <t>Kapı Önü Paspası</t>
        </is>
      </c>
      <c r="H552" s="30" t="inlineStr">
        <is>
          <t>Paspas Yap</t>
        </is>
      </c>
      <c r="I552" s="31" t="n">
        <v>93.0</v>
      </c>
      <c r="J552" s="32" t="n">
        <v>16749.0</v>
      </c>
      <c r="K552" s="33" t="n">
        <v>15695.81</v>
      </c>
      <c r="L552" s="34" t="n">
        <v>22.0</v>
      </c>
      <c r="M552" s="35" t="n">
        <v>11557.12</v>
      </c>
      <c r="N552" s="36" t="inlineStr">
        <is>
          <t>25 Ağustos 08.00-1 Eylül 07.59</t>
        </is>
      </c>
      <c r="O552" s="37" t="n">
        <v>16.2</v>
      </c>
      <c r="P552" s="38" t="n">
        <v>15695.81</v>
      </c>
      <c r="Q552" s="39"/>
      <c r="R552" s="40" t="n">
        <f>=IF(AND(ISBLANK(Q552), ISBLANK(U552)), "", "7 Günlük Fiyat")</f>
        <v>0.0</v>
      </c>
      <c r="S552" s="41" t="n">
        <f>=IF(OR(Q552="", R552=""), "-", IF(ISNUMBER(SEARCH("7 Günlük", R552)), IF(Q552&lt;=M552, O552, "-"), "-"))</f>
        <v>0.0</v>
      </c>
      <c r="T552" s="42" t="str">
        <f>=IF(ISBLANK(Q552), "", "Hayır")</f>
      </c>
      <c r="U552" s="43"/>
      <c r="V552" s="44" t="inlineStr">
        <is>
          <t>50461ed1-c2c8-4393-967e-55d58a3e2664</t>
        </is>
      </c>
    </row>
    <row r="553">
      <c r="A553" s="23" t="inlineStr">
        <is>
          <t>Rampalı Kıvırcık Paspas Iş Yeri Paspası Su Emici Kaymaz Paspas Kivircik Iş Yeri Paspas Apartman Ofis</t>
        </is>
      </c>
      <c r="B553" s="24" t="inlineStr">
        <is>
          <t>844766616</t>
        </is>
      </c>
      <c r="C553" s="25" t="inlineStr">
        <is>
          <t>KIVIRCIKRAMPALII-KR1-SIYAH-120x450</t>
        </is>
      </c>
      <c r="D553" s="26" t="inlineStr">
        <is>
          <t>KIVIRCIKRAMPALII-KR1-SIYAH-120x450</t>
        </is>
      </c>
      <c r="E553" s="27" t="inlineStr">
        <is>
          <t>120 x 450</t>
        </is>
      </c>
      <c r="F553" s="28" t="inlineStr">
        <is>
          <t>TYCSS3MAPN169778498328887</t>
        </is>
      </c>
      <c r="G553" s="29" t="inlineStr">
        <is>
          <t>Kapı Önü Paspası</t>
        </is>
      </c>
      <c r="H553" s="30" t="inlineStr">
        <is>
          <t>Paspas Yap</t>
        </is>
      </c>
      <c r="I553" s="31" t="n">
        <v>93.0</v>
      </c>
      <c r="J553" s="32" t="n">
        <v>11012.0</v>
      </c>
      <c r="K553" s="33" t="n">
        <v>11012.0</v>
      </c>
      <c r="L553" s="34" t="n">
        <v>22.0</v>
      </c>
      <c r="M553" s="35" t="n">
        <v>8153.37</v>
      </c>
      <c r="N553" s="36" t="inlineStr">
        <is>
          <t>25 Ağustos 08.00-1 Eylül 07.59</t>
        </is>
      </c>
      <c r="O553" s="37" t="n">
        <v>17.0</v>
      </c>
      <c r="P553" s="38" t="n">
        <v>11012.0</v>
      </c>
      <c r="Q553" s="39"/>
      <c r="R553" s="40" t="n">
        <f>=IF(AND(ISBLANK(Q553), ISBLANK(U553)), "", "7 Günlük Fiyat")</f>
        <v>0.0</v>
      </c>
      <c r="S553" s="41" t="n">
        <f>=IF(OR(Q553="", R553=""), "-", IF(ISNUMBER(SEARCH("7 Günlük", R553)), IF(Q553&lt;=M553, O553, "-"), "-"))</f>
        <v>0.0</v>
      </c>
      <c r="T553" s="42" t="str">
        <f>=IF(ISBLANK(Q553), "", "Hayır")</f>
      </c>
      <c r="U553" s="43"/>
      <c r="V553" s="44" t="inlineStr">
        <is>
          <t>50461ed1-c2c8-4393-967e-55d58a3e2664</t>
        </is>
      </c>
    </row>
    <row r="554">
      <c r="A554" s="23" t="inlineStr">
        <is>
          <t>Rampalı Kıvırcık Paspas Iş Yeri Paspası Su Emici Kaymaz Paspas Kivircik Iş Yeri Paspas Apartman Ofis</t>
        </is>
      </c>
      <c r="B554" s="24" t="inlineStr">
        <is>
          <t>844766616</t>
        </is>
      </c>
      <c r="C554" s="25" t="inlineStr">
        <is>
          <t>KIVIRCIKRAMPALII-KR1-SIYAH-100x850</t>
        </is>
      </c>
      <c r="D554" s="26" t="inlineStr">
        <is>
          <t>KIVIRCIKRAMPALII-KR1-SIYAH-100x850</t>
        </is>
      </c>
      <c r="E554" s="27" t="inlineStr">
        <is>
          <t>100 x 850</t>
        </is>
      </c>
      <c r="F554" s="28" t="inlineStr">
        <is>
          <t>TYCSS3MAPN169778498328887</t>
        </is>
      </c>
      <c r="G554" s="29" t="inlineStr">
        <is>
          <t>Kapı Önü Paspası</t>
        </is>
      </c>
      <c r="H554" s="30" t="inlineStr">
        <is>
          <t>Paspas Yap</t>
        </is>
      </c>
      <c r="I554" s="31" t="n">
        <v>93.0</v>
      </c>
      <c r="J554" s="32" t="n">
        <v>15834.0</v>
      </c>
      <c r="K554" s="33" t="n">
        <v>14865.05</v>
      </c>
      <c r="L554" s="34" t="n">
        <v>22.0</v>
      </c>
      <c r="M554" s="35" t="n">
        <v>11047.13</v>
      </c>
      <c r="N554" s="36" t="inlineStr">
        <is>
          <t>25 Ağustos 08.00-1 Eylül 07.59</t>
        </is>
      </c>
      <c r="O554" s="37" t="n">
        <v>16.4</v>
      </c>
      <c r="P554" s="38" t="n">
        <v>14865.05</v>
      </c>
      <c r="Q554" s="39"/>
      <c r="R554" s="40" t="n">
        <f>=IF(AND(ISBLANK(Q554), ISBLANK(U554)), "", "7 Günlük Fiyat")</f>
        <v>0.0</v>
      </c>
      <c r="S554" s="41" t="n">
        <f>=IF(OR(Q554="", R554=""), "-", IF(ISNUMBER(SEARCH("7 Günlük", R554)), IF(Q554&lt;=M554, O554, "-"), "-"))</f>
        <v>0.0</v>
      </c>
      <c r="T554" s="42" t="str">
        <f>=IF(ISBLANK(Q554), "", "Hayır")</f>
      </c>
      <c r="U554" s="43"/>
      <c r="V554" s="44" t="inlineStr">
        <is>
          <t>50461ed1-c2c8-4393-967e-55d58a3e2664</t>
        </is>
      </c>
    </row>
    <row r="555">
      <c r="A555" s="23" t="inlineStr">
        <is>
          <t>Rampalı Kıvırcık Paspas Iş Yeri Paspası Su Emici Kaymaz Paspas Kivircik Iş Yeri Paspas Apartman Ofis</t>
        </is>
      </c>
      <c r="B555" s="24" t="inlineStr">
        <is>
          <t>844766616</t>
        </is>
      </c>
      <c r="C555" s="25" t="inlineStr">
        <is>
          <t>KIVIRCIKRAMPALII-KR1-SIYAH-100x750</t>
        </is>
      </c>
      <c r="D555" s="26" t="inlineStr">
        <is>
          <t>KIVIRCIKRAMPALII-KR1-SIYAH-100x750</t>
        </is>
      </c>
      <c r="E555" s="27" t="inlineStr">
        <is>
          <t>100 x 750</t>
        </is>
      </c>
      <c r="F555" s="28" t="inlineStr">
        <is>
          <t>TYCSS3MAPN169778498328887</t>
        </is>
      </c>
      <c r="G555" s="29" t="inlineStr">
        <is>
          <t>Kapı Önü Paspası</t>
        </is>
      </c>
      <c r="H555" s="30" t="inlineStr">
        <is>
          <t>Paspas Yap</t>
        </is>
      </c>
      <c r="I555" s="31" t="n">
        <v>93.0</v>
      </c>
      <c r="J555" s="32" t="n">
        <v>14363.0</v>
      </c>
      <c r="K555" s="33" t="n">
        <v>13498.12</v>
      </c>
      <c r="L555" s="34" t="n">
        <v>22.0</v>
      </c>
      <c r="M555" s="35" t="n">
        <v>10012.28</v>
      </c>
      <c r="N555" s="36" t="inlineStr">
        <is>
          <t>25 Ağustos 08.00-1 Eylül 07.59</t>
        </is>
      </c>
      <c r="O555" s="37" t="n">
        <v>16.4</v>
      </c>
      <c r="P555" s="38" t="n">
        <v>13498.12</v>
      </c>
      <c r="Q555" s="39"/>
      <c r="R555" s="40" t="n">
        <f>=IF(AND(ISBLANK(Q555), ISBLANK(U555)), "", "7 Günlük Fiyat")</f>
        <v>0.0</v>
      </c>
      <c r="S555" s="41" t="n">
        <f>=IF(OR(Q555="", R555=""), "-", IF(ISNUMBER(SEARCH("7 Günlük", R555)), IF(Q555&lt;=M555, O555, "-"), "-"))</f>
        <v>0.0</v>
      </c>
      <c r="T555" s="42" t="str">
        <f>=IF(ISBLANK(Q555), "", "Hayır")</f>
      </c>
      <c r="U555" s="43"/>
      <c r="V555" s="44" t="inlineStr">
        <is>
          <t>50461ed1-c2c8-4393-967e-55d58a3e2664</t>
        </is>
      </c>
    </row>
    <row r="556">
      <c r="A556" s="23" t="inlineStr">
        <is>
          <t>Rampalı Kıvırcık Paspas Iş Yeri Paspası Su Emici Kaymaz Paspas Kivircik Iş Yeri Paspas Apartman Ofis</t>
        </is>
      </c>
      <c r="B556" s="24" t="inlineStr">
        <is>
          <t>844766616</t>
        </is>
      </c>
      <c r="C556" s="25" t="inlineStr">
        <is>
          <t>KIVIRCIKRAMPALII-KR1-SIYAH-100x500</t>
        </is>
      </c>
      <c r="D556" s="26" t="inlineStr">
        <is>
          <t>KIVIRCIKRAMPALII-KR1-SIYAH-100x500</t>
        </is>
      </c>
      <c r="E556" s="27" t="inlineStr">
        <is>
          <t>100 x 500</t>
        </is>
      </c>
      <c r="F556" s="28" t="inlineStr">
        <is>
          <t>TYCSS3MAPN169778498328887</t>
        </is>
      </c>
      <c r="G556" s="29" t="inlineStr">
        <is>
          <t>Kapı Önü Paspası</t>
        </is>
      </c>
      <c r="H556" s="30" t="inlineStr">
        <is>
          <t>Paspas Yap</t>
        </is>
      </c>
      <c r="I556" s="31" t="n">
        <v>93.0</v>
      </c>
      <c r="J556" s="32" t="n">
        <v>9870.0</v>
      </c>
      <c r="K556" s="33" t="n">
        <v>9305.71</v>
      </c>
      <c r="L556" s="34" t="n">
        <v>22.0</v>
      </c>
      <c r="M556" s="35" t="n">
        <v>6902.09</v>
      </c>
      <c r="N556" s="36" t="inlineStr">
        <is>
          <t>25 Ağustos 08.00-1 Eylül 07.59</t>
        </is>
      </c>
      <c r="O556" s="37" t="n">
        <v>16.3</v>
      </c>
      <c r="P556" s="38" t="n">
        <v>9305.71</v>
      </c>
      <c r="Q556" s="39"/>
      <c r="R556" s="40" t="n">
        <f>=IF(AND(ISBLANK(Q556), ISBLANK(U556)), "", "7 Günlük Fiyat")</f>
        <v>0.0</v>
      </c>
      <c r="S556" s="41" t="n">
        <f>=IF(OR(Q556="", R556=""), "-", IF(ISNUMBER(SEARCH("7 Günlük", R556)), IF(Q556&lt;=M556, O556, "-"), "-"))</f>
        <v>0.0</v>
      </c>
      <c r="T556" s="42" t="str">
        <f>=IF(ISBLANK(Q556), "", "Hayır")</f>
      </c>
      <c r="U556" s="43"/>
      <c r="V556" s="44" t="inlineStr">
        <is>
          <t>50461ed1-c2c8-4393-967e-55d58a3e2664</t>
        </is>
      </c>
    </row>
    <row r="557">
      <c r="A557" s="23" t="inlineStr">
        <is>
          <t>Rampalı Kıvırcık Paspas Iş Yeri Paspası Su Emici Kaymaz Paspas Kivircik Iş Yeri Paspas Apartman Ofis</t>
        </is>
      </c>
      <c r="B557" s="24" t="inlineStr">
        <is>
          <t>844766616</t>
        </is>
      </c>
      <c r="C557" s="25" t="inlineStr">
        <is>
          <t>KIVIRCIKRAMPALII-KR1-SIYAH-100x120</t>
        </is>
      </c>
      <c r="D557" s="26" t="inlineStr">
        <is>
          <t>KIVIRCIKRAMPALII-KR1-SIYAH-100x120</t>
        </is>
      </c>
      <c r="E557" s="27" t="inlineStr">
        <is>
          <t>100 x 120</t>
        </is>
      </c>
      <c r="F557" s="28" t="inlineStr">
        <is>
          <t>TYCSS3MAPN169778498328887</t>
        </is>
      </c>
      <c r="G557" s="29" t="inlineStr">
        <is>
          <t>Kapı Önü Paspası</t>
        </is>
      </c>
      <c r="H557" s="30" t="inlineStr">
        <is>
          <t>Paspas Yap</t>
        </is>
      </c>
      <c r="I557" s="31" t="n">
        <v>93.0</v>
      </c>
      <c r="J557" s="32" t="n">
        <v>2809.0</v>
      </c>
      <c r="K557" s="33" t="n">
        <v>2809.0</v>
      </c>
      <c r="L557" s="34" t="n">
        <v>22.0</v>
      </c>
      <c r="M557" s="35" t="n">
        <v>1673.2</v>
      </c>
      <c r="N557" s="36" t="inlineStr">
        <is>
          <t>25 Ağustos 08.00-1 Eylül 07.59</t>
        </is>
      </c>
      <c r="O557" s="37" t="n">
        <v>13.1</v>
      </c>
      <c r="P557" s="38" t="n">
        <v>2809.0</v>
      </c>
      <c r="Q557" s="39"/>
      <c r="R557" s="40" t="n">
        <f>=IF(AND(ISBLANK(Q557), ISBLANK(U557)), "", "7 Günlük Fiyat")</f>
        <v>0.0</v>
      </c>
      <c r="S557" s="41" t="n">
        <f>=IF(OR(Q557="", R557=""), "-", IF(ISNUMBER(SEARCH("7 Günlük", R557)), IF(Q557&lt;=M557, O557, "-"), "-"))</f>
        <v>0.0</v>
      </c>
      <c r="T557" s="42" t="str">
        <f>=IF(ISBLANK(Q557), "", "Hayır")</f>
      </c>
      <c r="U557" s="43"/>
      <c r="V557" s="44" t="inlineStr">
        <is>
          <t>50461ed1-c2c8-4393-967e-55d58a3e2664</t>
        </is>
      </c>
    </row>
    <row r="558">
      <c r="A558" s="23" t="inlineStr">
        <is>
          <t>Rampalı Kıvırcık Paspas Iş Yeri Paspası Su Emici Kaymaz Paspas Kivircik Iş Yeri Paspas Apartman Ofis</t>
        </is>
      </c>
      <c r="B558" s="24" t="inlineStr">
        <is>
          <t>844766616</t>
        </is>
      </c>
      <c r="C558" s="25" t="inlineStr">
        <is>
          <t>KIVIRCIKRAMPALII-KR1-SIYAH-100x1500</t>
        </is>
      </c>
      <c r="D558" s="26" t="inlineStr">
        <is>
          <t>KIVIRCIKRAMPALII-KR1-SIYAH-100x1500</t>
        </is>
      </c>
      <c r="E558" s="27" t="inlineStr">
        <is>
          <t>100 x 1500</t>
        </is>
      </c>
      <c r="F558" s="28" t="inlineStr">
        <is>
          <t>TYCSS3MAPN169778498328887</t>
        </is>
      </c>
      <c r="G558" s="29" t="inlineStr">
        <is>
          <t>Kapı Önü Paspası</t>
        </is>
      </c>
      <c r="H558" s="30" t="inlineStr">
        <is>
          <t>Paspas Yap</t>
        </is>
      </c>
      <c r="I558" s="31" t="n">
        <v>93.0</v>
      </c>
      <c r="J558" s="32" t="n">
        <v>30025.0</v>
      </c>
      <c r="K558" s="33" t="n">
        <v>27925.75</v>
      </c>
      <c r="L558" s="34" t="n">
        <v>22.0</v>
      </c>
      <c r="M558" s="35" t="n">
        <v>18649.18</v>
      </c>
      <c r="N558" s="36" t="inlineStr">
        <is>
          <t>25 Ağustos 08.00-1 Eylül 07.59</t>
        </is>
      </c>
      <c r="O558" s="37" t="n">
        <v>14.2</v>
      </c>
      <c r="P558" s="38" t="n">
        <v>27925.75</v>
      </c>
      <c r="Q558" s="39"/>
      <c r="R558" s="40" t="n">
        <f>=IF(AND(ISBLANK(Q558), ISBLANK(U558)), "", "7 Günlük Fiyat")</f>
        <v>0.0</v>
      </c>
      <c r="S558" s="41" t="n">
        <f>=IF(OR(Q558="", R558=""), "-", IF(ISNUMBER(SEARCH("7 Günlük", R558)), IF(Q558&lt;=M558, O558, "-"), "-"))</f>
        <v>0.0</v>
      </c>
      <c r="T558" s="42" t="str">
        <f>=IF(ISBLANK(Q558), "", "Hayır")</f>
      </c>
      <c r="U558" s="43"/>
      <c r="V558" s="44" t="inlineStr">
        <is>
          <t>50461ed1-c2c8-4393-967e-55d58a3e2664</t>
        </is>
      </c>
    </row>
    <row r="559">
      <c r="A559" s="23" t="inlineStr">
        <is>
          <t>Rampalı Kıvırcık Paspas Iş Yeri Paspası Su Emici Kaymaz Paspas Kivircik Iş Yeri Paspas Apartman Ofis</t>
        </is>
      </c>
      <c r="B559" s="24" t="inlineStr">
        <is>
          <t>844766616</t>
        </is>
      </c>
      <c r="C559" s="25" t="inlineStr">
        <is>
          <t>KIVIRCIKRAMPALII-KR1-SIYAH-120x700</t>
        </is>
      </c>
      <c r="D559" s="26" t="inlineStr">
        <is>
          <t>KIVIRCIKRAMPALII-KR1-SIYAH-120x700</t>
        </is>
      </c>
      <c r="E559" s="27" t="inlineStr">
        <is>
          <t>120 x 700</t>
        </is>
      </c>
      <c r="F559" s="28" t="inlineStr">
        <is>
          <t>TYCSS3MAPN169778498328887</t>
        </is>
      </c>
      <c r="G559" s="29" t="inlineStr">
        <is>
          <t>Kapı Önü Paspası</t>
        </is>
      </c>
      <c r="H559" s="30" t="inlineStr">
        <is>
          <t>Paspas Yap</t>
        </is>
      </c>
      <c r="I559" s="31" t="n">
        <v>93.0</v>
      </c>
      <c r="J559" s="32" t="n">
        <v>15862.0</v>
      </c>
      <c r="K559" s="33" t="n">
        <v>13867.36</v>
      </c>
      <c r="L559" s="34" t="n">
        <v>22.0</v>
      </c>
      <c r="M559" s="35" t="n">
        <v>9817.42</v>
      </c>
      <c r="N559" s="36" t="inlineStr">
        <is>
          <t>25 Ağustos 08.00-1 Eylül 07.59</t>
        </is>
      </c>
      <c r="O559" s="37" t="n">
        <v>14.8</v>
      </c>
      <c r="P559" s="38" t="n">
        <v>13867.36</v>
      </c>
      <c r="Q559" s="39"/>
      <c r="R559" s="40" t="n">
        <f>=IF(AND(ISBLANK(Q559), ISBLANK(U559)), "", "7 Günlük Fiyat")</f>
        <v>0.0</v>
      </c>
      <c r="S559" s="41" t="n">
        <f>=IF(OR(Q559="", R559=""), "-", IF(ISNUMBER(SEARCH("7 Günlük", R559)), IF(Q559&lt;=M559, O559, "-"), "-"))</f>
        <v>0.0</v>
      </c>
      <c r="T559" s="42" t="str">
        <f>=IF(ISBLANK(Q559), "", "Hayır")</f>
      </c>
      <c r="U559" s="43"/>
      <c r="V559" s="44" t="inlineStr">
        <is>
          <t>50461ed1-c2c8-4393-967e-55d58a3e2664</t>
        </is>
      </c>
    </row>
    <row r="560">
      <c r="A560" s="23" t="inlineStr">
        <is>
          <t>Rampalı Kıvırcık Paspas Iş Yeri Paspası Su Emici Kaymaz Paspas Kivircik Iş Yeri Paspas Apartman Ofis</t>
        </is>
      </c>
      <c r="B560" s="24" t="inlineStr">
        <is>
          <t>844766616</t>
        </is>
      </c>
      <c r="C560" s="25" t="inlineStr">
        <is>
          <t>KIVIRCIKRAMPALII-KR1-SIYAH-100x800</t>
        </is>
      </c>
      <c r="D560" s="26" t="inlineStr">
        <is>
          <t>KIVIRCIKRAMPALII-KR1-SIYAH-100x800</t>
        </is>
      </c>
      <c r="E560" s="27" t="inlineStr">
        <is>
          <t>100 x 800</t>
        </is>
      </c>
      <c r="F560" s="28" t="inlineStr">
        <is>
          <t>TYCSS3MAPN169778498328887</t>
        </is>
      </c>
      <c r="G560" s="29" t="inlineStr">
        <is>
          <t>Kapı Önü Paspası</t>
        </is>
      </c>
      <c r="H560" s="30" t="inlineStr">
        <is>
          <t>Paspas Yap</t>
        </is>
      </c>
      <c r="I560" s="31" t="n">
        <v>93.0</v>
      </c>
      <c r="J560" s="32" t="n">
        <v>15030.0</v>
      </c>
      <c r="K560" s="33" t="n">
        <v>14080.23</v>
      </c>
      <c r="L560" s="34" t="n">
        <v>22.0</v>
      </c>
      <c r="M560" s="35" t="n">
        <v>10487.84</v>
      </c>
      <c r="N560" s="36" t="inlineStr">
        <is>
          <t>25 Ağustos 08.00-1 Eylül 07.59</t>
        </is>
      </c>
      <c r="O560" s="37" t="n">
        <v>16.4</v>
      </c>
      <c r="P560" s="38" t="n">
        <v>14080.23</v>
      </c>
      <c r="Q560" s="39"/>
      <c r="R560" s="40" t="n">
        <f>=IF(AND(ISBLANK(Q560), ISBLANK(U560)), "", "7 Günlük Fiyat")</f>
        <v>0.0</v>
      </c>
      <c r="S560" s="41" t="n">
        <f>=IF(OR(Q560="", R560=""), "-", IF(ISNUMBER(SEARCH("7 Günlük", R560)), IF(Q560&lt;=M560, O560, "-"), "-"))</f>
        <v>0.0</v>
      </c>
      <c r="T560" s="42" t="str">
        <f>=IF(ISBLANK(Q560), "", "Hayır")</f>
      </c>
      <c r="U560" s="43"/>
      <c r="V560" s="44" t="inlineStr">
        <is>
          <t>50461ed1-c2c8-4393-967e-55d58a3e2664</t>
        </is>
      </c>
    </row>
    <row r="561">
      <c r="A561" s="23" t="inlineStr">
        <is>
          <t>Rampalı Kıvırcık Paspas Iş Yeri Paspası Su Emici Kaymaz Paspas Kivircik Iş Yeri Paspas Apartman Ofis</t>
        </is>
      </c>
      <c r="B561" s="24" t="inlineStr">
        <is>
          <t>844766616</t>
        </is>
      </c>
      <c r="C561" s="25" t="inlineStr">
        <is>
          <t>KIVIRCIKRAMPALII-KR1-SIYAH-100x150</t>
        </is>
      </c>
      <c r="D561" s="26" t="inlineStr">
        <is>
          <t>KIVIRCIKRAMPALII-KR1-SIYAH-100x150</t>
        </is>
      </c>
      <c r="E561" s="27" t="inlineStr">
        <is>
          <t>100 x 150</t>
        </is>
      </c>
      <c r="F561" s="28" t="inlineStr">
        <is>
          <t>TYCSS3MAPN169778498328887</t>
        </is>
      </c>
      <c r="G561" s="29" t="inlineStr">
        <is>
          <t>Kapı Önü Paspası</t>
        </is>
      </c>
      <c r="H561" s="30" t="inlineStr">
        <is>
          <t>Paspas Yap</t>
        </is>
      </c>
      <c r="I561" s="31" t="n">
        <v>91.0</v>
      </c>
      <c r="J561" s="32" t="n">
        <v>3157.0</v>
      </c>
      <c r="K561" s="33" t="n">
        <v>3157.0</v>
      </c>
      <c r="L561" s="34" t="n">
        <v>22.0</v>
      </c>
      <c r="M561" s="35" t="n">
        <v>2370.08</v>
      </c>
      <c r="N561" s="36" t="inlineStr">
        <is>
          <t>25 Ağustos 08.00-1 Eylül 07.59</t>
        </is>
      </c>
      <c r="O561" s="37" t="n">
        <v>17.3</v>
      </c>
      <c r="P561" s="38" t="n">
        <v>3157.0</v>
      </c>
      <c r="Q561" s="39"/>
      <c r="R561" s="40" t="n">
        <f>=IF(AND(ISBLANK(Q561), ISBLANK(U561)), "", "7 Günlük Fiyat")</f>
        <v>0.0</v>
      </c>
      <c r="S561" s="41" t="n">
        <f>=IF(OR(Q561="", R561=""), "-", IF(ISNUMBER(SEARCH("7 Günlük", R561)), IF(Q561&lt;=M561, O561, "-"), "-"))</f>
        <v>0.0</v>
      </c>
      <c r="T561" s="42" t="str">
        <f>=IF(ISBLANK(Q561), "", "Hayır")</f>
      </c>
      <c r="U561" s="43"/>
      <c r="V561" s="44" t="inlineStr">
        <is>
          <t>50461ed1-c2c8-4393-967e-55d58a3e2664</t>
        </is>
      </c>
    </row>
    <row r="562">
      <c r="A562" s="23" t="inlineStr">
        <is>
          <t>Rampalı Kıvırcık Paspas Iş Yeri Paspası Su Emici Kaymaz Paspas Kivircik Iş Yeri Paspas Apartman Ofis</t>
        </is>
      </c>
      <c r="B562" s="24" t="inlineStr">
        <is>
          <t>844766616</t>
        </is>
      </c>
      <c r="C562" s="25" t="inlineStr">
        <is>
          <t>KIVIRCIKRAMPALII-KR1-SIYAH-50x90</t>
        </is>
      </c>
      <c r="D562" s="26" t="inlineStr">
        <is>
          <t>KIVIRCIKRAMPALII-KR1-SIYAH-50x90</t>
        </is>
      </c>
      <c r="E562" s="27" t="inlineStr">
        <is>
          <t>50 x 90</t>
        </is>
      </c>
      <c r="F562" s="28" t="inlineStr">
        <is>
          <t>TYCSS3MAPN169778498328887</t>
        </is>
      </c>
      <c r="G562" s="29" t="inlineStr">
        <is>
          <t>Kapı Önü Paspası</t>
        </is>
      </c>
      <c r="H562" s="30" t="inlineStr">
        <is>
          <t>Paspas Yap</t>
        </is>
      </c>
      <c r="I562" s="31" t="n">
        <v>90.0</v>
      </c>
      <c r="J562" s="32" t="n">
        <v>1374.0</v>
      </c>
      <c r="K562" s="33" t="n">
        <v>1108.58</v>
      </c>
      <c r="L562" s="34" t="n">
        <v>21.2</v>
      </c>
      <c r="M562" s="35" t="n">
        <v>851.33</v>
      </c>
      <c r="N562" s="36" t="inlineStr">
        <is>
          <t>25 Ağustos 08.00-1 Eylül 07.59</t>
        </is>
      </c>
      <c r="O562" s="37" t="n">
        <v>15.0</v>
      </c>
      <c r="P562" s="38" t="n">
        <v>1108.58</v>
      </c>
      <c r="Q562" s="39"/>
      <c r="R562" s="40" t="n">
        <f>=IF(AND(ISBLANK(Q562), ISBLANK(U562)), "", "7 Günlük Fiyat")</f>
        <v>0.0</v>
      </c>
      <c r="S562" s="41" t="n">
        <f>=IF(OR(Q562="", R562=""), "-", IF(ISNUMBER(SEARCH("7 Günlük", R562)), IF(Q562&lt;=M562, O562, "-"), "-"))</f>
        <v>0.0</v>
      </c>
      <c r="T562" s="42" t="str">
        <f>=IF(ISBLANK(Q562), "", "Hayır")</f>
      </c>
      <c r="U562" s="43"/>
      <c r="V562" s="44" t="inlineStr">
        <is>
          <t>50461ed1-c2c8-4393-967e-55d58a3e2664</t>
        </is>
      </c>
    </row>
    <row r="563">
      <c r="A563" s="23" t="inlineStr">
        <is>
          <t>Rampalı Kıvırcık Paspas Iş Yeri Paspası Su Emici Kaymaz Paspas Kivircik Iş Yeri Paspas Apartman Ofis</t>
        </is>
      </c>
      <c r="B563" s="24" t="inlineStr">
        <is>
          <t>844766616</t>
        </is>
      </c>
      <c r="C563" s="25" t="inlineStr">
        <is>
          <t>KIVIRCIKRAMPALII-KR1-SIYAH-120x1250</t>
        </is>
      </c>
      <c r="D563" s="26" t="inlineStr">
        <is>
          <t>KIVIRCIKRAMPALII-KR1-SIYAH-120x1250</t>
        </is>
      </c>
      <c r="E563" s="27" t="inlineStr">
        <is>
          <t>120 x 1250</t>
        </is>
      </c>
      <c r="F563" s="28" t="inlineStr">
        <is>
          <t>TYCSS3MAPN169778498328887</t>
        </is>
      </c>
      <c r="G563" s="29" t="inlineStr">
        <is>
          <t>Kapı Önü Paspası</t>
        </is>
      </c>
      <c r="H563" s="30" t="inlineStr">
        <is>
          <t>Paspas Yap</t>
        </is>
      </c>
      <c r="I563" s="31" t="n">
        <v>93.0</v>
      </c>
      <c r="J563" s="32" t="n">
        <v>30025.0</v>
      </c>
      <c r="K563" s="33" t="n">
        <v>27577.57</v>
      </c>
      <c r="L563" s="34" t="n">
        <v>22.0</v>
      </c>
      <c r="M563" s="35" t="n">
        <v>18129.07</v>
      </c>
      <c r="N563" s="36" t="inlineStr">
        <is>
          <t>25 Ağustos 08.00-1 Eylül 07.59</t>
        </is>
      </c>
      <c r="O563" s="37" t="n">
        <v>13.8</v>
      </c>
      <c r="P563" s="38" t="n">
        <v>27577.57</v>
      </c>
      <c r="Q563" s="39"/>
      <c r="R563" s="40" t="n">
        <f>=IF(AND(ISBLANK(Q563), ISBLANK(U563)), "", "7 Günlük Fiyat")</f>
        <v>0.0</v>
      </c>
      <c r="S563" s="41" t="n">
        <f>=IF(OR(Q563="", R563=""), "-", IF(ISNUMBER(SEARCH("7 Günlük", R563)), IF(Q563&lt;=M563, O563, "-"), "-"))</f>
        <v>0.0</v>
      </c>
      <c r="T563" s="42" t="str">
        <f>=IF(ISBLANK(Q563), "", "Hayır")</f>
      </c>
      <c r="U563" s="43"/>
      <c r="V563" s="44" t="inlineStr">
        <is>
          <t>50461ed1-c2c8-4393-967e-55d58a3e2664</t>
        </is>
      </c>
    </row>
    <row r="564">
      <c r="A564" s="23" t="inlineStr">
        <is>
          <t>Rampalı Kıvırcık Paspas Iş Yeri Paspası Su Emici Kaymaz Paspas Kivircik Iş Yeri Paspas Apartman Ofis</t>
        </is>
      </c>
      <c r="B564" s="24" t="inlineStr">
        <is>
          <t>844766616</t>
        </is>
      </c>
      <c r="C564" s="25" t="inlineStr">
        <is>
          <t>KIVIRCIKRAMPALII-KR1-SIYAH-120x1050</t>
        </is>
      </c>
      <c r="D564" s="26" t="inlineStr">
        <is>
          <t>KIVIRCIKRAMPALII-KR1-SIYAH-120x1050</t>
        </is>
      </c>
      <c r="E564" s="27" t="inlineStr">
        <is>
          <t>120 x 1050</t>
        </is>
      </c>
      <c r="F564" s="28" t="inlineStr">
        <is>
          <t>TYCSS3MAPN169778498328887</t>
        </is>
      </c>
      <c r="G564" s="29" t="inlineStr">
        <is>
          <t>Kapı Önü Paspası</t>
        </is>
      </c>
      <c r="H564" s="30" t="inlineStr">
        <is>
          <t>Paspas Yap</t>
        </is>
      </c>
      <c r="I564" s="31" t="n">
        <v>93.0</v>
      </c>
      <c r="J564" s="32" t="n">
        <v>26077.0</v>
      </c>
      <c r="K564" s="33" t="n">
        <v>24224.95</v>
      </c>
      <c r="L564" s="34" t="n">
        <v>22.0</v>
      </c>
      <c r="M564" s="35" t="n">
        <v>16307.7</v>
      </c>
      <c r="N564" s="36" t="inlineStr">
        <is>
          <t>25 Ağustos 08.00-1 Eylül 07.59</t>
        </is>
      </c>
      <c r="O564" s="37" t="n">
        <v>14.3</v>
      </c>
      <c r="P564" s="38" t="n">
        <v>24224.95</v>
      </c>
      <c r="Q564" s="39"/>
      <c r="R564" s="40" t="n">
        <f>=IF(AND(ISBLANK(Q564), ISBLANK(U564)), "", "7 Günlük Fiyat")</f>
        <v>0.0</v>
      </c>
      <c r="S564" s="41" t="n">
        <f>=IF(OR(Q564="", R564=""), "-", IF(ISNUMBER(SEARCH("7 Günlük", R564)), IF(Q564&lt;=M564, O564, "-"), "-"))</f>
        <v>0.0</v>
      </c>
      <c r="T564" s="42" t="str">
        <f>=IF(ISBLANK(Q564), "", "Hayır")</f>
      </c>
      <c r="U564" s="43"/>
      <c r="V564" s="44" t="inlineStr">
        <is>
          <t>50461ed1-c2c8-4393-967e-55d58a3e2664</t>
        </is>
      </c>
    </row>
    <row r="565">
      <c r="A565" s="23" t="inlineStr">
        <is>
          <t>Rampalı Kıvırcık Paspas Iş Yeri Paspası Su Emici Kaymaz Paspas Kivircik Iş Yeri Paspas Apartman Ofis</t>
        </is>
      </c>
      <c r="B565" s="24" t="inlineStr">
        <is>
          <t>844766616</t>
        </is>
      </c>
      <c r="C565" s="25" t="inlineStr">
        <is>
          <t>KIVIRCIKRAMPALII-KR1-SIYAH-120x600</t>
        </is>
      </c>
      <c r="D565" s="26" t="inlineStr">
        <is>
          <t>KIVIRCIKRAMPALII-KR1-SIYAH-120x600</t>
        </is>
      </c>
      <c r="E565" s="27" t="inlineStr">
        <is>
          <t>120 x 600</t>
        </is>
      </c>
      <c r="F565" s="28" t="inlineStr">
        <is>
          <t>TYCSS3MAPN169778498328887</t>
        </is>
      </c>
      <c r="G565" s="29" t="inlineStr">
        <is>
          <t>Kapı Önü Paspası</t>
        </is>
      </c>
      <c r="H565" s="30" t="inlineStr">
        <is>
          <t>Paspas Yap</t>
        </is>
      </c>
      <c r="I565" s="31" t="n">
        <v>93.0</v>
      </c>
      <c r="J565" s="32" t="n">
        <v>14087.0</v>
      </c>
      <c r="K565" s="33" t="n">
        <v>13356.34</v>
      </c>
      <c r="L565" s="34" t="n">
        <v>22.0</v>
      </c>
      <c r="M565" s="35" t="n">
        <v>10148.84</v>
      </c>
      <c r="N565" s="36" t="inlineStr">
        <is>
          <t>25 Ağustos 08.00-1 Eylül 07.59</t>
        </is>
      </c>
      <c r="O565" s="37" t="n">
        <v>16.9</v>
      </c>
      <c r="P565" s="38" t="n">
        <v>13356.34</v>
      </c>
      <c r="Q565" s="39"/>
      <c r="R565" s="40" t="n">
        <f>=IF(AND(ISBLANK(Q565), ISBLANK(U565)), "", "7 Günlük Fiyat")</f>
        <v>0.0</v>
      </c>
      <c r="S565" s="41" t="n">
        <f>=IF(OR(Q565="", R565=""), "-", IF(ISNUMBER(SEARCH("7 Günlük", R565)), IF(Q565&lt;=M565, O565, "-"), "-"))</f>
        <v>0.0</v>
      </c>
      <c r="T565" s="42" t="str">
        <f>=IF(ISBLANK(Q565), "", "Hayır")</f>
      </c>
      <c r="U565" s="43"/>
      <c r="V565" s="44" t="inlineStr">
        <is>
          <t>50461ed1-c2c8-4393-967e-55d58a3e2664</t>
        </is>
      </c>
    </row>
    <row r="566">
      <c r="A566" s="23" t="inlineStr">
        <is>
          <t>Rampalı Kıvırcık Paspas Iş Yeri Paspası Su Emici Kaymaz Paspas Kivircik Iş Yeri Paspas Apartman Ofis</t>
        </is>
      </c>
      <c r="B566" s="24" t="inlineStr">
        <is>
          <t>844766616</t>
        </is>
      </c>
      <c r="C566" s="25" t="inlineStr">
        <is>
          <t>KIVIRCIKRAMPALII-KR1-SIYAH-100x900</t>
        </is>
      </c>
      <c r="D566" s="26" t="inlineStr">
        <is>
          <t>KIVIRCIKRAMPALII-KR1-SIYAH-100x900</t>
        </is>
      </c>
      <c r="E566" s="27" t="inlineStr">
        <is>
          <t>100 x 900</t>
        </is>
      </c>
      <c r="F566" s="28" t="inlineStr">
        <is>
          <t>TYCSS3MAPN169778498328887</t>
        </is>
      </c>
      <c r="G566" s="29" t="inlineStr">
        <is>
          <t>Kapı Önü Paspası</t>
        </is>
      </c>
      <c r="H566" s="30" t="inlineStr">
        <is>
          <t>Paspas Yap</t>
        </is>
      </c>
      <c r="I566" s="31" t="n">
        <v>93.0</v>
      </c>
      <c r="J566" s="32" t="n">
        <v>16749.0</v>
      </c>
      <c r="K566" s="33" t="n">
        <v>15664.29</v>
      </c>
      <c r="L566" s="34" t="n">
        <v>22.0</v>
      </c>
      <c r="M566" s="35" t="n">
        <v>11261.52</v>
      </c>
      <c r="N566" s="36" t="inlineStr">
        <is>
          <t>25 Ağustos 08.00-1 Eylül 07.59</t>
        </is>
      </c>
      <c r="O566" s="37" t="n">
        <v>15.7</v>
      </c>
      <c r="P566" s="38" t="n">
        <v>15664.29</v>
      </c>
      <c r="Q566" s="39"/>
      <c r="R566" s="40" t="n">
        <f>=IF(AND(ISBLANK(Q566), ISBLANK(U566)), "", "7 Günlük Fiyat")</f>
        <v>0.0</v>
      </c>
      <c r="S566" s="41" t="n">
        <f>=IF(OR(Q566="", R566=""), "-", IF(ISNUMBER(SEARCH("7 Günlük", R566)), IF(Q566&lt;=M566, O566, "-"), "-"))</f>
        <v>0.0</v>
      </c>
      <c r="T566" s="42" t="str">
        <f>=IF(ISBLANK(Q566), "", "Hayır")</f>
      </c>
      <c r="U566" s="43"/>
      <c r="V566" s="44" t="inlineStr">
        <is>
          <t>50461ed1-c2c8-4393-967e-55d58a3e2664</t>
        </is>
      </c>
    </row>
    <row r="567">
      <c r="A567" s="23" t="inlineStr">
        <is>
          <t>Rampalı Kıvırcık Paspas Iş Yeri Paspası Su Emici Kaymaz Paspas Kivircik Iş Yeri Paspas Apartman Ofis</t>
        </is>
      </c>
      <c r="B567" s="24" t="inlineStr">
        <is>
          <t>844766616</t>
        </is>
      </c>
      <c r="C567" s="25" t="inlineStr">
        <is>
          <t>KIVIRCIKRAMPALII-KR1-SIYAH-120x1350</t>
        </is>
      </c>
      <c r="D567" s="26" t="inlineStr">
        <is>
          <t>KIVIRCIKRAMPALII-KR1-SIYAH-120x1350</t>
        </is>
      </c>
      <c r="E567" s="27" t="inlineStr">
        <is>
          <t>120 x 1350</t>
        </is>
      </c>
      <c r="F567" s="28" t="inlineStr">
        <is>
          <t>TYCSS3MAPN169778498328887</t>
        </is>
      </c>
      <c r="G567" s="29" t="inlineStr">
        <is>
          <t>Kapı Önü Paspası</t>
        </is>
      </c>
      <c r="H567" s="30" t="inlineStr">
        <is>
          <t>Paspas Yap</t>
        </is>
      </c>
      <c r="I567" s="31" t="n">
        <v>93.0</v>
      </c>
      <c r="J567" s="32" t="n">
        <v>31675.0</v>
      </c>
      <c r="K567" s="33" t="n">
        <v>29319.77</v>
      </c>
      <c r="L567" s="34" t="n">
        <v>22.0</v>
      </c>
      <c r="M567" s="35" t="n">
        <v>20374.53</v>
      </c>
      <c r="N567" s="36" t="inlineStr">
        <is>
          <t>25 Ağustos 08.00-1 Eylül 07.59</t>
        </is>
      </c>
      <c r="O567" s="37" t="n">
        <v>15.0</v>
      </c>
      <c r="P567" s="38" t="n">
        <v>29319.77</v>
      </c>
      <c r="Q567" s="39"/>
      <c r="R567" s="40" t="n">
        <f>=IF(AND(ISBLANK(Q567), ISBLANK(U567)), "", "7 Günlük Fiyat")</f>
        <v>0.0</v>
      </c>
      <c r="S567" s="41" t="n">
        <f>=IF(OR(Q567="", R567=""), "-", IF(ISNUMBER(SEARCH("7 Günlük", R567)), IF(Q567&lt;=M567, O567, "-"), "-"))</f>
        <v>0.0</v>
      </c>
      <c r="T567" s="42" t="str">
        <f>=IF(ISBLANK(Q567), "", "Hayır")</f>
      </c>
      <c r="U567" s="43"/>
      <c r="V567" s="44" t="inlineStr">
        <is>
          <t>50461ed1-c2c8-4393-967e-55d58a3e2664</t>
        </is>
      </c>
    </row>
    <row r="568">
      <c r="A568" s="23" t="inlineStr">
        <is>
          <t>Rampalı Kıvırcık Paspas Iş Yeri Paspası Su Emici Kaymaz Paspas Kivircik Iş Yeri Paspas Apartman Ofis</t>
        </is>
      </c>
      <c r="B568" s="24" t="inlineStr">
        <is>
          <t>844766616</t>
        </is>
      </c>
      <c r="C568" s="25" t="inlineStr">
        <is>
          <t>KIVIRCIKRAMPALII-KR1-SIYAH-100x250</t>
        </is>
      </c>
      <c r="D568" s="26" t="inlineStr">
        <is>
          <t>KIVIRCIKRAMPALII-KR1-SIYAH-100x250</t>
        </is>
      </c>
      <c r="E568" s="27" t="inlineStr">
        <is>
          <t>100 x 250</t>
        </is>
      </c>
      <c r="F568" s="28" t="inlineStr">
        <is>
          <t>TYCSS3MAPN169778498328887</t>
        </is>
      </c>
      <c r="G568" s="29" t="inlineStr">
        <is>
          <t>Kapı Önü Paspası</t>
        </is>
      </c>
      <c r="H568" s="30" t="inlineStr">
        <is>
          <t>Paspas Yap</t>
        </is>
      </c>
      <c r="I568" s="31" t="n">
        <v>93.0</v>
      </c>
      <c r="J568" s="32" t="n">
        <v>4722.0</v>
      </c>
      <c r="K568" s="33" t="n">
        <v>4722.0</v>
      </c>
      <c r="L568" s="34" t="n">
        <v>22.0</v>
      </c>
      <c r="M568" s="35" t="n">
        <v>3525.65</v>
      </c>
      <c r="N568" s="36" t="inlineStr">
        <is>
          <t>25 Ağustos 08.00-1 Eylül 07.59</t>
        </is>
      </c>
      <c r="O568" s="37" t="n">
        <v>17.2</v>
      </c>
      <c r="P568" s="38" t="n">
        <v>4722.0</v>
      </c>
      <c r="Q568" s="39"/>
      <c r="R568" s="40" t="n">
        <f>=IF(AND(ISBLANK(Q568), ISBLANK(U568)), "", "7 Günlük Fiyat")</f>
        <v>0.0</v>
      </c>
      <c r="S568" s="41" t="n">
        <f>=IF(OR(Q568="", R568=""), "-", IF(ISNUMBER(SEARCH("7 Günlük", R568)), IF(Q568&lt;=M568, O568, "-"), "-"))</f>
        <v>0.0</v>
      </c>
      <c r="T568" s="42" t="str">
        <f>=IF(ISBLANK(Q568), "", "Hayır")</f>
      </c>
      <c r="U568" s="43"/>
      <c r="V568" s="44" t="inlineStr">
        <is>
          <t>50461ed1-c2c8-4393-967e-55d58a3e2664</t>
        </is>
      </c>
    </row>
    <row r="569">
      <c r="A569" s="23" t="inlineStr">
        <is>
          <t>Rampalı Kıvırcık Paspas Iş Yeri Paspası Su Emici Kaymaz Paspas Kivircik Iş Yeri Paspas Apartman Ofis</t>
        </is>
      </c>
      <c r="B569" s="24" t="inlineStr">
        <is>
          <t>844766616</t>
        </is>
      </c>
      <c r="C569" s="25" t="inlineStr">
        <is>
          <t>KIVIRCIKRAMPALII-KR1-SIYAH-120x250</t>
        </is>
      </c>
      <c r="D569" s="26" t="inlineStr">
        <is>
          <t>KIVIRCIKRAMPALII-KR1-SIYAH-120x250</t>
        </is>
      </c>
      <c r="E569" s="27" t="inlineStr">
        <is>
          <t>120 x 250</t>
        </is>
      </c>
      <c r="F569" s="28" t="inlineStr">
        <is>
          <t>TYCSS3MAPN169778498328887</t>
        </is>
      </c>
      <c r="G569" s="29" t="inlineStr">
        <is>
          <t>Kapı Önü Paspası</t>
        </is>
      </c>
      <c r="H569" s="30" t="inlineStr">
        <is>
          <t>Paspas Yap</t>
        </is>
      </c>
      <c r="I569" s="31" t="n">
        <v>93.0</v>
      </c>
      <c r="J569" s="32" t="n">
        <v>5459.0</v>
      </c>
      <c r="K569" s="33" t="n">
        <v>4918.09</v>
      </c>
      <c r="L569" s="34" t="n">
        <v>22.0</v>
      </c>
      <c r="M569" s="35" t="n">
        <v>3658.27</v>
      </c>
      <c r="N569" s="36" t="inlineStr">
        <is>
          <t>25 Ağustos 08.00-1 Eylül 07.59</t>
        </is>
      </c>
      <c r="O569" s="37" t="n">
        <v>16.0</v>
      </c>
      <c r="P569" s="38" t="n">
        <v>4918.09</v>
      </c>
      <c r="Q569" s="39"/>
      <c r="R569" s="40" t="n">
        <f>=IF(AND(ISBLANK(Q569), ISBLANK(U569)), "", "7 Günlük Fiyat")</f>
        <v>0.0</v>
      </c>
      <c r="S569" s="41" t="n">
        <f>=IF(OR(Q569="", R569=""), "-", IF(ISNUMBER(SEARCH("7 Günlük", R569)), IF(Q569&lt;=M569, O569, "-"), "-"))</f>
        <v>0.0</v>
      </c>
      <c r="T569" s="42" t="str">
        <f>=IF(ISBLANK(Q569), "", "Hayır")</f>
      </c>
      <c r="U569" s="43"/>
      <c r="V569" s="44" t="inlineStr">
        <is>
          <t>50461ed1-c2c8-4393-967e-55d58a3e2664</t>
        </is>
      </c>
    </row>
    <row r="570">
      <c r="A570" s="23" t="inlineStr">
        <is>
          <t>Rampalı Kıvırcık Paspas Iş Yeri Paspası Su Emici Kaymaz Paspas Kivircik Iş Yeri Paspas Apartman Ofis</t>
        </is>
      </c>
      <c r="B570" s="24" t="inlineStr">
        <is>
          <t>844766616</t>
        </is>
      </c>
      <c r="C570" s="25" t="inlineStr">
        <is>
          <t>KIVIRCIKRAMPALII-KR1-SIYAH-100x700</t>
        </is>
      </c>
      <c r="D570" s="26" t="inlineStr">
        <is>
          <t>KIVIRCIKRAMPALII-KR1-SIYAH-100x700</t>
        </is>
      </c>
      <c r="E570" s="27" t="inlineStr">
        <is>
          <t>100 x 700</t>
        </is>
      </c>
      <c r="F570" s="28" t="inlineStr">
        <is>
          <t>TYCSS3MAPN169778498328887</t>
        </is>
      </c>
      <c r="G570" s="29" t="inlineStr">
        <is>
          <t>Kapı Önü Paspası</t>
        </is>
      </c>
      <c r="H570" s="30" t="inlineStr">
        <is>
          <t>Paspas Yap</t>
        </is>
      </c>
      <c r="I570" s="31" t="n">
        <v>93.0</v>
      </c>
      <c r="J570" s="32" t="n">
        <v>13558.0</v>
      </c>
      <c r="K570" s="33" t="n">
        <v>11946.54</v>
      </c>
      <c r="L570" s="34" t="n">
        <v>22.0</v>
      </c>
      <c r="M570" s="35" t="n">
        <v>8126.86</v>
      </c>
      <c r="N570" s="36" t="inlineStr">
        <is>
          <t>25 Ağustos 08.00-1 Eylül 07.59</t>
        </is>
      </c>
      <c r="O570" s="37" t="n">
        <v>14.3</v>
      </c>
      <c r="P570" s="38" t="n">
        <v>11946.54</v>
      </c>
      <c r="Q570" s="39"/>
      <c r="R570" s="40" t="n">
        <f>=IF(AND(ISBLANK(Q570), ISBLANK(U570)), "", "7 Günlük Fiyat")</f>
        <v>0.0</v>
      </c>
      <c r="S570" s="41" t="n">
        <f>=IF(OR(Q570="", R570=""), "-", IF(ISNUMBER(SEARCH("7 Günlük", R570)), IF(Q570&lt;=M570, O570, "-"), "-"))</f>
        <v>0.0</v>
      </c>
      <c r="T570" s="42" t="str">
        <f>=IF(ISBLANK(Q570), "", "Hayır")</f>
      </c>
      <c r="U570" s="43"/>
      <c r="V570" s="44" t="inlineStr">
        <is>
          <t>50461ed1-c2c8-4393-967e-55d58a3e2664</t>
        </is>
      </c>
    </row>
    <row r="571">
      <c r="A571" s="23" t="inlineStr">
        <is>
          <t>Rampalı Kıvırcık Paspas Iş Yeri Paspası Su Emici Kaymaz Paspas Kivircik Iş Yeri Paspas Apartman Ofis</t>
        </is>
      </c>
      <c r="B571" s="24" t="inlineStr">
        <is>
          <t>844766616</t>
        </is>
      </c>
      <c r="C571" s="25" t="inlineStr">
        <is>
          <t>KIVIRCIKRAMPALII-KR1-SIYAH-100x1050</t>
        </is>
      </c>
      <c r="D571" s="26" t="inlineStr">
        <is>
          <t>KIVIRCIKRAMPALII-KR1-SIYAH-100x1050</t>
        </is>
      </c>
      <c r="E571" s="27" t="inlineStr">
        <is>
          <t>100 x 1050</t>
        </is>
      </c>
      <c r="F571" s="28" t="inlineStr">
        <is>
          <t>TYCSS3MAPN169778498328887</t>
        </is>
      </c>
      <c r="G571" s="29" t="inlineStr">
        <is>
          <t>Kapı Önü Paspası</t>
        </is>
      </c>
      <c r="H571" s="30" t="inlineStr">
        <is>
          <t>Paspas Yap</t>
        </is>
      </c>
      <c r="I571" s="31" t="n">
        <v>93.0</v>
      </c>
      <c r="J571" s="32" t="n">
        <v>22783.0</v>
      </c>
      <c r="K571" s="33" t="n">
        <v>21006.24</v>
      </c>
      <c r="L571" s="34" t="n">
        <v>22.0</v>
      </c>
      <c r="M571" s="35" t="n">
        <v>14089.45</v>
      </c>
      <c r="N571" s="36" t="inlineStr">
        <is>
          <t>25 Ağustos 08.00-1 Eylül 07.59</t>
        </is>
      </c>
      <c r="O571" s="37" t="n">
        <v>14.1</v>
      </c>
      <c r="P571" s="38" t="n">
        <v>21006.24</v>
      </c>
      <c r="Q571" s="39"/>
      <c r="R571" s="40" t="n">
        <f>=IF(AND(ISBLANK(Q571), ISBLANK(U571)), "", "7 Günlük Fiyat")</f>
        <v>0.0</v>
      </c>
      <c r="S571" s="41" t="n">
        <f>=IF(OR(Q571="", R571=""), "-", IF(ISNUMBER(SEARCH("7 Günlük", R571)), IF(Q571&lt;=M571, O571, "-"), "-"))</f>
        <v>0.0</v>
      </c>
      <c r="T571" s="42" t="str">
        <f>=IF(ISBLANK(Q571), "", "Hayır")</f>
      </c>
      <c r="U571" s="43"/>
      <c r="V571" s="44" t="inlineStr">
        <is>
          <t>50461ed1-c2c8-4393-967e-55d58a3e2664</t>
        </is>
      </c>
    </row>
    <row r="572">
      <c r="A572" s="23" t="inlineStr">
        <is>
          <t>Rampalı Kıvırcık Paspas Iş Yeri Paspası Su Emici Kaymaz Paspas Kivircik Iş Yeri Paspas Apartman Ofis</t>
        </is>
      </c>
      <c r="B572" s="24" t="inlineStr">
        <is>
          <t>844766616</t>
        </is>
      </c>
      <c r="C572" s="25" t="inlineStr">
        <is>
          <t>KIVIRCIKRAMPALII-KR1-SIYAH-120x1000</t>
        </is>
      </c>
      <c r="D572" s="26" t="inlineStr">
        <is>
          <t>KIVIRCIKRAMPALII-KR1-SIYAH-120x1000</t>
        </is>
      </c>
      <c r="E572" s="27" t="inlineStr">
        <is>
          <t>120 x 1000</t>
        </is>
      </c>
      <c r="F572" s="28" t="inlineStr">
        <is>
          <t>TYCSS3MAPN169778498328887</t>
        </is>
      </c>
      <c r="G572" s="29" t="inlineStr">
        <is>
          <t>Kapı Önü Paspası</t>
        </is>
      </c>
      <c r="H572" s="30" t="inlineStr">
        <is>
          <t>Paspas Yap</t>
        </is>
      </c>
      <c r="I572" s="31" t="n">
        <v>93.0</v>
      </c>
      <c r="J572" s="32" t="n">
        <v>25197.0</v>
      </c>
      <c r="K572" s="33" t="n">
        <v>23377.12</v>
      </c>
      <c r="L572" s="34" t="n">
        <v>22.0</v>
      </c>
      <c r="M572" s="35" t="n">
        <v>16164.69</v>
      </c>
      <c r="N572" s="36" t="inlineStr">
        <is>
          <t>25 Ağustos 08.00-1 Eylül 07.59</t>
        </is>
      </c>
      <c r="O572" s="37" t="n">
        <v>14.9</v>
      </c>
      <c r="P572" s="38" t="n">
        <v>23377.12</v>
      </c>
      <c r="Q572" s="39"/>
      <c r="R572" s="40" t="n">
        <f>=IF(AND(ISBLANK(Q572), ISBLANK(U572)), "", "7 Günlük Fiyat")</f>
        <v>0.0</v>
      </c>
      <c r="S572" s="41" t="n">
        <f>=IF(OR(Q572="", R572=""), "-", IF(ISNUMBER(SEARCH("7 Günlük", R572)), IF(Q572&lt;=M572, O572, "-"), "-"))</f>
        <v>0.0</v>
      </c>
      <c r="T572" s="42" t="str">
        <f>=IF(ISBLANK(Q572), "", "Hayır")</f>
      </c>
      <c r="U572" s="43"/>
      <c r="V572" s="44" t="inlineStr">
        <is>
          <t>50461ed1-c2c8-4393-967e-55d58a3e2664</t>
        </is>
      </c>
    </row>
    <row r="573">
      <c r="A573" s="23" t="inlineStr">
        <is>
          <t>Patili Kapı Önü Paspası Koko Paspas Kapı Paspası</t>
        </is>
      </c>
      <c r="B573" s="24" t="inlineStr">
        <is>
          <t>1111330186</t>
        </is>
      </c>
      <c r="C573" s="25" t="inlineStr">
        <is>
          <t>KOKO--33x60--ST425</t>
        </is>
      </c>
      <c r="D573" s="26" t="inlineStr">
        <is>
          <t>KOKO--33x60--ST425</t>
        </is>
      </c>
      <c r="E573" s="27" t="inlineStr">
        <is>
          <t>33 x 60</t>
        </is>
      </c>
      <c r="F573" s="28" t="inlineStr">
        <is>
          <t>ST425</t>
        </is>
      </c>
      <c r="G573" s="29" t="inlineStr">
        <is>
          <t>Kapı Önü Paspası</t>
        </is>
      </c>
      <c r="H573" s="30" t="inlineStr">
        <is>
          <t>Paspas Yap</t>
        </is>
      </c>
      <c r="I573" s="31" t="n">
        <v>91.0</v>
      </c>
      <c r="J573" s="32" t="n">
        <v>769.0</v>
      </c>
      <c r="K573" s="33" t="n">
        <v>769.0</v>
      </c>
      <c r="L573" s="34" t="n">
        <v>22.0</v>
      </c>
      <c r="M573" s="35" t="n">
        <v>595.97</v>
      </c>
      <c r="N573" s="36" t="inlineStr">
        <is>
          <t>25 Ağustos 08.00-1 Eylül 07.59</t>
        </is>
      </c>
      <c r="O573" s="37" t="n">
        <v>17.4</v>
      </c>
      <c r="P573" s="38" t="n">
        <v>769.0</v>
      </c>
      <c r="Q573" s="39"/>
      <c r="R573" s="40" t="n">
        <f>=IF(AND(ISBLANK(Q573), ISBLANK(U573)), "", "7 Günlük Fiyat")</f>
        <v>0.0</v>
      </c>
      <c r="S573" s="41" t="n">
        <f>=IF(OR(Q573="", R573=""), "-", IF(ISNUMBER(SEARCH("7 Günlük", R573)), IF(Q573&lt;=M573, O573, "-"), "-"))</f>
        <v>0.0</v>
      </c>
      <c r="T573" s="42" t="str">
        <f>=IF(ISBLANK(Q573), "", "Hayır")</f>
      </c>
      <c r="U573" s="43"/>
      <c r="V573" s="44" t="inlineStr">
        <is>
          <t>50461ed1-c2c8-4393-967e-55d58a3e2664</t>
        </is>
      </c>
    </row>
    <row r="574">
      <c r="A574" s="23" t="inlineStr">
        <is>
          <t>Patili Kapı Önü Paspası Koko Paspas Kapı Paspası</t>
        </is>
      </c>
      <c r="B574" s="24" t="inlineStr">
        <is>
          <t>1111330186</t>
        </is>
      </c>
      <c r="C574" s="25" t="inlineStr">
        <is>
          <t>KOKO--50x90--ST425</t>
        </is>
      </c>
      <c r="D574" s="26" t="inlineStr">
        <is>
          <t>KOKO--50x90--ST425</t>
        </is>
      </c>
      <c r="E574" s="27" t="inlineStr">
        <is>
          <t>50 x 90</t>
        </is>
      </c>
      <c r="F574" s="28" t="inlineStr">
        <is>
          <t>ST425</t>
        </is>
      </c>
      <c r="G574" s="29" t="inlineStr">
        <is>
          <t>Kapı Önü Paspası</t>
        </is>
      </c>
      <c r="H574" s="30" t="inlineStr">
        <is>
          <t>Paspas Yap</t>
        </is>
      </c>
      <c r="I574" s="31" t="n">
        <v>93.0</v>
      </c>
      <c r="J574" s="32" t="n">
        <v>2199.0</v>
      </c>
      <c r="K574" s="33" t="n">
        <v>1939.25</v>
      </c>
      <c r="L574" s="34" t="n">
        <v>22.0</v>
      </c>
      <c r="M574" s="35" t="n">
        <v>1168.47</v>
      </c>
      <c r="N574" s="36" t="inlineStr">
        <is>
          <t>25 Ağustos 08.00-1 Eylül 07.59</t>
        </is>
      </c>
      <c r="O574" s="37" t="n">
        <v>12.3</v>
      </c>
      <c r="P574" s="38" t="n">
        <v>1939.25</v>
      </c>
      <c r="Q574" s="39"/>
      <c r="R574" s="40" t="n">
        <f>=IF(AND(ISBLANK(Q574), ISBLANK(U574)), "", "7 Günlük Fiyat")</f>
        <v>0.0</v>
      </c>
      <c r="S574" s="41" t="n">
        <f>=IF(OR(Q574="", R574=""), "-", IF(ISNUMBER(SEARCH("7 Günlük", R574)), IF(Q574&lt;=M574, O574, "-"), "-"))</f>
        <v>0.0</v>
      </c>
      <c r="T574" s="42" t="str">
        <f>=IF(ISBLANK(Q574), "", "Hayır")</f>
      </c>
      <c r="U574" s="43"/>
      <c r="V574" s="44" t="inlineStr">
        <is>
          <t>50461ed1-c2c8-4393-967e-55d58a3e2664</t>
        </is>
      </c>
    </row>
    <row r="575">
      <c r="A575" s="23" t="inlineStr">
        <is>
          <t>Patili Kapı Önü Paspası Koko Paspas Kapı Paspası</t>
        </is>
      </c>
      <c r="B575" s="24" t="inlineStr">
        <is>
          <t>1111330186</t>
        </is>
      </c>
      <c r="C575" s="25" t="inlineStr">
        <is>
          <t>KOKO--40x70--ST425</t>
        </is>
      </c>
      <c r="D575" s="26" t="inlineStr">
        <is>
          <t>KOKO--40x70--ST425</t>
        </is>
      </c>
      <c r="E575" s="27" t="inlineStr">
        <is>
          <t>40 x 70</t>
        </is>
      </c>
      <c r="F575" s="28" t="inlineStr">
        <is>
          <t>ST425</t>
        </is>
      </c>
      <c r="G575" s="29" t="inlineStr">
        <is>
          <t>Kapı Önü Paspası</t>
        </is>
      </c>
      <c r="H575" s="30" t="inlineStr">
        <is>
          <t>Paspas Yap</t>
        </is>
      </c>
      <c r="I575" s="31" t="n">
        <v>91.0</v>
      </c>
      <c r="J575" s="32" t="n">
        <v>1506.0</v>
      </c>
      <c r="K575" s="33" t="n">
        <v>1028.99</v>
      </c>
      <c r="L575" s="34" t="n">
        <v>20.7</v>
      </c>
      <c r="M575" s="35" t="n">
        <v>831.51</v>
      </c>
      <c r="N575" s="36" t="inlineStr">
        <is>
          <t>25 Ağustos 08.00-1 Eylül 07.59</t>
        </is>
      </c>
      <c r="O575" s="37" t="n">
        <v>14.3</v>
      </c>
      <c r="P575" s="38" t="n">
        <v>1028.99</v>
      </c>
      <c r="Q575" s="39"/>
      <c r="R575" s="40" t="n">
        <f>=IF(AND(ISBLANK(Q575), ISBLANK(U575)), "", "7 Günlük Fiyat")</f>
        <v>0.0</v>
      </c>
      <c r="S575" s="41" t="n">
        <f>=IF(OR(Q575="", R575=""), "-", IF(ISNUMBER(SEARCH("7 Günlük", R575)), IF(Q575&lt;=M575, O575, "-"), "-"))</f>
        <v>0.0</v>
      </c>
      <c r="T575" s="42" t="str">
        <f>=IF(ISBLANK(Q575), "", "Hayır")</f>
      </c>
      <c r="U575" s="43"/>
      <c r="V575" s="44" t="inlineStr">
        <is>
          <t>50461ed1-c2c8-4393-967e-55d58a3e2664</t>
        </is>
      </c>
    </row>
    <row r="576">
      <c r="A576" s="23" t="inlineStr">
        <is>
          <t>Patili Kapı Önü Paspası Koko Paspas Kapı Paspası</t>
        </is>
      </c>
      <c r="B576" s="24" t="inlineStr">
        <is>
          <t>1111330186</t>
        </is>
      </c>
      <c r="C576" s="25" t="inlineStr">
        <is>
          <t>KOKO--40x60--ST425</t>
        </is>
      </c>
      <c r="D576" s="26" t="inlineStr">
        <is>
          <t>KOKO--40x60--ST425</t>
        </is>
      </c>
      <c r="E576" s="27" t="inlineStr">
        <is>
          <t>40 x 60</t>
        </is>
      </c>
      <c r="F576" s="28" t="inlineStr">
        <is>
          <t>ST425</t>
        </is>
      </c>
      <c r="G576" s="29" t="inlineStr">
        <is>
          <t>Kapı Önü Paspası</t>
        </is>
      </c>
      <c r="H576" s="30" t="inlineStr">
        <is>
          <t>Paspas Yap</t>
        </is>
      </c>
      <c r="I576" s="31" t="n">
        <v>92.0</v>
      </c>
      <c r="J576" s="32" t="n">
        <v>879.0</v>
      </c>
      <c r="K576" s="33" t="n">
        <v>879.0</v>
      </c>
      <c r="L576" s="34" t="n">
        <v>22.0</v>
      </c>
      <c r="M576" s="35" t="n">
        <v>686.6</v>
      </c>
      <c r="N576" s="36" t="inlineStr">
        <is>
          <t>25 Ağustos 08.00-1 Eylül 07.59</t>
        </is>
      </c>
      <c r="O576" s="37" t="n">
        <v>18.3</v>
      </c>
      <c r="P576" s="38" t="n">
        <v>879.0</v>
      </c>
      <c r="Q576" s="39"/>
      <c r="R576" s="40" t="n">
        <f>=IF(AND(ISBLANK(Q576), ISBLANK(U576)), "", "7 Günlük Fiyat")</f>
        <v>0.0</v>
      </c>
      <c r="S576" s="41" t="n">
        <f>=IF(OR(Q576="", R576=""), "-", IF(ISNUMBER(SEARCH("7 Günlük", R576)), IF(Q576&lt;=M576, O576, "-"), "-"))</f>
        <v>0.0</v>
      </c>
      <c r="T576" s="42" t="str">
        <f>=IF(ISBLANK(Q576), "", "Hayır")</f>
      </c>
      <c r="U576" s="43"/>
      <c r="V576" s="44" t="inlineStr">
        <is>
          <t>50461ed1-c2c8-4393-967e-55d58a3e2664</t>
        </is>
      </c>
    </row>
    <row r="577">
      <c r="A577" s="23" t="inlineStr">
        <is>
          <t>Kedi Çizimli Kapı Önü Paspası Kedili Paspas Dış Kapı Paspası Kapıönü Paspası Koko Paspas Kıl Paspas</t>
        </is>
      </c>
      <c r="B577" s="24" t="inlineStr">
        <is>
          <t>760160598</t>
        </is>
      </c>
      <c r="C577" s="25" t="inlineStr">
        <is>
          <t>G1M9-KOKO5090</t>
        </is>
      </c>
      <c r="D577" s="26" t="inlineStr">
        <is>
          <t>KOKO--50x90--G1M9</t>
        </is>
      </c>
      <c r="E577" s="27" t="inlineStr">
        <is>
          <t>50 x 90</t>
        </is>
      </c>
      <c r="F577" s="28" t="inlineStr">
        <is>
          <t>G1M9</t>
        </is>
      </c>
      <c r="G577" s="29" t="inlineStr">
        <is>
          <t>Kapı Önü Paspası</t>
        </is>
      </c>
      <c r="H577" s="30" t="inlineStr">
        <is>
          <t>Paspas Yap</t>
        </is>
      </c>
      <c r="I577" s="31" t="n">
        <v>91.0</v>
      </c>
      <c r="J577" s="32" t="n">
        <v>2199.0</v>
      </c>
      <c r="K577" s="33" t="n">
        <v>1795.04</v>
      </c>
      <c r="L577" s="34" t="n">
        <v>22.0</v>
      </c>
      <c r="M577" s="35" t="n">
        <v>1008.56</v>
      </c>
      <c r="N577" s="36" t="inlineStr">
        <is>
          <t>25 Ağustos 08.00-1 Eylül 07.59</t>
        </is>
      </c>
      <c r="O577" s="37" t="n">
        <v>10.6</v>
      </c>
      <c r="P577" s="38" t="n">
        <v>1795.04</v>
      </c>
      <c r="Q577" s="39"/>
      <c r="R577" s="40" t="n">
        <f>=IF(AND(ISBLANK(Q577), ISBLANK(U577)), "", "7 Günlük Fiyat")</f>
        <v>0.0</v>
      </c>
      <c r="S577" s="41" t="n">
        <f>=IF(OR(Q577="", R577=""), "-", IF(ISNUMBER(SEARCH("7 Günlük", R577)), IF(Q577&lt;=M577, O577, "-"), "-"))</f>
        <v>0.0</v>
      </c>
      <c r="T577" s="42" t="str">
        <f>=IF(ISBLANK(Q577), "", "Hayır")</f>
      </c>
      <c r="U577" s="43"/>
      <c r="V577" s="44" t="inlineStr">
        <is>
          <t>50461ed1-c2c8-4393-967e-55d58a3e2664</t>
        </is>
      </c>
    </row>
    <row r="578">
      <c r="A578" s="23" t="inlineStr">
        <is>
          <t>Kedi Çizimli Kapı Önü Paspası Kedili Paspas Dış Kapı Paspası Kapıönü Paspası Koko Paspas Kıl Paspas</t>
        </is>
      </c>
      <c r="B578" s="24" t="inlineStr">
        <is>
          <t>760160598</t>
        </is>
      </c>
      <c r="C578" s="25" t="inlineStr">
        <is>
          <t>G1M9-KOKO4070</t>
        </is>
      </c>
      <c r="D578" s="26" t="inlineStr">
        <is>
          <t>KOKO--40x70--G1M9</t>
        </is>
      </c>
      <c r="E578" s="27" t="inlineStr">
        <is>
          <t>40 x 70</t>
        </is>
      </c>
      <c r="F578" s="28" t="inlineStr">
        <is>
          <t>G1M9</t>
        </is>
      </c>
      <c r="G578" s="29" t="inlineStr">
        <is>
          <t>Kapı Önü Paspası</t>
        </is>
      </c>
      <c r="H578" s="30" t="inlineStr">
        <is>
          <t>Paspas Yap</t>
        </is>
      </c>
      <c r="I578" s="31" t="n">
        <v>91.0</v>
      </c>
      <c r="J578" s="32" t="n">
        <v>1506.0</v>
      </c>
      <c r="K578" s="33" t="n">
        <v>1076.37</v>
      </c>
      <c r="L578" s="34" t="n">
        <v>22.0</v>
      </c>
      <c r="M578" s="35" t="n">
        <v>703.44</v>
      </c>
      <c r="N578" s="36" t="inlineStr">
        <is>
          <t>25 Ağustos 08.00-1 Eylül 07.59</t>
        </is>
      </c>
      <c r="O578" s="37" t="n">
        <v>12.4</v>
      </c>
      <c r="P578" s="38" t="n">
        <v>1076.37</v>
      </c>
      <c r="Q578" s="39"/>
      <c r="R578" s="40" t="n">
        <f>=IF(AND(ISBLANK(Q578), ISBLANK(U578)), "", "7 Günlük Fiyat")</f>
        <v>0.0</v>
      </c>
      <c r="S578" s="41" t="n">
        <f>=IF(OR(Q578="", R578=""), "-", IF(ISNUMBER(SEARCH("7 Günlük", R578)), IF(Q578&lt;=M578, O578, "-"), "-"))</f>
        <v>0.0</v>
      </c>
      <c r="T578" s="42" t="str">
        <f>=IF(ISBLANK(Q578), "", "Hayır")</f>
      </c>
      <c r="U578" s="43"/>
      <c r="V578" s="44" t="inlineStr">
        <is>
          <t>50461ed1-c2c8-4393-967e-55d58a3e2664</t>
        </is>
      </c>
    </row>
    <row r="579">
      <c r="A579" s="23" t="inlineStr">
        <is>
          <t>Kedi Çizimli Kapı Önü Paspası Kedili Paspas Dış Kapı Paspası Kapıönü Paspası Koko Paspas Kıl Paspas</t>
        </is>
      </c>
      <c r="B579" s="24" t="inlineStr">
        <is>
          <t>760160598</t>
        </is>
      </c>
      <c r="C579" s="25" t="inlineStr">
        <is>
          <t>G1M9-KOKO3360</t>
        </is>
      </c>
      <c r="D579" s="26" t="inlineStr">
        <is>
          <t>KOKO--33x60--G1M9</t>
        </is>
      </c>
      <c r="E579" s="27" t="inlineStr">
        <is>
          <t>33 x 60</t>
        </is>
      </c>
      <c r="F579" s="28" t="inlineStr">
        <is>
          <t>G1M9</t>
        </is>
      </c>
      <c r="G579" s="29" t="inlineStr">
        <is>
          <t>Kapı Önü Paspası</t>
        </is>
      </c>
      <c r="H579" s="30" t="inlineStr">
        <is>
          <t>Paspas Yap</t>
        </is>
      </c>
      <c r="I579" s="31" t="n">
        <v>93.0</v>
      </c>
      <c r="J579" s="32" t="n">
        <v>799.0</v>
      </c>
      <c r="K579" s="33" t="n">
        <v>799.0</v>
      </c>
      <c r="L579" s="34" t="n">
        <v>22.0</v>
      </c>
      <c r="M579" s="35" t="n">
        <v>560.15</v>
      </c>
      <c r="N579" s="36" t="inlineStr">
        <is>
          <t>25 Ağustos 08.00-1 Eylül 07.59</t>
        </is>
      </c>
      <c r="O579" s="37" t="n">
        <v>15.6</v>
      </c>
      <c r="P579" s="38" t="n">
        <v>799.0</v>
      </c>
      <c r="Q579" s="39"/>
      <c r="R579" s="40" t="n">
        <f>=IF(AND(ISBLANK(Q579), ISBLANK(U579)), "", "7 Günlük Fiyat")</f>
        <v>0.0</v>
      </c>
      <c r="S579" s="41" t="n">
        <f>=IF(OR(Q579="", R579=""), "-", IF(ISNUMBER(SEARCH("7 Günlük", R579)), IF(Q579&lt;=M579, O579, "-"), "-"))</f>
        <v>0.0</v>
      </c>
      <c r="T579" s="42" t="str">
        <f>=IF(ISBLANK(Q579), "", "Hayır")</f>
      </c>
      <c r="U579" s="43"/>
      <c r="V579" s="44" t="inlineStr">
        <is>
          <t>50461ed1-c2c8-4393-967e-55d58a3e2664</t>
        </is>
      </c>
    </row>
    <row r="580">
      <c r="A580" s="23" t="inlineStr">
        <is>
          <t>Kedi Çizimli Kapı Önü Paspası Kedili Paspas Dış Kapı Paspası Kapıönü Paspası Koko Paspas Kıl Paspas</t>
        </is>
      </c>
      <c r="B580" s="24" t="inlineStr">
        <is>
          <t>760160598</t>
        </is>
      </c>
      <c r="C580" s="25" t="inlineStr">
        <is>
          <t>G1M9-KOKO4060</t>
        </is>
      </c>
      <c r="D580" s="26" t="inlineStr">
        <is>
          <t>KOKO--40x60--G1M9</t>
        </is>
      </c>
      <c r="E580" s="27" t="inlineStr">
        <is>
          <t>40 x 60</t>
        </is>
      </c>
      <c r="F580" s="28" t="inlineStr">
        <is>
          <t>G1M9</t>
        </is>
      </c>
      <c r="G580" s="29" t="inlineStr">
        <is>
          <t>Kapı Önü Paspası</t>
        </is>
      </c>
      <c r="H580" s="30" t="inlineStr">
        <is>
          <t>Paspas Yap</t>
        </is>
      </c>
      <c r="I580" s="31" t="n">
        <v>92.0</v>
      </c>
      <c r="J580" s="32" t="n">
        <v>988.0</v>
      </c>
      <c r="K580" s="33" t="n">
        <v>988.0</v>
      </c>
      <c r="L580" s="34" t="n">
        <v>22.0</v>
      </c>
      <c r="M580" s="35" t="n">
        <v>717.68</v>
      </c>
      <c r="N580" s="36" t="inlineStr">
        <is>
          <t>25 Ağustos 08.00-1 Eylül 07.59</t>
        </is>
      </c>
      <c r="O580" s="37" t="n">
        <v>18.0</v>
      </c>
      <c r="P580" s="38" t="n">
        <v>988.0</v>
      </c>
      <c r="Q580" s="39"/>
      <c r="R580" s="40" t="n">
        <f>=IF(AND(ISBLANK(Q580), ISBLANK(U580)), "", "7 Günlük Fiyat")</f>
        <v>0.0</v>
      </c>
      <c r="S580" s="41" t="n">
        <f>=IF(OR(Q580="", R580=""), "-", IF(ISNUMBER(SEARCH("7 Günlük", R580)), IF(Q580&lt;=M580, O580, "-"), "-"))</f>
        <v>0.0</v>
      </c>
      <c r="T580" s="42" t="str">
        <f>=IF(ISBLANK(Q580), "", "Hayır")</f>
      </c>
      <c r="U580" s="43"/>
      <c r="V580" s="44" t="inlineStr">
        <is>
          <t>50461ed1-c2c8-4393-967e-55d58a3e2664</t>
        </is>
      </c>
    </row>
    <row r="581">
      <c r="A581" s="23" t="inlineStr">
        <is>
          <t>Dikdörtgen Çerçeveli Dış Kapı Paspası - Kıvırcık Paspas - Suya Dayanıklı - 3 Çizgili Model</t>
        </is>
      </c>
      <c r="B581" s="24" t="inlineStr">
        <is>
          <t>957262370</t>
        </is>
      </c>
      <c r="C581" s="25" t="inlineStr">
        <is>
          <t>KIVIRCIK-BASKILI-GRI-60x100-YST404</t>
        </is>
      </c>
      <c r="D581" s="26" t="inlineStr">
        <is>
          <t>KIVIRCIK-BASKILI-GRI-60x100-YST404</t>
        </is>
      </c>
      <c r="E581" s="27" t="inlineStr">
        <is>
          <t>60 x 100</t>
        </is>
      </c>
      <c r="F581" s="28" t="inlineStr">
        <is>
          <t>KIVIRCIK-BASKILI-YST404</t>
        </is>
      </c>
      <c r="G581" s="29" t="inlineStr">
        <is>
          <t>Kapı Önü Paspası</t>
        </is>
      </c>
      <c r="H581" s="30" t="inlineStr">
        <is>
          <t>Paspas Yap</t>
        </is>
      </c>
      <c r="I581" s="31" t="n">
        <v>93.0</v>
      </c>
      <c r="J581" s="32" t="n">
        <v>1249.0</v>
      </c>
      <c r="K581" s="33" t="n">
        <v>1002.56</v>
      </c>
      <c r="L581" s="34" t="n">
        <v>22.0</v>
      </c>
      <c r="M581" s="35" t="n">
        <v>709.7</v>
      </c>
      <c r="N581" s="36" t="inlineStr">
        <is>
          <t>25 Ağustos 08.00-1 Eylül 07.59</t>
        </is>
      </c>
      <c r="O581" s="37" t="n">
        <v>13.7</v>
      </c>
      <c r="P581" s="38" t="n">
        <v>1002.56</v>
      </c>
      <c r="Q581" s="39"/>
      <c r="R581" s="40" t="n">
        <f>=IF(AND(ISBLANK(Q581), ISBLANK(U581)), "", "7 Günlük Fiyat")</f>
        <v>0.0</v>
      </c>
      <c r="S581" s="41" t="n">
        <f>=IF(OR(Q581="", R581=""), "-", IF(ISNUMBER(SEARCH("7 Günlük", R581)), IF(Q581&lt;=M581, O581, "-"), "-"))</f>
        <v>0.0</v>
      </c>
      <c r="T581" s="42" t="str">
        <f>=IF(ISBLANK(Q581), "", "Hayır")</f>
      </c>
      <c r="U581" s="43"/>
      <c r="V581" s="44" t="inlineStr">
        <is>
          <t>50461ed1-c2c8-4393-967e-55d58a3e2664</t>
        </is>
      </c>
    </row>
    <row r="582">
      <c r="A582" s="23" t="inlineStr">
        <is>
          <t>Dikdörtgen Çerçeveli Dış Kapı Paspası - Kıvırcık Paspas - Suya Dayanıklı - 3 Çizgili Model</t>
        </is>
      </c>
      <c r="B582" s="24" t="inlineStr">
        <is>
          <t>957262370</t>
        </is>
      </c>
      <c r="C582" s="25" t="inlineStr">
        <is>
          <t>KIVIRCIK-BASKILI-GRI-40x70-YST404</t>
        </is>
      </c>
      <c r="D582" s="26" t="inlineStr">
        <is>
          <t>KIVIRCIK-BASKILI-GRI-40x70-YST404</t>
        </is>
      </c>
      <c r="E582" s="27" t="inlineStr">
        <is>
          <t>40 x 70</t>
        </is>
      </c>
      <c r="F582" s="28" t="inlineStr">
        <is>
          <t>KIVIRCIK-BASKILI-YST404</t>
        </is>
      </c>
      <c r="G582" s="29" t="inlineStr">
        <is>
          <t>Kapı Önü Paspası</t>
        </is>
      </c>
      <c r="H582" s="30" t="inlineStr">
        <is>
          <t>Paspas Yap</t>
        </is>
      </c>
      <c r="I582" s="31" t="n">
        <v>93.0</v>
      </c>
      <c r="J582" s="32" t="n">
        <v>620.7</v>
      </c>
      <c r="K582" s="33" t="n">
        <v>620.7</v>
      </c>
      <c r="L582" s="34" t="n">
        <v>22.0</v>
      </c>
      <c r="M582" s="35" t="n">
        <v>498.8</v>
      </c>
      <c r="N582" s="36" t="inlineStr">
        <is>
          <t>25 Ağustos 08.00-1 Eylül 07.59</t>
        </is>
      </c>
      <c r="O582" s="37" t="n">
        <v>18.0</v>
      </c>
      <c r="P582" s="38" t="n">
        <v>620.7</v>
      </c>
      <c r="Q582" s="39"/>
      <c r="R582" s="40" t="n">
        <f>=IF(AND(ISBLANK(Q582), ISBLANK(U582)), "", "7 Günlük Fiyat")</f>
        <v>0.0</v>
      </c>
      <c r="S582" s="41" t="n">
        <f>=IF(OR(Q582="", R582=""), "-", IF(ISNUMBER(SEARCH("7 Günlük", R582)), IF(Q582&lt;=M582, O582, "-"), "-"))</f>
        <v>0.0</v>
      </c>
      <c r="T582" s="42" t="str">
        <f>=IF(ISBLANK(Q582), "", "Hayır")</f>
      </c>
      <c r="U582" s="43"/>
      <c r="V582" s="44" t="inlineStr">
        <is>
          <t>50461ed1-c2c8-4393-967e-55d58a3e2664</t>
        </is>
      </c>
    </row>
    <row r="583">
      <c r="A583" s="23" t="inlineStr">
        <is>
          <t>Dikdörtgen Çerçeveli Dış Kapı Paspası - Kıvırcık Paspas - Suya Dayanıklı - 3 Çizgili Model</t>
        </is>
      </c>
      <c r="B583" s="24" t="inlineStr">
        <is>
          <t>957262370</t>
        </is>
      </c>
      <c r="C583" s="25" t="inlineStr">
        <is>
          <t>KIVIRCIK-BASKILI-GRI-100x100-YST404</t>
        </is>
      </c>
      <c r="D583" s="26" t="inlineStr">
        <is>
          <t>KIVIRCIK-BASKILI-GRI-100x100-YST404</t>
        </is>
      </c>
      <c r="E583" s="27" t="inlineStr">
        <is>
          <t>100 x 100</t>
        </is>
      </c>
      <c r="F583" s="28" t="inlineStr">
        <is>
          <t>KIVIRCIK-BASKILI-YST404</t>
        </is>
      </c>
      <c r="G583" s="29" t="inlineStr">
        <is>
          <t>Kapı Önü Paspası</t>
        </is>
      </c>
      <c r="H583" s="30" t="inlineStr">
        <is>
          <t>Paspas Yap</t>
        </is>
      </c>
      <c r="I583" s="31" t="n">
        <v>93.0</v>
      </c>
      <c r="J583" s="32" t="n">
        <v>1848.0</v>
      </c>
      <c r="K583" s="33" t="n">
        <v>1480.07</v>
      </c>
      <c r="L583" s="34" t="n">
        <v>22.0</v>
      </c>
      <c r="M583" s="35" t="n">
        <v>1032.53</v>
      </c>
      <c r="N583" s="36" t="inlineStr">
        <is>
          <t>25 Ağustos 08.00-1 Eylül 07.59</t>
        </is>
      </c>
      <c r="O583" s="37" t="n">
        <v>14.3</v>
      </c>
      <c r="P583" s="38" t="n">
        <v>1480.07</v>
      </c>
      <c r="Q583" s="39"/>
      <c r="R583" s="40" t="n">
        <f>=IF(AND(ISBLANK(Q583), ISBLANK(U583)), "", "7 Günlük Fiyat")</f>
        <v>0.0</v>
      </c>
      <c r="S583" s="41" t="n">
        <f>=IF(OR(Q583="", R583=""), "-", IF(ISNUMBER(SEARCH("7 Günlük", R583)), IF(Q583&lt;=M583, O583, "-"), "-"))</f>
        <v>0.0</v>
      </c>
      <c r="T583" s="42" t="str">
        <f>=IF(ISBLANK(Q583), "", "Hayır")</f>
      </c>
      <c r="U583" s="43"/>
      <c r="V583" s="44" t="inlineStr">
        <is>
          <t>50461ed1-c2c8-4393-967e-55d58a3e2664</t>
        </is>
      </c>
    </row>
    <row r="584">
      <c r="A584" s="23" t="inlineStr">
        <is>
          <t>Dikdörtgen Çerçeveli Dış Kapı Paspası - Kıvırcık Paspas - Suya Dayanıklı - 3 Çizgili Model</t>
        </is>
      </c>
      <c r="B584" s="24" t="inlineStr">
        <is>
          <t>957262370</t>
        </is>
      </c>
      <c r="C584" s="25" t="inlineStr">
        <is>
          <t>KIVIRCIK-BASKILI-GRI-80x120-YST404</t>
        </is>
      </c>
      <c r="D584" s="26" t="inlineStr">
        <is>
          <t>KIVIRCIK-BASKILI-GRI-80x120-YST404</t>
        </is>
      </c>
      <c r="E584" s="27" t="inlineStr">
        <is>
          <t>80 x 120</t>
        </is>
      </c>
      <c r="F584" s="28" t="inlineStr">
        <is>
          <t>KIVIRCIK-BASKILI-YST404</t>
        </is>
      </c>
      <c r="G584" s="29" t="inlineStr">
        <is>
          <t>Kapı Önü Paspası</t>
        </is>
      </c>
      <c r="H584" s="30" t="inlineStr">
        <is>
          <t>Paspas Yap</t>
        </is>
      </c>
      <c r="I584" s="31" t="n">
        <v>93.0</v>
      </c>
      <c r="J584" s="32" t="n">
        <v>1824.0</v>
      </c>
      <c r="K584" s="33" t="n">
        <v>1592.85</v>
      </c>
      <c r="L584" s="34" t="n">
        <v>22.0</v>
      </c>
      <c r="M584" s="35" t="n">
        <v>1268.59</v>
      </c>
      <c r="N584" s="36" t="inlineStr">
        <is>
          <t>25 Ağustos 08.00-1 Eylül 07.59</t>
        </is>
      </c>
      <c r="O584" s="37" t="n">
        <v>16.7</v>
      </c>
      <c r="P584" s="38" t="n">
        <v>1592.85</v>
      </c>
      <c r="Q584" s="39"/>
      <c r="R584" s="40" t="n">
        <f>=IF(AND(ISBLANK(Q584), ISBLANK(U584)), "", "7 Günlük Fiyat")</f>
        <v>0.0</v>
      </c>
      <c r="S584" s="41" t="n">
        <f>=IF(OR(Q584="", R584=""), "-", IF(ISNUMBER(SEARCH("7 Günlük", R584)), IF(Q584&lt;=M584, O584, "-"), "-"))</f>
        <v>0.0</v>
      </c>
      <c r="T584" s="42" t="str">
        <f>=IF(ISBLANK(Q584), "", "Hayır")</f>
      </c>
      <c r="U584" s="43"/>
      <c r="V584" s="44" t="inlineStr">
        <is>
          <t>50461ed1-c2c8-4393-967e-55d58a3e2664</t>
        </is>
      </c>
    </row>
    <row r="585">
      <c r="A585" s="23" t="inlineStr">
        <is>
          <t>Dikdörtgen Çerçeveli Dış Kapı Paspası - Kıvırcık Paspas - Suya Dayanıklı - 3 Çizgili Model</t>
        </is>
      </c>
      <c r="B585" s="24" t="inlineStr">
        <is>
          <t>957262370</t>
        </is>
      </c>
      <c r="C585" s="25" t="inlineStr">
        <is>
          <t>KIVIRCIK-BASKILI-GRI-100x150-YST404</t>
        </is>
      </c>
      <c r="D585" s="26" t="inlineStr">
        <is>
          <t>KIVIRCIK-BASKILI-GRI-100x150-YST404</t>
        </is>
      </c>
      <c r="E585" s="27" t="inlineStr">
        <is>
          <t>100 x 150</t>
        </is>
      </c>
      <c r="F585" s="28" t="inlineStr">
        <is>
          <t>KIVIRCIK-BASKILI-YST404</t>
        </is>
      </c>
      <c r="G585" s="29" t="inlineStr">
        <is>
          <t>Kapı Önü Paspası</t>
        </is>
      </c>
      <c r="H585" s="30" t="inlineStr">
        <is>
          <t>Paspas Yap</t>
        </is>
      </c>
      <c r="I585" s="31" t="n">
        <v>92.0</v>
      </c>
      <c r="J585" s="32" t="n">
        <v>2668.0</v>
      </c>
      <c r="K585" s="33" t="n">
        <v>2668.0</v>
      </c>
      <c r="L585" s="34" t="n">
        <v>22.0</v>
      </c>
      <c r="M585" s="35" t="n">
        <v>1864.87</v>
      </c>
      <c r="N585" s="36" t="inlineStr">
        <is>
          <t>25 Ağustos 08.00-1 Eylül 07.59</t>
        </is>
      </c>
      <c r="O585" s="37" t="n">
        <v>16.4</v>
      </c>
      <c r="P585" s="38" t="n">
        <v>2668.0</v>
      </c>
      <c r="Q585" s="39"/>
      <c r="R585" s="40" t="n">
        <f>=IF(AND(ISBLANK(Q585), ISBLANK(U585)), "", "7 Günlük Fiyat")</f>
        <v>0.0</v>
      </c>
      <c r="S585" s="41" t="n">
        <f>=IF(OR(Q585="", R585=""), "-", IF(ISNUMBER(SEARCH("7 Günlük", R585)), IF(Q585&lt;=M585, O585, "-"), "-"))</f>
        <v>0.0</v>
      </c>
      <c r="T585" s="42" t="str">
        <f>=IF(ISBLANK(Q585), "", "Hayır")</f>
      </c>
      <c r="U585" s="43"/>
      <c r="V585" s="44" t="inlineStr">
        <is>
          <t>50461ed1-c2c8-4393-967e-55d58a3e2664</t>
        </is>
      </c>
    </row>
    <row r="586">
      <c r="A586" s="23" t="inlineStr">
        <is>
          <t>Dikdörtgen Çerçeveli Dış Kapı Paspası - Kıvırcık Paspas - Suya Dayanıklı - 3 Çizgili Model</t>
        </is>
      </c>
      <c r="B586" s="24" t="inlineStr">
        <is>
          <t>957262370</t>
        </is>
      </c>
      <c r="C586" s="25" t="inlineStr">
        <is>
          <t>KIVIRCIK-BASKILI-GRI-50x90-YST404</t>
        </is>
      </c>
      <c r="D586" s="26" t="inlineStr">
        <is>
          <t>KIVIRCIK-BASKILI-GRI-50x90-YST404</t>
        </is>
      </c>
      <c r="E586" s="27" t="inlineStr">
        <is>
          <t>50 x 90</t>
        </is>
      </c>
      <c r="F586" s="28" t="inlineStr">
        <is>
          <t>KIVIRCIK-BASKILI-YST404</t>
        </is>
      </c>
      <c r="G586" s="29" t="inlineStr">
        <is>
          <t>Kapı Önü Paspası</t>
        </is>
      </c>
      <c r="H586" s="30" t="inlineStr">
        <is>
          <t>Paspas Yap</t>
        </is>
      </c>
      <c r="I586" s="31" t="n">
        <v>92.0</v>
      </c>
      <c r="J586" s="32" t="n">
        <v>999.0</v>
      </c>
      <c r="K586" s="33" t="n">
        <v>999.0</v>
      </c>
      <c r="L586" s="34" t="n">
        <v>22.0</v>
      </c>
      <c r="M586" s="35" t="n">
        <v>672.63</v>
      </c>
      <c r="N586" s="36" t="inlineStr">
        <is>
          <t>25 Ağustos 08.00-1 Eylül 07.59</t>
        </is>
      </c>
      <c r="O586" s="37" t="n">
        <v>15.7</v>
      </c>
      <c r="P586" s="38" t="n">
        <v>949.05</v>
      </c>
      <c r="Q586" s="39"/>
      <c r="R586" s="40" t="n">
        <f>=IF(AND(ISBLANK(Q586), ISBLANK(U586)), "", "7 Günlük Fiyat")</f>
        <v>0.0</v>
      </c>
      <c r="S586" s="41" t="n">
        <f>=IF(OR(Q586="", R586=""), "-", IF(ISNUMBER(SEARCH("7 Günlük", R586)), IF(Q586&lt;=M586, O586, "-"), "-"))</f>
        <v>0.0</v>
      </c>
      <c r="T586" s="42" t="str">
        <f>=IF(ISBLANK(Q586), "", "Hayır")</f>
      </c>
      <c r="U586" s="43"/>
      <c r="V586" s="44" t="inlineStr">
        <is>
          <t>50461ed1-c2c8-4393-967e-55d58a3e2664</t>
        </is>
      </c>
    </row>
    <row r="587">
      <c r="A587" s="23" t="inlineStr">
        <is>
          <t>Hoş Geldiniz Ev Ve Balonlu Tasarım Paspas Kapı Paspası Koko Paspas Kıl Paspas</t>
        </is>
      </c>
      <c r="B587" s="24" t="inlineStr">
        <is>
          <t>94018626</t>
        </is>
      </c>
      <c r="C587" s="25" t="inlineStr">
        <is>
          <t>TYKOP4070585</t>
        </is>
      </c>
      <c r="D587" s="26" t="inlineStr">
        <is>
          <t>KOKO--40x70--TYKOP585</t>
        </is>
      </c>
      <c r="E587" s="27" t="inlineStr">
        <is>
          <t>40 x 70</t>
        </is>
      </c>
      <c r="F587" s="28" t="inlineStr">
        <is>
          <t>TYKOP585</t>
        </is>
      </c>
      <c r="G587" s="29" t="inlineStr">
        <is>
          <t>Kapı Önü Paspası</t>
        </is>
      </c>
      <c r="H587" s="30" t="inlineStr">
        <is>
          <t>Paspas Yap</t>
        </is>
      </c>
      <c r="I587" s="31" t="n">
        <v>92.0</v>
      </c>
      <c r="J587" s="32" t="n">
        <v>1506.0</v>
      </c>
      <c r="K587" s="33" t="n">
        <v>1182.47</v>
      </c>
      <c r="L587" s="34" t="n">
        <v>22.0</v>
      </c>
      <c r="M587" s="35" t="n">
        <v>788.65</v>
      </c>
      <c r="N587" s="36" t="inlineStr">
        <is>
          <t>25 Ağustos 08.00-1 Eylül 07.59</t>
        </is>
      </c>
      <c r="O587" s="37" t="n">
        <v>11.4</v>
      </c>
      <c r="P587" s="38" t="n">
        <v>1182.47</v>
      </c>
      <c r="Q587" s="39"/>
      <c r="R587" s="40" t="n">
        <f>=IF(AND(ISBLANK(Q587), ISBLANK(U587)), "", "7 Günlük Fiyat")</f>
        <v>0.0</v>
      </c>
      <c r="S587" s="41" t="n">
        <f>=IF(OR(Q587="", R587=""), "-", IF(ISNUMBER(SEARCH("7 Günlük", R587)), IF(Q587&lt;=M587, O587, "-"), "-"))</f>
        <v>0.0</v>
      </c>
      <c r="T587" s="42" t="str">
        <f>=IF(ISBLANK(Q587), "", "Hayır")</f>
      </c>
      <c r="U587" s="43"/>
      <c r="V587" s="44" t="inlineStr">
        <is>
          <t>50461ed1-c2c8-4393-967e-55d58a3e2664</t>
        </is>
      </c>
    </row>
    <row r="588">
      <c r="A588" s="23" t="inlineStr">
        <is>
          <t>Hoş Geldiniz Ev Ve Balonlu Tasarım Paspas Kapı Paspası Koko Paspas Kıl Paspas</t>
        </is>
      </c>
      <c r="B588" s="24" t="inlineStr">
        <is>
          <t>94018626</t>
        </is>
      </c>
      <c r="C588" s="25" t="inlineStr">
        <is>
          <t>TYKOP5090585</t>
        </is>
      </c>
      <c r="D588" s="26" t="inlineStr">
        <is>
          <t>KOKO--50x90--TYKOP585</t>
        </is>
      </c>
      <c r="E588" s="27" t="inlineStr">
        <is>
          <t>50 x 90</t>
        </is>
      </c>
      <c r="F588" s="28" t="inlineStr">
        <is>
          <t>TYKOP585</t>
        </is>
      </c>
      <c r="G588" s="29" t="inlineStr">
        <is>
          <t>Kapı Önü Paspası</t>
        </is>
      </c>
      <c r="H588" s="30" t="inlineStr">
        <is>
          <t>Paspas Yap</t>
        </is>
      </c>
      <c r="I588" s="31" t="n">
        <v>92.0</v>
      </c>
      <c r="J588" s="32" t="n">
        <v>2199.0</v>
      </c>
      <c r="K588" s="33" t="n">
        <v>1908.34</v>
      </c>
      <c r="L588" s="34" t="n">
        <v>22.0</v>
      </c>
      <c r="M588" s="35" t="n">
        <v>1096.37</v>
      </c>
      <c r="N588" s="36" t="inlineStr">
        <is>
          <t>25 Ağustos 08.00-1 Eylül 07.59</t>
        </is>
      </c>
      <c r="O588" s="37" t="n">
        <v>11.5</v>
      </c>
      <c r="P588" s="38" t="n">
        <v>1908.34</v>
      </c>
      <c r="Q588" s="39"/>
      <c r="R588" s="40" t="n">
        <f>=IF(AND(ISBLANK(Q588), ISBLANK(U588)), "", "7 Günlük Fiyat")</f>
        <v>0.0</v>
      </c>
      <c r="S588" s="41" t="n">
        <f>=IF(OR(Q588="", R588=""), "-", IF(ISNUMBER(SEARCH("7 Günlük", R588)), IF(Q588&lt;=M588, O588, "-"), "-"))</f>
        <v>0.0</v>
      </c>
      <c r="T588" s="42" t="str">
        <f>=IF(ISBLANK(Q588), "", "Hayır")</f>
      </c>
      <c r="U588" s="43"/>
      <c r="V588" s="44" t="inlineStr">
        <is>
          <t>50461ed1-c2c8-4393-967e-55d58a3e2664</t>
        </is>
      </c>
    </row>
    <row r="589">
      <c r="A589" s="23" t="inlineStr">
        <is>
          <t>Hoş Geldiniz Ev Ve Balonlu Tasarım Paspas Kapı Paspası Koko Paspas Kıl Paspas</t>
        </is>
      </c>
      <c r="B589" s="24" t="inlineStr">
        <is>
          <t>94018626</t>
        </is>
      </c>
      <c r="C589" s="25" t="inlineStr">
        <is>
          <t>TYKOP3360585</t>
        </is>
      </c>
      <c r="D589" s="26" t="inlineStr">
        <is>
          <t>KOKO--33x60--TYKOP585</t>
        </is>
      </c>
      <c r="E589" s="27" t="inlineStr">
        <is>
          <t>33 x 60</t>
        </is>
      </c>
      <c r="F589" s="28" t="inlineStr">
        <is>
          <t>TYKOP585</t>
        </is>
      </c>
      <c r="G589" s="29" t="inlineStr">
        <is>
          <t>Kapı Önü Paspası</t>
        </is>
      </c>
      <c r="H589" s="30" t="inlineStr">
        <is>
          <t>Paspas Yap</t>
        </is>
      </c>
      <c r="I589" s="31" t="n">
        <v>92.0</v>
      </c>
      <c r="J589" s="32" t="n">
        <v>799.0</v>
      </c>
      <c r="K589" s="33" t="n">
        <v>799.0</v>
      </c>
      <c r="L589" s="34" t="n">
        <v>22.0</v>
      </c>
      <c r="M589" s="35" t="n">
        <v>533.72</v>
      </c>
      <c r="N589" s="36" t="inlineStr">
        <is>
          <t>25 Ağustos 08.00-1 Eylül 07.59</t>
        </is>
      </c>
      <c r="O589" s="37" t="n">
        <v>14.5</v>
      </c>
      <c r="P589" s="38" t="n">
        <v>799.0</v>
      </c>
      <c r="Q589" s="39"/>
      <c r="R589" s="40" t="n">
        <f>=IF(AND(ISBLANK(Q589), ISBLANK(U589)), "", "7 Günlük Fiyat")</f>
        <v>0.0</v>
      </c>
      <c r="S589" s="41" t="n">
        <f>=IF(OR(Q589="", R589=""), "-", IF(ISNUMBER(SEARCH("7 Günlük", R589)), IF(Q589&lt;=M589, O589, "-"), "-"))</f>
        <v>0.0</v>
      </c>
      <c r="T589" s="42" t="str">
        <f>=IF(ISBLANK(Q589), "", "Hayır")</f>
      </c>
      <c r="U589" s="43"/>
      <c r="V589" s="44" t="inlineStr">
        <is>
          <t>50461ed1-c2c8-4393-967e-55d58a3e2664</t>
        </is>
      </c>
    </row>
    <row r="590">
      <c r="A590" s="23" t="inlineStr">
        <is>
          <t>Hoş Geldiniz Ev Ve Balonlu Tasarım Paspas Kapı Paspası Koko Paspas Kıl Paspas</t>
        </is>
      </c>
      <c r="B590" s="24" t="inlineStr">
        <is>
          <t>94018626</t>
        </is>
      </c>
      <c r="C590" s="25" t="inlineStr">
        <is>
          <t>TYKOP4060585</t>
        </is>
      </c>
      <c r="D590" s="26" t="inlineStr">
        <is>
          <t>KOKO--40x60--TYKOP585</t>
        </is>
      </c>
      <c r="E590" s="27" t="inlineStr">
        <is>
          <t>40 x 60</t>
        </is>
      </c>
      <c r="F590" s="28" t="inlineStr">
        <is>
          <t>TYKOP585</t>
        </is>
      </c>
      <c r="G590" s="29" t="inlineStr">
        <is>
          <t>Kapı Önü Paspası</t>
        </is>
      </c>
      <c r="H590" s="30" t="inlineStr">
        <is>
          <t>Paspas Yap</t>
        </is>
      </c>
      <c r="I590" s="31" t="n">
        <v>90.0</v>
      </c>
      <c r="J590" s="32" t="n">
        <v>988.0</v>
      </c>
      <c r="K590" s="33" t="n">
        <v>988.0</v>
      </c>
      <c r="L590" s="34" t="n">
        <v>22.0</v>
      </c>
      <c r="M590" s="35" t="n">
        <v>672.2</v>
      </c>
      <c r="N590" s="36" t="inlineStr">
        <is>
          <t>25 Ağustos 08.00-1 Eylül 07.59</t>
        </is>
      </c>
      <c r="O590" s="37" t="n">
        <v>16.4</v>
      </c>
      <c r="P590" s="38" t="n">
        <v>988.0</v>
      </c>
      <c r="Q590" s="39"/>
      <c r="R590" s="40" t="n">
        <f>=IF(AND(ISBLANK(Q590), ISBLANK(U590)), "", "7 Günlük Fiyat")</f>
        <v>0.0</v>
      </c>
      <c r="S590" s="41" t="n">
        <f>=IF(OR(Q590="", R590=""), "-", IF(ISNUMBER(SEARCH("7 Günlük", R590)), IF(Q590&lt;=M590, O590, "-"), "-"))</f>
        <v>0.0</v>
      </c>
      <c r="T590" s="42" t="str">
        <f>=IF(ISBLANK(Q590), "", "Hayır")</f>
      </c>
      <c r="U590" s="43"/>
      <c r="V590" s="44" t="inlineStr">
        <is>
          <t>50461ed1-c2c8-4393-967e-55d58a3e2664</t>
        </is>
      </c>
    </row>
    <row r="591">
      <c r="A591" s="23" t="inlineStr">
        <is>
          <t>Alohomora Kapı Önü Paspası Harry Potter Paspas Kıl Paspas Koko Paspas Dış Kapı Paspası Baskılı</t>
        </is>
      </c>
      <c r="B591" s="24" t="inlineStr">
        <is>
          <t>77346669</t>
        </is>
      </c>
      <c r="C591" s="25" t="inlineStr">
        <is>
          <t>TYKOP4070383</t>
        </is>
      </c>
      <c r="D591" s="26" t="inlineStr">
        <is>
          <t>KOKO--40x70--TYKOP00384</t>
        </is>
      </c>
      <c r="E591" s="27" t="inlineStr">
        <is>
          <t>40 x 70</t>
        </is>
      </c>
      <c r="F591" s="28" t="inlineStr">
        <is>
          <t>TYKOP00384</t>
        </is>
      </c>
      <c r="G591" s="29" t="inlineStr">
        <is>
          <t>Kapı Önü Paspası</t>
        </is>
      </c>
      <c r="H591" s="30" t="inlineStr">
        <is>
          <t>Paspas Yap</t>
        </is>
      </c>
      <c r="I591" s="31" t="n">
        <v>93.0</v>
      </c>
      <c r="J591" s="32" t="n">
        <v>1506.0</v>
      </c>
      <c r="K591" s="33" t="n">
        <v>1069.01</v>
      </c>
      <c r="L591" s="34" t="n">
        <v>22.0</v>
      </c>
      <c r="M591" s="35" t="n">
        <v>650.41</v>
      </c>
      <c r="N591" s="36" t="inlineStr">
        <is>
          <t>25 Ağustos 08.00-1 Eylül 07.59</t>
        </is>
      </c>
      <c r="O591" s="37" t="n">
        <v>10.6</v>
      </c>
      <c r="P591" s="38" t="n">
        <v>1069.01</v>
      </c>
      <c r="Q591" s="39"/>
      <c r="R591" s="40" t="n">
        <f>=IF(AND(ISBLANK(Q591), ISBLANK(U591)), "", "7 Günlük Fiyat")</f>
        <v>0.0</v>
      </c>
      <c r="S591" s="41" t="n">
        <f>=IF(OR(Q591="", R591=""), "-", IF(ISNUMBER(SEARCH("7 Günlük", R591)), IF(Q591&lt;=M591, O591, "-"), "-"))</f>
        <v>0.0</v>
      </c>
      <c r="T591" s="42" t="str">
        <f>=IF(ISBLANK(Q591), "", "Hayır")</f>
      </c>
      <c r="U591" s="43"/>
      <c r="V591" s="44" t="inlineStr">
        <is>
          <t>50461ed1-c2c8-4393-967e-55d58a3e2664</t>
        </is>
      </c>
    </row>
    <row r="592">
      <c r="A592" s="23" t="inlineStr">
        <is>
          <t>Alohomora Kapı Önü Paspası Harry Potter Paspas Kıl Paspas Koko Paspas Dış Kapı Paspası Baskılı</t>
        </is>
      </c>
      <c r="B592" s="24" t="inlineStr">
        <is>
          <t>77346669</t>
        </is>
      </c>
      <c r="C592" s="25" t="inlineStr">
        <is>
          <t>TYKOP3360383</t>
        </is>
      </c>
      <c r="D592" s="26" t="inlineStr">
        <is>
          <t>KOKO--33x60--TYKOP00384</t>
        </is>
      </c>
      <c r="E592" s="27" t="inlineStr">
        <is>
          <t>33 x 60</t>
        </is>
      </c>
      <c r="F592" s="28" t="inlineStr">
        <is>
          <t>TYKOP00384</t>
        </is>
      </c>
      <c r="G592" s="29" t="inlineStr">
        <is>
          <t>Kapı Önü Paspası</t>
        </is>
      </c>
      <c r="H592" s="30" t="inlineStr">
        <is>
          <t>Paspas Yap</t>
        </is>
      </c>
      <c r="I592" s="31" t="n">
        <v>92.0</v>
      </c>
      <c r="J592" s="32" t="n">
        <v>799.0</v>
      </c>
      <c r="K592" s="33" t="n">
        <v>799.0</v>
      </c>
      <c r="L592" s="34" t="n">
        <v>22.0</v>
      </c>
      <c r="M592" s="35" t="n">
        <v>535.87</v>
      </c>
      <c r="N592" s="36" t="inlineStr">
        <is>
          <t>25 Ağustos 08.00-1 Eylül 07.59</t>
        </is>
      </c>
      <c r="O592" s="37" t="n">
        <v>14.9</v>
      </c>
      <c r="P592" s="38" t="n">
        <v>799.0</v>
      </c>
      <c r="Q592" s="39"/>
      <c r="R592" s="40" t="n">
        <f>=IF(AND(ISBLANK(Q592), ISBLANK(U592)), "", "7 Günlük Fiyat")</f>
        <v>0.0</v>
      </c>
      <c r="S592" s="41" t="n">
        <f>=IF(OR(Q592="", R592=""), "-", IF(ISNUMBER(SEARCH("7 Günlük", R592)), IF(Q592&lt;=M592, O592, "-"), "-"))</f>
        <v>0.0</v>
      </c>
      <c r="T592" s="42" t="str">
        <f>=IF(ISBLANK(Q592), "", "Hayır")</f>
      </c>
      <c r="U592" s="43"/>
      <c r="V592" s="44" t="inlineStr">
        <is>
          <t>50461ed1-c2c8-4393-967e-55d58a3e2664</t>
        </is>
      </c>
    </row>
    <row r="593">
      <c r="A593" s="23" t="inlineStr">
        <is>
          <t>Alohomora Kapı Önü Paspası Harry Potter Paspas Kıl Paspas Koko Paspas Dış Kapı Paspası Baskılı</t>
        </is>
      </c>
      <c r="B593" s="24" t="inlineStr">
        <is>
          <t>77346669</t>
        </is>
      </c>
      <c r="C593" s="25" t="inlineStr">
        <is>
          <t>TYKOP4060383</t>
        </is>
      </c>
      <c r="D593" s="26" t="inlineStr">
        <is>
          <t>KOKO--40x60--TYKOP00384</t>
        </is>
      </c>
      <c r="E593" s="27" t="inlineStr">
        <is>
          <t>40 x 60</t>
        </is>
      </c>
      <c r="F593" s="28" t="inlineStr">
        <is>
          <t>TYKOP00384</t>
        </is>
      </c>
      <c r="G593" s="29" t="inlineStr">
        <is>
          <t>Kapı Önü Paspası</t>
        </is>
      </c>
      <c r="H593" s="30" t="inlineStr">
        <is>
          <t>Paspas Yap</t>
        </is>
      </c>
      <c r="I593" s="31" t="n">
        <v>93.0</v>
      </c>
      <c r="J593" s="32" t="n">
        <v>988.0</v>
      </c>
      <c r="K593" s="33" t="n">
        <v>988.0</v>
      </c>
      <c r="L593" s="34" t="n">
        <v>22.0</v>
      </c>
      <c r="M593" s="35" t="n">
        <v>612.76</v>
      </c>
      <c r="N593" s="36" t="inlineStr">
        <is>
          <t>25 Ağustos 08.00-1 Eylül 07.59</t>
        </is>
      </c>
      <c r="O593" s="37" t="n">
        <v>15.1</v>
      </c>
      <c r="P593" s="38" t="n">
        <v>988.0</v>
      </c>
      <c r="Q593" s="39"/>
      <c r="R593" s="40" t="n">
        <f>=IF(AND(ISBLANK(Q593), ISBLANK(U593)), "", "7 Günlük Fiyat")</f>
        <v>0.0</v>
      </c>
      <c r="S593" s="41" t="n">
        <f>=IF(OR(Q593="", R593=""), "-", IF(ISNUMBER(SEARCH("7 Günlük", R593)), IF(Q593&lt;=M593, O593, "-"), "-"))</f>
        <v>0.0</v>
      </c>
      <c r="T593" s="42" t="str">
        <f>=IF(ISBLANK(Q593), "", "Hayır")</f>
      </c>
      <c r="U593" s="43"/>
      <c r="V593" s="44" t="inlineStr">
        <is>
          <t>50461ed1-c2c8-4393-967e-55d58a3e2664</t>
        </is>
      </c>
    </row>
    <row r="594">
      <c r="A594" s="23" t="inlineStr">
        <is>
          <t>Alohomora Kapı Önü Paspası Harry Potter Paspas Kıl Paspas Koko Paspas Dış Kapı Paspası Baskılı</t>
        </is>
      </c>
      <c r="B594" s="24" t="inlineStr">
        <is>
          <t>77346669</t>
        </is>
      </c>
      <c r="C594" s="25" t="inlineStr">
        <is>
          <t>TYKOP5090383</t>
        </is>
      </c>
      <c r="D594" s="26" t="inlineStr">
        <is>
          <t>KOKO--50x90--TYKOP00384</t>
        </is>
      </c>
      <c r="E594" s="27" t="inlineStr">
        <is>
          <t>50 x 90</t>
        </is>
      </c>
      <c r="F594" s="28" t="inlineStr">
        <is>
          <t>TYKOP00384</t>
        </is>
      </c>
      <c r="G594" s="29" t="inlineStr">
        <is>
          <t>Kapı Önü Paspası</t>
        </is>
      </c>
      <c r="H594" s="30" t="inlineStr">
        <is>
          <t>Paspas Yap</t>
        </is>
      </c>
      <c r="I594" s="31" t="n">
        <v>93.0</v>
      </c>
      <c r="J594" s="32" t="n">
        <v>2199.0</v>
      </c>
      <c r="K594" s="33" t="n">
        <v>1937.29</v>
      </c>
      <c r="L594" s="34" t="n">
        <v>22.0</v>
      </c>
      <c r="M594" s="35" t="n">
        <v>1163.26</v>
      </c>
      <c r="N594" s="36" t="inlineStr">
        <is>
          <t>25 Ağustos 08.00-1 Eylül 07.59</t>
        </is>
      </c>
      <c r="O594" s="37" t="n">
        <v>12.0</v>
      </c>
      <c r="P594" s="38" t="n">
        <v>1937.29</v>
      </c>
      <c r="Q594" s="39"/>
      <c r="R594" s="40" t="n">
        <f>=IF(AND(ISBLANK(Q594), ISBLANK(U594)), "", "7 Günlük Fiyat")</f>
        <v>0.0</v>
      </c>
      <c r="S594" s="41" t="n">
        <f>=IF(OR(Q594="", R594=""), "-", IF(ISNUMBER(SEARCH("7 Günlük", R594)), IF(Q594&lt;=M594, O594, "-"), "-"))</f>
        <v>0.0</v>
      </c>
      <c r="T594" s="42" t="str">
        <f>=IF(ISBLANK(Q594), "", "Hayır")</f>
      </c>
      <c r="U594" s="43"/>
      <c r="V594" s="44" t="inlineStr">
        <is>
          <t>50461ed1-c2c8-4393-967e-55d58a3e2664</t>
        </is>
      </c>
    </row>
    <row r="595">
      <c r="A595" s="23" t="inlineStr">
        <is>
          <t>Toz Ve Nem Alıcı Paspas Iş Yeri Paspası Iç Ve Dış Mekan Paspası Giriş Paspası Kapı Paspası</t>
        </is>
      </c>
      <c r="B595" s="24" t="inlineStr">
        <is>
          <t>780287428</t>
        </is>
      </c>
      <c r="C595" s="25" t="inlineStr">
        <is>
          <t>TOZKONTROL-IYP2-RAMPASIZ-KIRMIZI-60x100</t>
        </is>
      </c>
      <c r="D595" s="26" t="inlineStr">
        <is>
          <t>TOZKONTROL-IYP2-RAMPASIZ-KIRMIZI-60x100</t>
        </is>
      </c>
      <c r="E595" s="27" t="inlineStr">
        <is>
          <t>60 x 100</t>
        </is>
      </c>
      <c r="F595" s="28" t="inlineStr">
        <is>
          <t>TOZKONTROL-IYP2-RAMPASIZ</t>
        </is>
      </c>
      <c r="G595" s="29" t="inlineStr">
        <is>
          <t>Kapı Önü Paspası</t>
        </is>
      </c>
      <c r="H595" s="30" t="inlineStr">
        <is>
          <t>Paspas Yap</t>
        </is>
      </c>
      <c r="I595" s="31" t="n">
        <v>93.0</v>
      </c>
      <c r="J595" s="32" t="n">
        <v>1095.0</v>
      </c>
      <c r="K595" s="33" t="n">
        <v>892.55</v>
      </c>
      <c r="L595" s="34" t="n">
        <v>22.0</v>
      </c>
      <c r="M595" s="35" t="n">
        <v>657.15</v>
      </c>
      <c r="N595" s="36" t="inlineStr">
        <is>
          <t>25 Ağustos 08.00-1 Eylül 07.59</t>
        </is>
      </c>
      <c r="O595" s="37" t="n">
        <v>15.5</v>
      </c>
      <c r="P595" s="38" t="n">
        <v>892.55</v>
      </c>
      <c r="Q595" s="39"/>
      <c r="R595" s="40" t="n">
        <f>=IF(AND(ISBLANK(Q595), ISBLANK(U595)), "", "7 Günlük Fiyat")</f>
        <v>0.0</v>
      </c>
      <c r="S595" s="41" t="n">
        <f>=IF(OR(Q595="", R595=""), "-", IF(ISNUMBER(SEARCH("7 Günlük", R595)), IF(Q595&lt;=M595, O595, "-"), "-"))</f>
        <v>0.0</v>
      </c>
      <c r="T595" s="42" t="str">
        <f>=IF(ISBLANK(Q595), "", "Hayır")</f>
      </c>
      <c r="U595" s="43"/>
      <c r="V595" s="44" t="inlineStr">
        <is>
          <t>50461ed1-c2c8-4393-967e-55d58a3e2664</t>
        </is>
      </c>
    </row>
    <row r="596">
      <c r="A596" s="23" t="inlineStr">
        <is>
          <t>Toz Ve Nem Alıcı Paspas Iş Yeri Paspası Iç Ve Dış Mekan Paspası Giriş Paspası Kapı Paspası</t>
        </is>
      </c>
      <c r="B596" s="24" t="inlineStr">
        <is>
          <t>780287428</t>
        </is>
      </c>
      <c r="C596" s="25" t="inlineStr">
        <is>
          <t>TOZKONTROL-IYP2-RAMPASIZ-KIRMIZI-80150</t>
        </is>
      </c>
      <c r="D596" s="26" t="inlineStr">
        <is>
          <t>TOZKONTROL-IYP2-RAMPASIZ-KIRMIZI-80150</t>
        </is>
      </c>
      <c r="E596" s="27" t="inlineStr">
        <is>
          <t>80 x 150</t>
        </is>
      </c>
      <c r="F596" s="28" t="inlineStr">
        <is>
          <t>TOZKONTROL-IYP2-RAMPASIZ</t>
        </is>
      </c>
      <c r="G596" s="29" t="inlineStr">
        <is>
          <t>Kapı Önü Paspası</t>
        </is>
      </c>
      <c r="H596" s="30" t="inlineStr">
        <is>
          <t>Paspas Yap</t>
        </is>
      </c>
      <c r="I596" s="31" t="n">
        <v>93.0</v>
      </c>
      <c r="J596" s="32" t="n">
        <v>1949.0</v>
      </c>
      <c r="K596" s="33" t="n">
        <v>1532.24</v>
      </c>
      <c r="L596" s="34" t="n">
        <v>22.0</v>
      </c>
      <c r="M596" s="35" t="n">
        <v>1099.45</v>
      </c>
      <c r="N596" s="36" t="inlineStr">
        <is>
          <t>25 Ağustos 08.00-1 Eylül 07.59</t>
        </is>
      </c>
      <c r="O596" s="37" t="n">
        <v>14.4</v>
      </c>
      <c r="P596" s="38" t="n">
        <v>1532.24</v>
      </c>
      <c r="Q596" s="39"/>
      <c r="R596" s="40" t="n">
        <f>=IF(AND(ISBLANK(Q596), ISBLANK(U596)), "", "7 Günlük Fiyat")</f>
        <v>0.0</v>
      </c>
      <c r="S596" s="41" t="n">
        <f>=IF(OR(Q596="", R596=""), "-", IF(ISNUMBER(SEARCH("7 Günlük", R596)), IF(Q596&lt;=M596, O596, "-"), "-"))</f>
        <v>0.0</v>
      </c>
      <c r="T596" s="42" t="str">
        <f>=IF(ISBLANK(Q596), "", "Hayır")</f>
      </c>
      <c r="U596" s="43"/>
      <c r="V596" s="44" t="inlineStr">
        <is>
          <t>50461ed1-c2c8-4393-967e-55d58a3e2664</t>
        </is>
      </c>
    </row>
    <row r="597">
      <c r="A597" s="23" t="inlineStr">
        <is>
          <t>Toz Ve Nem Alıcı Paspas Iş Yeri Paspası Iç Ve Dış Mekan Paspası Giriş Paspası Kapı Paspası</t>
        </is>
      </c>
      <c r="B597" s="24" t="inlineStr">
        <is>
          <t>780287428</t>
        </is>
      </c>
      <c r="C597" s="25" t="inlineStr">
        <is>
          <t>TOZKONTROL-IYP2-RAMPASIZ-KIRMIZI-1001500</t>
        </is>
      </c>
      <c r="D597" s="26" t="inlineStr">
        <is>
          <t>TOZKONTROL-IYP2-RAMPASIZ-KIRMIZI-1001500</t>
        </is>
      </c>
      <c r="E597" s="27" t="inlineStr">
        <is>
          <t>100 x 1500</t>
        </is>
      </c>
      <c r="F597" s="28" t="inlineStr">
        <is>
          <t>TOZKONTROL-IYP2-RAMPASIZ</t>
        </is>
      </c>
      <c r="G597" s="29" t="inlineStr">
        <is>
          <t>Kapı Önü Paspası</t>
        </is>
      </c>
      <c r="H597" s="30" t="inlineStr">
        <is>
          <t>Paspas Yap</t>
        </is>
      </c>
      <c r="I597" s="31" t="n">
        <v>93.0</v>
      </c>
      <c r="J597" s="32" t="n">
        <v>20929.0</v>
      </c>
      <c r="K597" s="33" t="n">
        <v>16154.64</v>
      </c>
      <c r="L597" s="34" t="n">
        <v>22.0</v>
      </c>
      <c r="M597" s="35" t="n">
        <v>10876.87</v>
      </c>
      <c r="N597" s="36" t="inlineStr">
        <is>
          <t>25 Ağustos 08.00-1 Eylül 07.59</t>
        </is>
      </c>
      <c r="O597" s="37" t="n">
        <v>13.1</v>
      </c>
      <c r="P597" s="38" t="n">
        <v>16154.64</v>
      </c>
      <c r="Q597" s="39"/>
      <c r="R597" s="40" t="n">
        <f>=IF(AND(ISBLANK(Q597), ISBLANK(U597)), "", "7 Günlük Fiyat")</f>
        <v>0.0</v>
      </c>
      <c r="S597" s="41" t="n">
        <f>=IF(OR(Q597="", R597=""), "-", IF(ISNUMBER(SEARCH("7 Günlük", R597)), IF(Q597&lt;=M597, O597, "-"), "-"))</f>
        <v>0.0</v>
      </c>
      <c r="T597" s="42" t="str">
        <f>=IF(ISBLANK(Q597), "", "Hayır")</f>
      </c>
      <c r="U597" s="43"/>
      <c r="V597" s="44" t="inlineStr">
        <is>
          <t>50461ed1-c2c8-4393-967e-55d58a3e2664</t>
        </is>
      </c>
    </row>
    <row r="598">
      <c r="A598" s="23" t="inlineStr">
        <is>
          <t>Toz Ve Nem Alıcı Paspas Iş Yeri Paspası Iç Ve Dış Mekan Paspası Giriş Paspası Kapı Paspası</t>
        </is>
      </c>
      <c r="B598" s="24" t="inlineStr">
        <is>
          <t>780287428</t>
        </is>
      </c>
      <c r="C598" s="25" t="inlineStr">
        <is>
          <t>TOZKONTROL-IYP2-RAMPASIZ-KIRMIZI-1201250</t>
        </is>
      </c>
      <c r="D598" s="26" t="inlineStr">
        <is>
          <t>TOZKONTROL-IYP2-RAMPASIZ-KIRMIZI-1201250</t>
        </is>
      </c>
      <c r="E598" s="27" t="inlineStr">
        <is>
          <t>120 x 1250</t>
        </is>
      </c>
      <c r="F598" s="28" t="inlineStr">
        <is>
          <t>TOZKONTROL-IYP2-RAMPASIZ</t>
        </is>
      </c>
      <c r="G598" s="29" t="inlineStr">
        <is>
          <t>Kapı Önü Paspası</t>
        </is>
      </c>
      <c r="H598" s="30" t="inlineStr">
        <is>
          <t>Paspas Yap</t>
        </is>
      </c>
      <c r="I598" s="31" t="n">
        <v>93.0</v>
      </c>
      <c r="J598" s="32" t="n">
        <v>20929.0</v>
      </c>
      <c r="K598" s="33" t="n">
        <v>17114.65</v>
      </c>
      <c r="L598" s="34" t="n">
        <v>22.0</v>
      </c>
      <c r="M598" s="35" t="n">
        <v>11605.62</v>
      </c>
      <c r="N598" s="36" t="inlineStr">
        <is>
          <t>25 Ağustos 08.00-1 Eylül 07.59</t>
        </is>
      </c>
      <c r="O598" s="37" t="n">
        <v>13.4</v>
      </c>
      <c r="P598" s="38" t="n">
        <v>17114.65</v>
      </c>
      <c r="Q598" s="39"/>
      <c r="R598" s="40" t="n">
        <f>=IF(AND(ISBLANK(Q598), ISBLANK(U598)), "", "7 Günlük Fiyat")</f>
        <v>0.0</v>
      </c>
      <c r="S598" s="41" t="n">
        <f>=IF(OR(Q598="", R598=""), "-", IF(ISNUMBER(SEARCH("7 Günlük", R598)), IF(Q598&lt;=M598, O598, "-"), "-"))</f>
        <v>0.0</v>
      </c>
      <c r="T598" s="42" t="str">
        <f>=IF(ISBLANK(Q598), "", "Hayır")</f>
      </c>
      <c r="U598" s="43"/>
      <c r="V598" s="44" t="inlineStr">
        <is>
          <t>50461ed1-c2c8-4393-967e-55d58a3e2664</t>
        </is>
      </c>
    </row>
    <row r="599">
      <c r="A599" s="23" t="inlineStr">
        <is>
          <t>Toz Ve Nem Alıcı Paspas Iş Yeri Paspası Iç Ve Dış Mekan Paspası Giriş Paspası Kapı Paspası</t>
        </is>
      </c>
      <c r="B599" s="24" t="inlineStr">
        <is>
          <t>780287428</t>
        </is>
      </c>
      <c r="C599" s="25" t="inlineStr">
        <is>
          <t>TOZKONTROL-IYP2-RAMPASIZ-KIRMIZI-801200</t>
        </is>
      </c>
      <c r="D599" s="26" t="inlineStr">
        <is>
          <t>TOZKONTROL-IYP2-RAMPASIZ-KIRMIZI-801200</t>
        </is>
      </c>
      <c r="E599" s="27" t="inlineStr">
        <is>
          <t>80 x 1200</t>
        </is>
      </c>
      <c r="F599" s="28" t="inlineStr">
        <is>
          <t>TOZKONTROL-IYP2-RAMPASIZ</t>
        </is>
      </c>
      <c r="G599" s="29" t="inlineStr">
        <is>
          <t>Kapı Önü Paspası</t>
        </is>
      </c>
      <c r="H599" s="30" t="inlineStr">
        <is>
          <t>Paspas Yap</t>
        </is>
      </c>
      <c r="I599" s="31" t="n">
        <v>93.0</v>
      </c>
      <c r="J599" s="32" t="n">
        <v>13163.0</v>
      </c>
      <c r="K599" s="33" t="n">
        <v>10152.66</v>
      </c>
      <c r="L599" s="34" t="n">
        <v>22.0</v>
      </c>
      <c r="M599" s="35" t="n">
        <v>6849.99</v>
      </c>
      <c r="N599" s="36" t="inlineStr">
        <is>
          <t>25 Ağustos 08.00-1 Eylül 07.59</t>
        </is>
      </c>
      <c r="O599" s="37" t="n">
        <v>13.2</v>
      </c>
      <c r="P599" s="38" t="n">
        <v>10152.66</v>
      </c>
      <c r="Q599" s="39"/>
      <c r="R599" s="40" t="n">
        <f>=IF(AND(ISBLANK(Q599), ISBLANK(U599)), "", "7 Günlük Fiyat")</f>
        <v>0.0</v>
      </c>
      <c r="S599" s="41" t="n">
        <f>=IF(OR(Q599="", R599=""), "-", IF(ISNUMBER(SEARCH("7 Günlük", R599)), IF(Q599&lt;=M599, O599, "-"), "-"))</f>
        <v>0.0</v>
      </c>
      <c r="T599" s="42" t="str">
        <f>=IF(ISBLANK(Q599), "", "Hayır")</f>
      </c>
      <c r="U599" s="43"/>
      <c r="V599" s="44" t="inlineStr">
        <is>
          <t>50461ed1-c2c8-4393-967e-55d58a3e2664</t>
        </is>
      </c>
    </row>
    <row r="600">
      <c r="A600" s="23" t="inlineStr">
        <is>
          <t>Toz Ve Nem Alıcı Paspas Iş Yeri Paspası Iç Ve Dış Mekan Paspası Giriş Paspası Kapı Paspası</t>
        </is>
      </c>
      <c r="B600" s="24" t="inlineStr">
        <is>
          <t>780287428</t>
        </is>
      </c>
      <c r="C600" s="25" t="inlineStr">
        <is>
          <t>TOZKONTROL-IYP2-RAMPASIZ-KIRMIZI-100x300</t>
        </is>
      </c>
      <c r="D600" s="26" t="inlineStr">
        <is>
          <t>TOZKONTROL-IYP2-RAMPASIZ-KIRMIZI-100x300</t>
        </is>
      </c>
      <c r="E600" s="27" t="inlineStr">
        <is>
          <t>100 x 300</t>
        </is>
      </c>
      <c r="F600" s="28" t="inlineStr">
        <is>
          <t>TOZKONTROL-IYP2-RAMPASIZ</t>
        </is>
      </c>
      <c r="G600" s="29" t="inlineStr">
        <is>
          <t>Kapı Önü Paspası</t>
        </is>
      </c>
      <c r="H600" s="30" t="inlineStr">
        <is>
          <t>Paspas Yap</t>
        </is>
      </c>
      <c r="I600" s="31" t="n">
        <v>93.0</v>
      </c>
      <c r="J600" s="32" t="n">
        <v>4191.0</v>
      </c>
      <c r="K600" s="33" t="n">
        <v>3200.91</v>
      </c>
      <c r="L600" s="34" t="n">
        <v>22.0</v>
      </c>
      <c r="M600" s="35" t="n">
        <v>2220.98</v>
      </c>
      <c r="N600" s="36" t="inlineStr">
        <is>
          <t>25 Ağustos 08.00-1 Eylül 07.59</t>
        </is>
      </c>
      <c r="O600" s="37" t="n">
        <v>13.5</v>
      </c>
      <c r="P600" s="38" t="n">
        <v>3200.91</v>
      </c>
      <c r="Q600" s="39"/>
      <c r="R600" s="40" t="n">
        <f>=IF(AND(ISBLANK(Q600), ISBLANK(U600)), "", "7 Günlük Fiyat")</f>
        <v>0.0</v>
      </c>
      <c r="S600" s="41" t="n">
        <f>=IF(OR(Q600="", R600=""), "-", IF(ISNUMBER(SEARCH("7 Günlük", R600)), IF(Q600&lt;=M600, O600, "-"), "-"))</f>
        <v>0.0</v>
      </c>
      <c r="T600" s="42" t="str">
        <f>=IF(ISBLANK(Q600), "", "Hayır")</f>
      </c>
      <c r="U600" s="43"/>
      <c r="V600" s="44" t="inlineStr">
        <is>
          <t>50461ed1-c2c8-4393-967e-55d58a3e2664</t>
        </is>
      </c>
    </row>
    <row r="601">
      <c r="A601" s="23" t="inlineStr">
        <is>
          <t>Toz Ve Nem Alıcı Paspas Iş Yeri Paspası Iç Ve Dış Mekan Paspası Giriş Paspası Kapı Paspası</t>
        </is>
      </c>
      <c r="B601" s="24" t="inlineStr">
        <is>
          <t>780287428</t>
        </is>
      </c>
      <c r="C601" s="25" t="inlineStr">
        <is>
          <t>TOZKONTROL-IYP2-RAMPASIZ-KIRMIZI-1001350</t>
        </is>
      </c>
      <c r="D601" s="26" t="inlineStr">
        <is>
          <t>TOZKONTROL-IYP2-RAMPASIZ-KIRMIZI-1001350</t>
        </is>
      </c>
      <c r="E601" s="27" t="inlineStr">
        <is>
          <t>100 x 1350</t>
        </is>
      </c>
      <c r="F601" s="28" t="inlineStr">
        <is>
          <t>TOZKONTROL-IYP2-RAMPASIZ</t>
        </is>
      </c>
      <c r="G601" s="29" t="inlineStr">
        <is>
          <t>Kapı Önü Paspası</t>
        </is>
      </c>
      <c r="H601" s="30" t="inlineStr">
        <is>
          <t>Paspas Yap</t>
        </is>
      </c>
      <c r="I601" s="31" t="n">
        <v>93.0</v>
      </c>
      <c r="J601" s="32" t="n">
        <v>18771.0</v>
      </c>
      <c r="K601" s="33" t="n">
        <v>14618.91</v>
      </c>
      <c r="L601" s="34" t="n">
        <v>22.0</v>
      </c>
      <c r="M601" s="35" t="n">
        <v>9930.44</v>
      </c>
      <c r="N601" s="36" t="inlineStr">
        <is>
          <t>25 Ağustos 08.00-1 Eylül 07.59</t>
        </is>
      </c>
      <c r="O601" s="37" t="n">
        <v>13.4</v>
      </c>
      <c r="P601" s="38" t="n">
        <v>14618.91</v>
      </c>
      <c r="Q601" s="39"/>
      <c r="R601" s="40" t="n">
        <f>=IF(AND(ISBLANK(Q601), ISBLANK(U601)), "", "7 Günlük Fiyat")</f>
        <v>0.0</v>
      </c>
      <c r="S601" s="41" t="n">
        <f>=IF(OR(Q601="", R601=""), "-", IF(ISNUMBER(SEARCH("7 Günlük", R601)), IF(Q601&lt;=M601, O601, "-"), "-"))</f>
        <v>0.0</v>
      </c>
      <c r="T601" s="42" t="str">
        <f>=IF(ISBLANK(Q601), "", "Hayır")</f>
      </c>
      <c r="U601" s="43"/>
      <c r="V601" s="44" t="inlineStr">
        <is>
          <t>50461ed1-c2c8-4393-967e-55d58a3e2664</t>
        </is>
      </c>
    </row>
    <row r="602">
      <c r="A602" s="23" t="inlineStr">
        <is>
          <t>Toz Ve Nem Alıcı Paspas Iş Yeri Paspası Iç Ve Dış Mekan Paspası Giriş Paspası Kapı Paspası</t>
        </is>
      </c>
      <c r="B602" s="24" t="inlineStr">
        <is>
          <t>780287428</t>
        </is>
      </c>
      <c r="C602" s="25" t="inlineStr">
        <is>
          <t>TOZKONTROL-RAMPASIZ-KIRMIZI-100x1000</t>
        </is>
      </c>
      <c r="D602" s="26" t="inlineStr">
        <is>
          <t>TOZKONTROL-RAMPASIZ-KIRMIZI-100x1000</t>
        </is>
      </c>
      <c r="E602" s="27" t="inlineStr">
        <is>
          <t>100 x 1000</t>
        </is>
      </c>
      <c r="F602" s="28" t="inlineStr">
        <is>
          <t>TOZKONTROL-IYP2-RAMPASIZ</t>
        </is>
      </c>
      <c r="G602" s="29" t="inlineStr">
        <is>
          <t>Kapı Önü Paspası</t>
        </is>
      </c>
      <c r="H602" s="30" t="inlineStr">
        <is>
          <t>Paspas Yap</t>
        </is>
      </c>
      <c r="I602" s="31" t="n">
        <v>93.0</v>
      </c>
      <c r="J602" s="32" t="n">
        <v>13799.0</v>
      </c>
      <c r="K602" s="33" t="n">
        <v>10764.18</v>
      </c>
      <c r="L602" s="34" t="n">
        <v>22.0</v>
      </c>
      <c r="M602" s="35" t="n">
        <v>7110.25</v>
      </c>
      <c r="N602" s="36" t="inlineStr">
        <is>
          <t>25 Ağustos 08.00-1 Eylül 07.59</t>
        </is>
      </c>
      <c r="O602" s="37" t="n">
        <v>12.9</v>
      </c>
      <c r="P602" s="38" t="n">
        <v>10764.18</v>
      </c>
      <c r="Q602" s="39"/>
      <c r="R602" s="40" t="n">
        <f>=IF(AND(ISBLANK(Q602), ISBLANK(U602)), "", "7 Günlük Fiyat")</f>
        <v>0.0</v>
      </c>
      <c r="S602" s="41" t="n">
        <f>=IF(OR(Q602="", R602=""), "-", IF(ISNUMBER(SEARCH("7 Günlük", R602)), IF(Q602&lt;=M602, O602, "-"), "-"))</f>
        <v>0.0</v>
      </c>
      <c r="T602" s="42" t="str">
        <f>=IF(ISBLANK(Q602), "", "Hayır")</f>
      </c>
      <c r="U602" s="43"/>
      <c r="V602" s="44" t="inlineStr">
        <is>
          <t>50461ed1-c2c8-4393-967e-55d58a3e2664</t>
        </is>
      </c>
    </row>
    <row r="603">
      <c r="A603" s="23" t="inlineStr">
        <is>
          <t>Toz Ve Nem Alıcı Paspas Iş Yeri Paspası Iç Ve Dış Mekan Paspası Giriş Paspası Kapı Paspası</t>
        </is>
      </c>
      <c r="B603" s="24" t="inlineStr">
        <is>
          <t>780287428</t>
        </is>
      </c>
      <c r="C603" s="25" t="inlineStr">
        <is>
          <t>TOZKONTROL-IYP2-RAMPASIZ-KIRMIZI-100120</t>
        </is>
      </c>
      <c r="D603" s="26" t="inlineStr">
        <is>
          <t>TOZKONTROL-IYP2-RAMPASIZ-KIRMIZI-100120</t>
        </is>
      </c>
      <c r="E603" s="27" t="inlineStr">
        <is>
          <t>100 x 120</t>
        </is>
      </c>
      <c r="F603" s="28" t="inlineStr">
        <is>
          <t>TOZKONTROL-IYP2-RAMPASIZ</t>
        </is>
      </c>
      <c r="G603" s="29" t="inlineStr">
        <is>
          <t>Kapı Önü Paspası</t>
        </is>
      </c>
      <c r="H603" s="30" t="inlineStr">
        <is>
          <t>Paspas Yap</t>
        </is>
      </c>
      <c r="I603" s="31" t="n">
        <v>93.0</v>
      </c>
      <c r="J603" s="32" t="n">
        <v>1949.0</v>
      </c>
      <c r="K603" s="33" t="n">
        <v>1534.76</v>
      </c>
      <c r="L603" s="34" t="n">
        <v>22.0</v>
      </c>
      <c r="M603" s="35" t="n">
        <v>1120.34</v>
      </c>
      <c r="N603" s="36" t="inlineStr">
        <is>
          <t>25 Ağustos 08.00-1 Eylül 07.59</t>
        </is>
      </c>
      <c r="O603" s="37" t="n">
        <v>14.5</v>
      </c>
      <c r="P603" s="38" t="n">
        <v>1534.76</v>
      </c>
      <c r="Q603" s="39"/>
      <c r="R603" s="40" t="n">
        <f>=IF(AND(ISBLANK(Q603), ISBLANK(U603)), "", "7 Günlük Fiyat")</f>
        <v>0.0</v>
      </c>
      <c r="S603" s="41" t="n">
        <f>=IF(OR(Q603="", R603=""), "-", IF(ISNUMBER(SEARCH("7 Günlük", R603)), IF(Q603&lt;=M603, O603, "-"), "-"))</f>
        <v>0.0</v>
      </c>
      <c r="T603" s="42" t="str">
        <f>=IF(ISBLANK(Q603), "", "Hayır")</f>
      </c>
      <c r="U603" s="43"/>
      <c r="V603" s="44" t="inlineStr">
        <is>
          <t>50461ed1-c2c8-4393-967e-55d58a3e2664</t>
        </is>
      </c>
    </row>
    <row r="604">
      <c r="A604" s="23" t="inlineStr">
        <is>
          <t>Toz Ve Nem Alıcı Paspas Iş Yeri Paspası Iç Ve Dış Mekan Paspası Giriş Paspası Kapı Paspası</t>
        </is>
      </c>
      <c r="B604" s="24" t="inlineStr">
        <is>
          <t>780287428</t>
        </is>
      </c>
      <c r="C604" s="25" t="inlineStr">
        <is>
          <t>TOZKONTROL-IYP2-RAMPASIZ-KIRMIZI-1201000</t>
        </is>
      </c>
      <c r="D604" s="26" t="inlineStr">
        <is>
          <t>TOZKONTROL-IYP2-RAMPASIZ-KIRMIZI-1201000</t>
        </is>
      </c>
      <c r="E604" s="27" t="inlineStr">
        <is>
          <t>120 x 1000</t>
        </is>
      </c>
      <c r="F604" s="28" t="inlineStr">
        <is>
          <t>TOZKONTROL-IYP2-RAMPASIZ</t>
        </is>
      </c>
      <c r="G604" s="29" t="inlineStr">
        <is>
          <t>Kapı Önü Paspası</t>
        </is>
      </c>
      <c r="H604" s="30" t="inlineStr">
        <is>
          <t>Paspas Yap</t>
        </is>
      </c>
      <c r="I604" s="31" t="n">
        <v>93.0</v>
      </c>
      <c r="J604" s="32" t="n">
        <v>16611.0</v>
      </c>
      <c r="K604" s="33" t="n">
        <v>12840.9</v>
      </c>
      <c r="L604" s="34" t="n">
        <v>22.0</v>
      </c>
      <c r="M604" s="35" t="n">
        <v>8812.84</v>
      </c>
      <c r="N604" s="36" t="inlineStr">
        <is>
          <t>25 Ağustos 08.00-1 Eylül 07.59</t>
        </is>
      </c>
      <c r="O604" s="37" t="n">
        <v>13.5</v>
      </c>
      <c r="P604" s="38" t="n">
        <v>12840.9</v>
      </c>
      <c r="Q604" s="39"/>
      <c r="R604" s="40" t="n">
        <f>=IF(AND(ISBLANK(Q604), ISBLANK(U604)), "", "7 Günlük Fiyat")</f>
        <v>0.0</v>
      </c>
      <c r="S604" s="41" t="n">
        <f>=IF(OR(Q604="", R604=""), "-", IF(ISNUMBER(SEARCH("7 Günlük", R604)), IF(Q604&lt;=M604, O604, "-"), "-"))</f>
        <v>0.0</v>
      </c>
      <c r="T604" s="42" t="str">
        <f>=IF(ISBLANK(Q604), "", "Hayır")</f>
      </c>
      <c r="U604" s="43"/>
      <c r="V604" s="44" t="inlineStr">
        <is>
          <t>50461ed1-c2c8-4393-967e-55d58a3e2664</t>
        </is>
      </c>
    </row>
    <row r="605">
      <c r="A605" s="23" t="inlineStr">
        <is>
          <t>Toz Ve Nem Alıcı Paspas Iş Yeri Paspası Iç Ve Dış Mekan Paspası Giriş Paspası Kapı Paspası</t>
        </is>
      </c>
      <c r="B605" s="24" t="inlineStr">
        <is>
          <t>780287428</t>
        </is>
      </c>
      <c r="C605" s="25" t="inlineStr">
        <is>
          <t>TOZKONTROL-IYP2-RAMPASIZ-KIRMIZI-120900</t>
        </is>
      </c>
      <c r="D605" s="26" t="inlineStr">
        <is>
          <t>TOZKONTROL-IYP2-RAMPASIZ-KIRMIZI-120900</t>
        </is>
      </c>
      <c r="E605" s="27" t="inlineStr">
        <is>
          <t>120 x 900</t>
        </is>
      </c>
      <c r="F605" s="28" t="inlineStr">
        <is>
          <t>TOZKONTROL-IYP2-RAMPASIZ</t>
        </is>
      </c>
      <c r="G605" s="29" t="inlineStr">
        <is>
          <t>Kapı Önü Paspası</t>
        </is>
      </c>
      <c r="H605" s="30" t="inlineStr">
        <is>
          <t>Paspas Yap</t>
        </is>
      </c>
      <c r="I605" s="31" t="n">
        <v>93.0</v>
      </c>
      <c r="J605" s="32" t="n">
        <v>14949.0</v>
      </c>
      <c r="K605" s="33" t="n">
        <v>12285.38</v>
      </c>
      <c r="L605" s="34" t="n">
        <v>22.0</v>
      </c>
      <c r="M605" s="35" t="n">
        <v>8894.35</v>
      </c>
      <c r="N605" s="36" t="inlineStr">
        <is>
          <t>25 Ağustos 08.00-1 Eylül 07.59</t>
        </is>
      </c>
      <c r="O605" s="37" t="n">
        <v>15.1</v>
      </c>
      <c r="P605" s="38" t="n">
        <v>12285.38</v>
      </c>
      <c r="Q605" s="39"/>
      <c r="R605" s="40" t="n">
        <f>=IF(AND(ISBLANK(Q605), ISBLANK(U605)), "", "7 Günlük Fiyat")</f>
        <v>0.0</v>
      </c>
      <c r="S605" s="41" t="n">
        <f>=IF(OR(Q605="", R605=""), "-", IF(ISNUMBER(SEARCH("7 Günlük", R605)), IF(Q605&lt;=M605, O605, "-"), "-"))</f>
        <v>0.0</v>
      </c>
      <c r="T605" s="42" t="str">
        <f>=IF(ISBLANK(Q605), "", "Hayır")</f>
      </c>
      <c r="U605" s="43"/>
      <c r="V605" s="44" t="inlineStr">
        <is>
          <t>50461ed1-c2c8-4393-967e-55d58a3e2664</t>
        </is>
      </c>
    </row>
    <row r="606">
      <c r="A606" s="23" t="inlineStr">
        <is>
          <t>Toz Ve Nem Alıcı Paspas Iş Yeri Paspası Iç Ve Dış Mekan Paspası Giriş Paspası Kapı Paspası</t>
        </is>
      </c>
      <c r="B606" s="24" t="inlineStr">
        <is>
          <t>780287428</t>
        </is>
      </c>
      <c r="C606" s="25" t="inlineStr">
        <is>
          <t>TOZKONTROL-IYP2-RAMPASIZ-KIRMIZI-120200</t>
        </is>
      </c>
      <c r="D606" s="26" t="inlineStr">
        <is>
          <t>TOZKONTROL-IYP2-RAMPASIZ-KIRMIZI-120200</t>
        </is>
      </c>
      <c r="E606" s="27" t="inlineStr">
        <is>
          <t>120 x 200</t>
        </is>
      </c>
      <c r="F606" s="28" t="inlineStr">
        <is>
          <t>TOZKONTROL-IYP2-RAMPASIZ</t>
        </is>
      </c>
      <c r="G606" s="29" t="inlineStr">
        <is>
          <t>Kapı Önü Paspası</t>
        </is>
      </c>
      <c r="H606" s="30" t="inlineStr">
        <is>
          <t>Paspas Yap</t>
        </is>
      </c>
      <c r="I606" s="31" t="n">
        <v>93.0</v>
      </c>
      <c r="J606" s="32" t="n">
        <v>3449.0</v>
      </c>
      <c r="K606" s="33" t="n">
        <v>2751.87</v>
      </c>
      <c r="L606" s="34" t="n">
        <v>22.0</v>
      </c>
      <c r="M606" s="35" t="n">
        <v>1964.97</v>
      </c>
      <c r="N606" s="36" t="inlineStr">
        <is>
          <t>25 Ağustos 08.00-1 Eylül 07.59</t>
        </is>
      </c>
      <c r="O606" s="37" t="n">
        <v>14.4</v>
      </c>
      <c r="P606" s="38" t="n">
        <v>2751.87</v>
      </c>
      <c r="Q606" s="39"/>
      <c r="R606" s="40" t="n">
        <f>=IF(AND(ISBLANK(Q606), ISBLANK(U606)), "", "7 Günlük Fiyat")</f>
        <v>0.0</v>
      </c>
      <c r="S606" s="41" t="n">
        <f>=IF(OR(Q606="", R606=""), "-", IF(ISNUMBER(SEARCH("7 Günlük", R606)), IF(Q606&lt;=M606, O606, "-"), "-"))</f>
        <v>0.0</v>
      </c>
      <c r="T606" s="42" t="str">
        <f>=IF(ISBLANK(Q606), "", "Hayır")</f>
      </c>
      <c r="U606" s="43"/>
      <c r="V606" s="44" t="inlineStr">
        <is>
          <t>50461ed1-c2c8-4393-967e-55d58a3e2664</t>
        </is>
      </c>
    </row>
    <row r="607">
      <c r="A607" s="23" t="inlineStr">
        <is>
          <t>Toz Ve Nem Alıcı Paspas Iş Yeri Paspası Iç Ve Dış Mekan Paspası Giriş Paspası Kapı Paspası</t>
        </is>
      </c>
      <c r="B607" s="24" t="inlineStr">
        <is>
          <t>780287428</t>
        </is>
      </c>
      <c r="C607" s="25" t="inlineStr">
        <is>
          <t>TOZKONTROL-IYP2-RAMPASIZ-KIRMIZI-80400</t>
        </is>
      </c>
      <c r="D607" s="26" t="inlineStr">
        <is>
          <t>TOZKONTROL-IYP2-RAMPASIZ-KIRMIZI-80400</t>
        </is>
      </c>
      <c r="E607" s="27" t="inlineStr">
        <is>
          <t>80 x 400</t>
        </is>
      </c>
      <c r="F607" s="28" t="inlineStr">
        <is>
          <t>TOZKONTROL-IYP2-RAMPASIZ</t>
        </is>
      </c>
      <c r="G607" s="29" t="inlineStr">
        <is>
          <t>Kapı Önü Paspası</t>
        </is>
      </c>
      <c r="H607" s="30" t="inlineStr">
        <is>
          <t>Paspas Yap</t>
        </is>
      </c>
      <c r="I607" s="31" t="n">
        <v>93.0</v>
      </c>
      <c r="J607" s="32" t="n">
        <v>4506.0</v>
      </c>
      <c r="K607" s="33" t="n">
        <v>3635.39</v>
      </c>
      <c r="L607" s="34" t="n">
        <v>22.0</v>
      </c>
      <c r="M607" s="35" t="n">
        <v>2600.66</v>
      </c>
      <c r="N607" s="36" t="inlineStr">
        <is>
          <t>25 Ağustos 08.00-1 Eylül 07.59</t>
        </is>
      </c>
      <c r="O607" s="37" t="n">
        <v>14.5</v>
      </c>
      <c r="P607" s="38" t="n">
        <v>3635.39</v>
      </c>
      <c r="Q607" s="39"/>
      <c r="R607" s="40" t="n">
        <f>=IF(AND(ISBLANK(Q607), ISBLANK(U607)), "", "7 Günlük Fiyat")</f>
        <v>0.0</v>
      </c>
      <c r="S607" s="41" t="n">
        <f>=IF(OR(Q607="", R607=""), "-", IF(ISNUMBER(SEARCH("7 Günlük", R607)), IF(Q607&lt;=M607, O607, "-"), "-"))</f>
        <v>0.0</v>
      </c>
      <c r="T607" s="42" t="str">
        <f>=IF(ISBLANK(Q607), "", "Hayır")</f>
      </c>
      <c r="U607" s="43"/>
      <c r="V607" s="44" t="inlineStr">
        <is>
          <t>50461ed1-c2c8-4393-967e-55d58a3e2664</t>
        </is>
      </c>
    </row>
    <row r="608">
      <c r="A608" s="23" t="inlineStr">
        <is>
          <t>Toz Ve Nem Alıcı Paspas Iş Yeri Paspası Iç Ve Dış Mekan Paspası Giriş Paspası Kapı Paspası</t>
        </is>
      </c>
      <c r="B608" s="24" t="inlineStr">
        <is>
          <t>780287428</t>
        </is>
      </c>
      <c r="C608" s="25" t="inlineStr">
        <is>
          <t>TOZKONTROL-IYP2-RAMPASIZ-KIRMIZI-1001250</t>
        </is>
      </c>
      <c r="D608" s="26" t="inlineStr">
        <is>
          <t>TOZKONTROL-IYP2-RAMPASIZ-KIRMIZI-1001250</t>
        </is>
      </c>
      <c r="E608" s="27" t="inlineStr">
        <is>
          <t>100 x 1250</t>
        </is>
      </c>
      <c r="F608" s="28" t="inlineStr">
        <is>
          <t>TOZKONTROL-IYP2-RAMPASIZ</t>
        </is>
      </c>
      <c r="G608" s="29" t="inlineStr">
        <is>
          <t>Kapı Önü Paspası</t>
        </is>
      </c>
      <c r="H608" s="30" t="inlineStr">
        <is>
          <t>Paspas Yap</t>
        </is>
      </c>
      <c r="I608" s="31" t="n">
        <v>93.0</v>
      </c>
      <c r="J608" s="32" t="n">
        <v>17364.0</v>
      </c>
      <c r="K608" s="33" t="n">
        <v>14288.0</v>
      </c>
      <c r="L608" s="34" t="n">
        <v>22.0</v>
      </c>
      <c r="M608" s="35" t="n">
        <v>9693.24</v>
      </c>
      <c r="N608" s="36" t="inlineStr">
        <is>
          <t>25 Ağustos 08.00-1 Eylül 07.59</t>
        </is>
      </c>
      <c r="O608" s="37" t="n">
        <v>13.5</v>
      </c>
      <c r="P608" s="38" t="n">
        <v>14288.0</v>
      </c>
      <c r="Q608" s="39"/>
      <c r="R608" s="40" t="n">
        <f>=IF(AND(ISBLANK(Q608), ISBLANK(U608)), "", "7 Günlük Fiyat")</f>
        <v>0.0</v>
      </c>
      <c r="S608" s="41" t="n">
        <f>=IF(OR(Q608="", R608=""), "-", IF(ISNUMBER(SEARCH("7 Günlük", R608)), IF(Q608&lt;=M608, O608, "-"), "-"))</f>
        <v>0.0</v>
      </c>
      <c r="T608" s="42" t="str">
        <f>=IF(ISBLANK(Q608), "", "Hayır")</f>
      </c>
      <c r="U608" s="43"/>
      <c r="V608" s="44" t="inlineStr">
        <is>
          <t>50461ed1-c2c8-4393-967e-55d58a3e2664</t>
        </is>
      </c>
    </row>
    <row r="609">
      <c r="A609" s="23" t="inlineStr">
        <is>
          <t>Toz Ve Nem Alıcı Paspas Iş Yeri Paspası Iç Ve Dış Mekan Paspası Giriş Paspası Kapı Paspası</t>
        </is>
      </c>
      <c r="B609" s="24" t="inlineStr">
        <is>
          <t>780287428</t>
        </is>
      </c>
      <c r="C609" s="25" t="inlineStr">
        <is>
          <t>TOZKONTROL-IYP2-RAMPASIZ-KIRMIZI-100x450</t>
        </is>
      </c>
      <c r="D609" s="26" t="inlineStr">
        <is>
          <t>TOZKONTROL-IYP2-RAMPASIZ-KIRMIZI-100x450</t>
        </is>
      </c>
      <c r="E609" s="27" t="inlineStr">
        <is>
          <t>100 x 450</t>
        </is>
      </c>
      <c r="F609" s="28" t="inlineStr">
        <is>
          <t>TOZKONTROL-IYP2-RAMPASIZ</t>
        </is>
      </c>
      <c r="G609" s="29" t="inlineStr">
        <is>
          <t>Kapı Önü Paspası</t>
        </is>
      </c>
      <c r="H609" s="30" t="inlineStr">
        <is>
          <t>Paspas Yap</t>
        </is>
      </c>
      <c r="I609" s="31" t="n">
        <v>93.0</v>
      </c>
      <c r="J609" s="32" t="n">
        <v>6190.0</v>
      </c>
      <c r="K609" s="33" t="n">
        <v>4999.1</v>
      </c>
      <c r="L609" s="34" t="n">
        <v>22.0</v>
      </c>
      <c r="M609" s="35" t="n">
        <v>3485.84</v>
      </c>
      <c r="N609" s="36" t="inlineStr">
        <is>
          <t>25 Ağustos 08.00-1 Eylül 07.59</t>
        </is>
      </c>
      <c r="O609" s="37" t="n">
        <v>14.0</v>
      </c>
      <c r="P609" s="38" t="n">
        <v>4999.1</v>
      </c>
      <c r="Q609" s="39"/>
      <c r="R609" s="40" t="n">
        <f>=IF(AND(ISBLANK(Q609), ISBLANK(U609)), "", "7 Günlük Fiyat")</f>
        <v>0.0</v>
      </c>
      <c r="S609" s="41" t="n">
        <f>=IF(OR(Q609="", R609=""), "-", IF(ISNUMBER(SEARCH("7 Günlük", R609)), IF(Q609&lt;=M609, O609, "-"), "-"))</f>
        <v>0.0</v>
      </c>
      <c r="T609" s="42" t="str">
        <f>=IF(ISBLANK(Q609), "", "Hayır")</f>
      </c>
      <c r="U609" s="43"/>
      <c r="V609" s="44" t="inlineStr">
        <is>
          <t>50461ed1-c2c8-4393-967e-55d58a3e2664</t>
        </is>
      </c>
    </row>
    <row r="610">
      <c r="A610" s="23" t="inlineStr">
        <is>
          <t>Toz Ve Nem Alıcı Paspas Iş Yeri Paspası Iç Ve Dış Mekan Paspası Giriş Paspası Kapı Paspası</t>
        </is>
      </c>
      <c r="B610" s="24" t="inlineStr">
        <is>
          <t>780287428</t>
        </is>
      </c>
      <c r="C610" s="25" t="inlineStr">
        <is>
          <t>TOZKONTROL-IYP2-RAMPASIZ-KIRMIZI-1201500</t>
        </is>
      </c>
      <c r="D610" s="26" t="inlineStr">
        <is>
          <t>TOZKONTROL-IYP2-RAMPASIZ-KIRMIZI-1201500</t>
        </is>
      </c>
      <c r="E610" s="27" t="inlineStr">
        <is>
          <t>120 x 1500</t>
        </is>
      </c>
      <c r="F610" s="28" t="inlineStr">
        <is>
          <t>TOZKONTROL-IYP2-RAMPASIZ</t>
        </is>
      </c>
      <c r="G610" s="29" t="inlineStr">
        <is>
          <t>Kapı Önü Paspası</t>
        </is>
      </c>
      <c r="H610" s="30" t="inlineStr">
        <is>
          <t>Paspas Yap</t>
        </is>
      </c>
      <c r="I610" s="31" t="n">
        <v>93.0</v>
      </c>
      <c r="J610" s="32" t="n">
        <v>25146.0</v>
      </c>
      <c r="K610" s="33" t="n">
        <v>19423.41</v>
      </c>
      <c r="L610" s="34" t="n">
        <v>22.0</v>
      </c>
      <c r="M610" s="35" t="n">
        <v>12875.76</v>
      </c>
      <c r="N610" s="36" t="inlineStr">
        <is>
          <t>25 Ağustos 08.00-1 Eylül 07.59</t>
        </is>
      </c>
      <c r="O610" s="37" t="n">
        <v>12.8</v>
      </c>
      <c r="P610" s="38" t="n">
        <v>19423.41</v>
      </c>
      <c r="Q610" s="39"/>
      <c r="R610" s="40" t="n">
        <f>=IF(AND(ISBLANK(Q610), ISBLANK(U610)), "", "7 Günlük Fiyat")</f>
        <v>0.0</v>
      </c>
      <c r="S610" s="41" t="n">
        <f>=IF(OR(Q610="", R610=""), "-", IF(ISNUMBER(SEARCH("7 Günlük", R610)), IF(Q610&lt;=M610, O610, "-"), "-"))</f>
        <v>0.0</v>
      </c>
      <c r="T610" s="42" t="str">
        <f>=IF(ISBLANK(Q610), "", "Hayır")</f>
      </c>
      <c r="U610" s="43"/>
      <c r="V610" s="44" t="inlineStr">
        <is>
          <t>50461ed1-c2c8-4393-967e-55d58a3e2664</t>
        </is>
      </c>
    </row>
    <row r="611">
      <c r="A611" s="23" t="inlineStr">
        <is>
          <t>Toz Ve Nem Alıcı Paspas Iş Yeri Paspası Iç Ve Dış Mekan Paspası Giriş Paspası Kapı Paspası</t>
        </is>
      </c>
      <c r="B611" s="24" t="inlineStr">
        <is>
          <t>780287428</t>
        </is>
      </c>
      <c r="C611" s="25" t="inlineStr">
        <is>
          <t>TOZKONTROL-IYP2-RAMPASIZ-KIRMIZI-120150</t>
        </is>
      </c>
      <c r="D611" s="26" t="inlineStr">
        <is>
          <t>TOZKONTROL-IYP2-RAMPASIZ-KIRMIZI-120150</t>
        </is>
      </c>
      <c r="E611" s="27" t="inlineStr">
        <is>
          <t>120 x 150</t>
        </is>
      </c>
      <c r="F611" s="28" t="inlineStr">
        <is>
          <t>TOZKONTROL-IYP2-RAMPASIZ</t>
        </is>
      </c>
      <c r="G611" s="29" t="inlineStr">
        <is>
          <t>Kapı Önü Paspası</t>
        </is>
      </c>
      <c r="H611" s="30" t="inlineStr">
        <is>
          <t>Paspas Yap</t>
        </is>
      </c>
      <c r="I611" s="31" t="n">
        <v>93.0</v>
      </c>
      <c r="J611" s="32" t="n">
        <v>2665.0</v>
      </c>
      <c r="K611" s="33" t="n">
        <v>2121.85</v>
      </c>
      <c r="L611" s="34" t="n">
        <v>22.0</v>
      </c>
      <c r="M611" s="35" t="n">
        <v>1520.63</v>
      </c>
      <c r="N611" s="36" t="inlineStr">
        <is>
          <t>25 Ağustos 08.00-1 Eylül 07.59</t>
        </is>
      </c>
      <c r="O611" s="37" t="n">
        <v>14.4</v>
      </c>
      <c r="P611" s="38" t="n">
        <v>2121.85</v>
      </c>
      <c r="Q611" s="39"/>
      <c r="R611" s="40" t="n">
        <f>=IF(AND(ISBLANK(Q611), ISBLANK(U611)), "", "7 Günlük Fiyat")</f>
        <v>0.0</v>
      </c>
      <c r="S611" s="41" t="n">
        <f>=IF(OR(Q611="", R611=""), "-", IF(ISNUMBER(SEARCH("7 Günlük", R611)), IF(Q611&lt;=M611, O611, "-"), "-"))</f>
        <v>0.0</v>
      </c>
      <c r="T611" s="42" t="str">
        <f>=IF(ISBLANK(Q611), "", "Hayır")</f>
      </c>
      <c r="U611" s="43"/>
      <c r="V611" s="44" t="inlineStr">
        <is>
          <t>50461ed1-c2c8-4393-967e-55d58a3e2664</t>
        </is>
      </c>
    </row>
    <row r="612">
      <c r="A612" s="23" t="inlineStr">
        <is>
          <t>Toz Ve Nem Alıcı Paspas Iş Yeri Paspası Iç Ve Dış Mekan Paspası Giriş Paspası Kapı Paspası</t>
        </is>
      </c>
      <c r="B612" s="24" t="inlineStr">
        <is>
          <t>780287428</t>
        </is>
      </c>
      <c r="C612" s="25" t="inlineStr">
        <is>
          <t>TOZKONTROL-IYP2-RAMPASIZ-KIRMIZI-60x120</t>
        </is>
      </c>
      <c r="D612" s="26" t="inlineStr">
        <is>
          <t>TOZKONTROL-IYP2-RAMPASIZ-KIRMIZI-60x120</t>
        </is>
      </c>
      <c r="E612" s="27" t="inlineStr">
        <is>
          <t>60 x 120</t>
        </is>
      </c>
      <c r="F612" s="28" t="inlineStr">
        <is>
          <t>TOZKONTROL-IYP2-RAMPASIZ</t>
        </is>
      </c>
      <c r="G612" s="29" t="inlineStr">
        <is>
          <t>Kapı Önü Paspası</t>
        </is>
      </c>
      <c r="H612" s="30" t="inlineStr">
        <is>
          <t>Paspas Yap</t>
        </is>
      </c>
      <c r="I612" s="31" t="n">
        <v>93.0</v>
      </c>
      <c r="J612" s="32" t="n">
        <v>1264.0</v>
      </c>
      <c r="K612" s="33" t="n">
        <v>971.96</v>
      </c>
      <c r="L612" s="34" t="n">
        <v>22.0</v>
      </c>
      <c r="M612" s="35" t="n">
        <v>709.07</v>
      </c>
      <c r="N612" s="36" t="inlineStr">
        <is>
          <t>25 Ağustos 08.00-1 Eylül 07.59</t>
        </is>
      </c>
      <c r="O612" s="37" t="n">
        <v>14.4</v>
      </c>
      <c r="P612" s="38" t="n">
        <v>971.96</v>
      </c>
      <c r="Q612" s="39"/>
      <c r="R612" s="40" t="n">
        <f>=IF(AND(ISBLANK(Q612), ISBLANK(U612)), "", "7 Günlük Fiyat")</f>
        <v>0.0</v>
      </c>
      <c r="S612" s="41" t="n">
        <f>=IF(OR(Q612="", R612=""), "-", IF(ISNUMBER(SEARCH("7 Günlük", R612)), IF(Q612&lt;=M612, O612, "-"), "-"))</f>
        <v>0.0</v>
      </c>
      <c r="T612" s="42" t="str">
        <f>=IF(ISBLANK(Q612), "", "Hayır")</f>
      </c>
      <c r="U612" s="43"/>
      <c r="V612" s="44" t="inlineStr">
        <is>
          <t>50461ed1-c2c8-4393-967e-55d58a3e2664</t>
        </is>
      </c>
    </row>
    <row r="613">
      <c r="A613" s="23" t="inlineStr">
        <is>
          <t>Toz Ve Nem Alıcı Paspas Iş Yeri Paspası Iç Ve Dış Mekan Paspası Giriş Paspası Kapı Paspası</t>
        </is>
      </c>
      <c r="B613" s="24" t="inlineStr">
        <is>
          <t>780287428</t>
        </is>
      </c>
      <c r="C613" s="25" t="inlineStr">
        <is>
          <t>TOZKONTROL-IYP2-RAMPASIZ-KIRMIZI-80450</t>
        </is>
      </c>
      <c r="D613" s="26" t="inlineStr">
        <is>
          <t>TOZKONTROL-IYP2-RAMPASIZ-KIRMIZI-80450</t>
        </is>
      </c>
      <c r="E613" s="27" t="inlineStr">
        <is>
          <t>80 x 450</t>
        </is>
      </c>
      <c r="F613" s="28" t="inlineStr">
        <is>
          <t>TOZKONTROL-IYP2-RAMPASIZ</t>
        </is>
      </c>
      <c r="G613" s="29" t="inlineStr">
        <is>
          <t>Kapı Önü Paspası</t>
        </is>
      </c>
      <c r="H613" s="30" t="inlineStr">
        <is>
          <t>Paspas Yap</t>
        </is>
      </c>
      <c r="I613" s="31" t="n">
        <v>93.0</v>
      </c>
      <c r="J613" s="32" t="n">
        <v>5014.0</v>
      </c>
      <c r="K613" s="33" t="n">
        <v>4056.53</v>
      </c>
      <c r="L613" s="34" t="n">
        <v>22.0</v>
      </c>
      <c r="M613" s="35" t="n">
        <v>2903.96</v>
      </c>
      <c r="N613" s="36" t="inlineStr">
        <is>
          <t>25 Ağustos 08.00-1 Eylül 07.59</t>
        </is>
      </c>
      <c r="O613" s="37" t="n">
        <v>14.5</v>
      </c>
      <c r="P613" s="38" t="n">
        <v>4056.53</v>
      </c>
      <c r="Q613" s="39"/>
      <c r="R613" s="40" t="n">
        <f>=IF(AND(ISBLANK(Q613), ISBLANK(U613)), "", "7 Günlük Fiyat")</f>
        <v>0.0</v>
      </c>
      <c r="S613" s="41" t="n">
        <f>=IF(OR(Q613="", R613=""), "-", IF(ISNUMBER(SEARCH("7 Günlük", R613)), IF(Q613&lt;=M613, O613, "-"), "-"))</f>
        <v>0.0</v>
      </c>
      <c r="T613" s="42" t="str">
        <f>=IF(ISBLANK(Q613), "", "Hayır")</f>
      </c>
      <c r="U613" s="43"/>
      <c r="V613" s="44" t="inlineStr">
        <is>
          <t>50461ed1-c2c8-4393-967e-55d58a3e2664</t>
        </is>
      </c>
    </row>
    <row r="614">
      <c r="A614" s="23" t="inlineStr">
        <is>
          <t>Toz Ve Nem Alıcı Paspas Iş Yeri Paspası Iç Ve Dış Mekan Paspası Giriş Paspası Kapı Paspası</t>
        </is>
      </c>
      <c r="B614" s="24" t="inlineStr">
        <is>
          <t>780287428</t>
        </is>
      </c>
      <c r="C614" s="25" t="inlineStr">
        <is>
          <t>TOZKONTROL-IYP2-RAMPASIZ-KIRMIZI-801000</t>
        </is>
      </c>
      <c r="D614" s="26" t="inlineStr">
        <is>
          <t>TOZKONTROL-IYP2-RAMPASIZ-KIRMIZI-801000</t>
        </is>
      </c>
      <c r="E614" s="27" t="inlineStr">
        <is>
          <t>80 x 1000</t>
        </is>
      </c>
      <c r="F614" s="28" t="inlineStr">
        <is>
          <t>TOZKONTROL-IYP2-RAMPASIZ</t>
        </is>
      </c>
      <c r="G614" s="29" t="inlineStr">
        <is>
          <t>Kapı Önü Paspası</t>
        </is>
      </c>
      <c r="H614" s="30" t="inlineStr">
        <is>
          <t>Paspas Yap</t>
        </is>
      </c>
      <c r="I614" s="31" t="n">
        <v>93.0</v>
      </c>
      <c r="J614" s="32" t="n">
        <v>10919.0</v>
      </c>
      <c r="K614" s="33" t="n">
        <v>8717.67</v>
      </c>
      <c r="L614" s="34" t="n">
        <v>22.0</v>
      </c>
      <c r="M614" s="35" t="n">
        <v>6122.45</v>
      </c>
      <c r="N614" s="36" t="inlineStr">
        <is>
          <t>25 Ağustos 08.00-1 Eylül 07.59</t>
        </is>
      </c>
      <c r="O614" s="37" t="n">
        <v>14.0</v>
      </c>
      <c r="P614" s="38" t="n">
        <v>8717.67</v>
      </c>
      <c r="Q614" s="39"/>
      <c r="R614" s="40" t="n">
        <f>=IF(AND(ISBLANK(Q614), ISBLANK(U614)), "", "7 Günlük Fiyat")</f>
        <v>0.0</v>
      </c>
      <c r="S614" s="41" t="n">
        <f>=IF(OR(Q614="", R614=""), "-", IF(ISNUMBER(SEARCH("7 Günlük", R614)), IF(Q614&lt;=M614, O614, "-"), "-"))</f>
        <v>0.0</v>
      </c>
      <c r="T614" s="42" t="str">
        <f>=IF(ISBLANK(Q614), "", "Hayır")</f>
      </c>
      <c r="U614" s="43"/>
      <c r="V614" s="44" t="inlineStr">
        <is>
          <t>50461ed1-c2c8-4393-967e-55d58a3e2664</t>
        </is>
      </c>
    </row>
    <row r="615">
      <c r="A615" s="23" t="inlineStr">
        <is>
          <t>Toz Ve Nem Alıcı Paspas Iş Yeri Paspası Iç Ve Dış Mekan Paspası Giriş Paspası Kapı Paspası</t>
        </is>
      </c>
      <c r="B615" s="24" t="inlineStr">
        <is>
          <t>780287428</t>
        </is>
      </c>
      <c r="C615" s="25" t="inlineStr">
        <is>
          <t>TOZKONTROL-IYP2-RAMPASIZ-KIRMIZI-100x600</t>
        </is>
      </c>
      <c r="D615" s="26" t="inlineStr">
        <is>
          <t>TOZKONTROL-IYP2-RAMPASIZ-KIRMIZI-100x600</t>
        </is>
      </c>
      <c r="E615" s="27" t="inlineStr">
        <is>
          <t>100 x 600</t>
        </is>
      </c>
      <c r="F615" s="28" t="inlineStr">
        <is>
          <t>TOZKONTROL-IYP2-RAMPASIZ</t>
        </is>
      </c>
      <c r="G615" s="29" t="inlineStr">
        <is>
          <t>Kapı Önü Paspası</t>
        </is>
      </c>
      <c r="H615" s="30" t="inlineStr">
        <is>
          <t>Paspas Yap</t>
        </is>
      </c>
      <c r="I615" s="31" t="n">
        <v>93.0</v>
      </c>
      <c r="J615" s="32" t="n">
        <v>8254.0</v>
      </c>
      <c r="K615" s="33" t="n">
        <v>6194.23</v>
      </c>
      <c r="L615" s="34" t="n">
        <v>22.0</v>
      </c>
      <c r="M615" s="35" t="n">
        <v>4156.59</v>
      </c>
      <c r="N615" s="36" t="inlineStr">
        <is>
          <t>25 Ağustos 08.00-1 Eylül 07.59</t>
        </is>
      </c>
      <c r="O615" s="37" t="n">
        <v>12.7</v>
      </c>
      <c r="P615" s="38" t="n">
        <v>6194.23</v>
      </c>
      <c r="Q615" s="39"/>
      <c r="R615" s="40" t="n">
        <f>=IF(AND(ISBLANK(Q615), ISBLANK(U615)), "", "7 Günlük Fiyat")</f>
        <v>0.0</v>
      </c>
      <c r="S615" s="41" t="n">
        <f>=IF(OR(Q615="", R615=""), "-", IF(ISNUMBER(SEARCH("7 Günlük", R615)), IF(Q615&lt;=M615, O615, "-"), "-"))</f>
        <v>0.0</v>
      </c>
      <c r="T615" s="42" t="str">
        <f>=IF(ISBLANK(Q615), "", "Hayır")</f>
      </c>
      <c r="U615" s="43"/>
      <c r="V615" s="44" t="inlineStr">
        <is>
          <t>50461ed1-c2c8-4393-967e-55d58a3e2664</t>
        </is>
      </c>
    </row>
    <row r="616">
      <c r="A616" s="23" t="inlineStr">
        <is>
          <t>Toz Ve Nem Alıcı Paspas Iş Yeri Paspası Iç Ve Dış Mekan Paspası Giriş Paspası Kapı Paspası</t>
        </is>
      </c>
      <c r="B616" s="24" t="inlineStr">
        <is>
          <t>780287428</t>
        </is>
      </c>
      <c r="C616" s="25" t="inlineStr">
        <is>
          <t>TOZKONTROL-IYP2-RAMPASIZ-KIRMIZI-100x700</t>
        </is>
      </c>
      <c r="D616" s="26" t="inlineStr">
        <is>
          <t>TOZKONTROL-IYP2-RAMPASIZ-KIRMIZI-100x700</t>
        </is>
      </c>
      <c r="E616" s="27" t="inlineStr">
        <is>
          <t>100 x 700</t>
        </is>
      </c>
      <c r="F616" s="28" t="inlineStr">
        <is>
          <t>TOZKONTROL-IYP2-RAMPASIZ</t>
        </is>
      </c>
      <c r="G616" s="29" t="inlineStr">
        <is>
          <t>Kapı Önü Paspası</t>
        </is>
      </c>
      <c r="H616" s="30" t="inlineStr">
        <is>
          <t>Paspas Yap</t>
        </is>
      </c>
      <c r="I616" s="31" t="n">
        <v>93.0</v>
      </c>
      <c r="J616" s="32" t="n">
        <v>9510.0</v>
      </c>
      <c r="K616" s="33" t="n">
        <v>7356.23</v>
      </c>
      <c r="L616" s="34" t="n">
        <v>22.0</v>
      </c>
      <c r="M616" s="35" t="n">
        <v>5116.63</v>
      </c>
      <c r="N616" s="36" t="inlineStr">
        <is>
          <t>25 Ağustos 08.00-1 Eylül 07.59</t>
        </is>
      </c>
      <c r="O616" s="37" t="n">
        <v>13.7</v>
      </c>
      <c r="P616" s="38" t="n">
        <v>7356.23</v>
      </c>
      <c r="Q616" s="39"/>
      <c r="R616" s="40" t="n">
        <f>=IF(AND(ISBLANK(Q616), ISBLANK(U616)), "", "7 Günlük Fiyat")</f>
        <v>0.0</v>
      </c>
      <c r="S616" s="41" t="n">
        <f>=IF(OR(Q616="", R616=""), "-", IF(ISNUMBER(SEARCH("7 Günlük", R616)), IF(Q616&lt;=M616, O616, "-"), "-"))</f>
        <v>0.0</v>
      </c>
      <c r="T616" s="42" t="str">
        <f>=IF(ISBLANK(Q616), "", "Hayır")</f>
      </c>
      <c r="U616" s="43"/>
      <c r="V616" s="44" t="inlineStr">
        <is>
          <t>50461ed1-c2c8-4393-967e-55d58a3e2664</t>
        </is>
      </c>
    </row>
    <row r="617">
      <c r="A617" s="23" t="inlineStr">
        <is>
          <t>Toz Ve Nem Alıcı Paspas Iş Yeri Paspası Iç Ve Dış Mekan Paspası Giriş Paspası Kapı Paspası</t>
        </is>
      </c>
      <c r="B617" s="24" t="inlineStr">
        <is>
          <t>780287428</t>
        </is>
      </c>
      <c r="C617" s="25" t="inlineStr">
        <is>
          <t>TOZKONTROL-IYP2-RAMPASIZ-KIRMIZI-100x150</t>
        </is>
      </c>
      <c r="D617" s="26" t="inlineStr">
        <is>
          <t>TOZKONTROL-IYP2-RAMPASIZ-KIRMIZI-100x150</t>
        </is>
      </c>
      <c r="E617" s="27" t="inlineStr">
        <is>
          <t>100 x 150</t>
        </is>
      </c>
      <c r="F617" s="28" t="inlineStr">
        <is>
          <t>TOZKONTROL-IYP2-RAMPASIZ</t>
        </is>
      </c>
      <c r="G617" s="29" t="inlineStr">
        <is>
          <t>Kapı Önü Paspası</t>
        </is>
      </c>
      <c r="H617" s="30" t="inlineStr">
        <is>
          <t>Paspas Yap</t>
        </is>
      </c>
      <c r="I617" s="31" t="n">
        <v>93.0</v>
      </c>
      <c r="J617" s="32" t="n">
        <v>2299.0</v>
      </c>
      <c r="K617" s="33" t="n">
        <v>1873.43</v>
      </c>
      <c r="L617" s="34" t="n">
        <v>22.0</v>
      </c>
      <c r="M617" s="35" t="n">
        <v>1250.01</v>
      </c>
      <c r="N617" s="36" t="inlineStr">
        <is>
          <t>25 Ağustos 08.00-1 Eylül 07.59</t>
        </is>
      </c>
      <c r="O617" s="37" t="n">
        <v>14.0</v>
      </c>
      <c r="P617" s="38" t="n">
        <v>1873.43</v>
      </c>
      <c r="Q617" s="39"/>
      <c r="R617" s="40" t="n">
        <f>=IF(AND(ISBLANK(Q617), ISBLANK(U617)), "", "7 Günlük Fiyat")</f>
        <v>0.0</v>
      </c>
      <c r="S617" s="41" t="n">
        <f>=IF(OR(Q617="", R617=""), "-", IF(ISNUMBER(SEARCH("7 Günlük", R617)), IF(Q617&lt;=M617, O617, "-"), "-"))</f>
        <v>0.0</v>
      </c>
      <c r="T617" s="42" t="str">
        <f>=IF(ISBLANK(Q617), "", "Hayır")</f>
      </c>
      <c r="U617" s="43"/>
      <c r="V617" s="44" t="inlineStr">
        <is>
          <t>50461ed1-c2c8-4393-967e-55d58a3e2664</t>
        </is>
      </c>
    </row>
    <row r="618">
      <c r="A618" s="23" t="inlineStr">
        <is>
          <t>Toz Ve Nem Alıcı Paspas Iş Yeri Paspası Iç Ve Dış Mekan Paspası Giriş Paspası Kapı Paspası</t>
        </is>
      </c>
      <c r="B618" s="24" t="inlineStr">
        <is>
          <t>780287428</t>
        </is>
      </c>
      <c r="C618" s="25" t="inlineStr">
        <is>
          <t>TOZKONTROL-IYP2-RAMPASIZ-KIRMIZI-120600</t>
        </is>
      </c>
      <c r="D618" s="26" t="inlineStr">
        <is>
          <t>TOZKONTROL-IYP2-RAMPASIZ-KIRMIZI-120600</t>
        </is>
      </c>
      <c r="E618" s="27" t="inlineStr">
        <is>
          <t>120 x 600</t>
        </is>
      </c>
      <c r="F618" s="28" t="inlineStr">
        <is>
          <t>TOZKONTROL-IYP2-RAMPASIZ</t>
        </is>
      </c>
      <c r="G618" s="29" t="inlineStr">
        <is>
          <t>Kapı Önü Paspası</t>
        </is>
      </c>
      <c r="H618" s="30" t="inlineStr">
        <is>
          <t>Paspas Yap</t>
        </is>
      </c>
      <c r="I618" s="31" t="n">
        <v>93.0</v>
      </c>
      <c r="J618" s="32" t="n">
        <v>9731.0</v>
      </c>
      <c r="K618" s="33" t="n">
        <v>7388.46</v>
      </c>
      <c r="L618" s="34" t="n">
        <v>22.0</v>
      </c>
      <c r="M618" s="35" t="n">
        <v>4929.4</v>
      </c>
      <c r="N618" s="36" t="inlineStr">
        <is>
          <t>25 Ağustos 08.00-1 Eylül 07.59</t>
        </is>
      </c>
      <c r="O618" s="37" t="n">
        <v>12.9</v>
      </c>
      <c r="P618" s="38" t="n">
        <v>7388.46</v>
      </c>
      <c r="Q618" s="39"/>
      <c r="R618" s="40" t="n">
        <f>=IF(AND(ISBLANK(Q618), ISBLANK(U618)), "", "7 Günlük Fiyat")</f>
        <v>0.0</v>
      </c>
      <c r="S618" s="41" t="n">
        <f>=IF(OR(Q618="", R618=""), "-", IF(ISNUMBER(SEARCH("7 Günlük", R618)), IF(Q618&lt;=M618, O618, "-"), "-"))</f>
        <v>0.0</v>
      </c>
      <c r="T618" s="42" t="str">
        <f>=IF(ISBLANK(Q618), "", "Hayır")</f>
      </c>
      <c r="U618" s="43"/>
      <c r="V618" s="44" t="inlineStr">
        <is>
          <t>50461ed1-c2c8-4393-967e-55d58a3e2664</t>
        </is>
      </c>
    </row>
    <row r="619">
      <c r="A619" s="23" t="inlineStr">
        <is>
          <t>Toz Ve Nem Alıcı Paspas Iş Yeri Paspası Iç Ve Dış Mekan Paspası Giriş Paspası Kapı Paspası</t>
        </is>
      </c>
      <c r="B619" s="24" t="inlineStr">
        <is>
          <t>780287428</t>
        </is>
      </c>
      <c r="C619" s="25" t="inlineStr">
        <is>
          <t>TOZKONTROL-IYP2-RAMPASIZ-KIRMIZI-1201150</t>
        </is>
      </c>
      <c r="D619" s="26" t="inlineStr">
        <is>
          <t>TOZKONTROL-IYP2-RAMPASIZ-KIRMIZI-1201150</t>
        </is>
      </c>
      <c r="E619" s="27" t="inlineStr">
        <is>
          <t>120 x 1150</t>
        </is>
      </c>
      <c r="F619" s="28" t="inlineStr">
        <is>
          <t>TOZKONTROL-IYP2-RAMPASIZ</t>
        </is>
      </c>
      <c r="G619" s="29" t="inlineStr">
        <is>
          <t>Kapı Önü Paspası</t>
        </is>
      </c>
      <c r="H619" s="30" t="inlineStr">
        <is>
          <t>Paspas Yap</t>
        </is>
      </c>
      <c r="I619" s="31" t="n">
        <v>93.0</v>
      </c>
      <c r="J619" s="32" t="n">
        <v>19202.0</v>
      </c>
      <c r="K619" s="33" t="n">
        <v>15057.99</v>
      </c>
      <c r="L619" s="34" t="n">
        <v>22.0</v>
      </c>
      <c r="M619" s="35" t="n">
        <v>9814.82</v>
      </c>
      <c r="N619" s="36" t="inlineStr">
        <is>
          <t>25 Ağustos 08.00-1 Eylül 07.59</t>
        </is>
      </c>
      <c r="O619" s="37" t="n">
        <v>12.8</v>
      </c>
      <c r="P619" s="38" t="n">
        <v>15057.99</v>
      </c>
      <c r="Q619" s="39"/>
      <c r="R619" s="40" t="n">
        <f>=IF(AND(ISBLANK(Q619), ISBLANK(U619)), "", "7 Günlük Fiyat")</f>
        <v>0.0</v>
      </c>
      <c r="S619" s="41" t="n">
        <f>=IF(OR(Q619="", R619=""), "-", IF(ISNUMBER(SEARCH("7 Günlük", R619)), IF(Q619&lt;=M619, O619, "-"), "-"))</f>
        <v>0.0</v>
      </c>
      <c r="T619" s="42" t="str">
        <f>=IF(ISBLANK(Q619), "", "Hayır")</f>
      </c>
      <c r="U619" s="43"/>
      <c r="V619" s="44" t="inlineStr">
        <is>
          <t>50461ed1-c2c8-4393-967e-55d58a3e2664</t>
        </is>
      </c>
    </row>
    <row r="620">
      <c r="A620" s="23" t="inlineStr">
        <is>
          <t>Toz Ve Nem Alıcı Paspas Iş Yeri Paspası Iç Ve Dış Mekan Paspası Giriş Paspası Kapı Paspası</t>
        </is>
      </c>
      <c r="B620" s="24" t="inlineStr">
        <is>
          <t>780287428</t>
        </is>
      </c>
      <c r="C620" s="25" t="inlineStr">
        <is>
          <t>TOZKONTROL-IYP2-RAMPASIZ-KIRMIZI-100x750</t>
        </is>
      </c>
      <c r="D620" s="26" t="inlineStr">
        <is>
          <t>TOZKONTROL-IYP2-RAMPASIZ-KIRMIZI-100x750</t>
        </is>
      </c>
      <c r="E620" s="27" t="inlineStr">
        <is>
          <t>100 x 750</t>
        </is>
      </c>
      <c r="F620" s="28" t="inlineStr">
        <is>
          <t>TOZKONTROL-IYP2-RAMPASIZ</t>
        </is>
      </c>
      <c r="G620" s="29" t="inlineStr">
        <is>
          <t>Kapı Önü Paspası</t>
        </is>
      </c>
      <c r="H620" s="30" t="inlineStr">
        <is>
          <t>Paspas Yap</t>
        </is>
      </c>
      <c r="I620" s="31" t="n">
        <v>93.0</v>
      </c>
      <c r="J620" s="32" t="n">
        <v>10215.0</v>
      </c>
      <c r="K620" s="33" t="n">
        <v>8267.01</v>
      </c>
      <c r="L620" s="34" t="n">
        <v>22.0</v>
      </c>
      <c r="M620" s="35" t="n">
        <v>5776.63</v>
      </c>
      <c r="N620" s="36" t="inlineStr">
        <is>
          <t>25 Ağustos 08.00-1 Eylül 07.59</t>
        </is>
      </c>
      <c r="O620" s="37" t="n">
        <v>14.1</v>
      </c>
      <c r="P620" s="38" t="n">
        <v>8267.01</v>
      </c>
      <c r="Q620" s="39"/>
      <c r="R620" s="40" t="n">
        <f>=IF(AND(ISBLANK(Q620), ISBLANK(U620)), "", "7 Günlük Fiyat")</f>
        <v>0.0</v>
      </c>
      <c r="S620" s="41" t="n">
        <f>=IF(OR(Q620="", R620=""), "-", IF(ISNUMBER(SEARCH("7 Günlük", R620)), IF(Q620&lt;=M620, O620, "-"), "-"))</f>
        <v>0.0</v>
      </c>
      <c r="T620" s="42" t="str">
        <f>=IF(ISBLANK(Q620), "", "Hayır")</f>
      </c>
      <c r="U620" s="43"/>
      <c r="V620" s="44" t="inlineStr">
        <is>
          <t>50461ed1-c2c8-4393-967e-55d58a3e2664</t>
        </is>
      </c>
    </row>
    <row r="621">
      <c r="A621" s="23" t="inlineStr">
        <is>
          <t>Toz Ve Nem Alıcı Paspas Iş Yeri Paspası Iç Ve Dış Mekan Paspası Giriş Paspası Kapı Paspası</t>
        </is>
      </c>
      <c r="B621" s="24" t="inlineStr">
        <is>
          <t>780287428</t>
        </is>
      </c>
      <c r="C621" s="25" t="inlineStr">
        <is>
          <t>TOZKONTROL-IYP2-RAMPASIZ-KIRMIZI-801050</t>
        </is>
      </c>
      <c r="D621" s="26" t="inlineStr">
        <is>
          <t>TOZKONTROL-IYP2-RAMPASIZ-KIRMIZI-801050</t>
        </is>
      </c>
      <c r="E621" s="27" t="inlineStr">
        <is>
          <t>80 x 1050</t>
        </is>
      </c>
      <c r="F621" s="28" t="inlineStr">
        <is>
          <t>TOZKONTROL-IYP2-RAMPASIZ</t>
        </is>
      </c>
      <c r="G621" s="29" t="inlineStr">
        <is>
          <t>Kapı Önü Paspası</t>
        </is>
      </c>
      <c r="H621" s="30" t="inlineStr">
        <is>
          <t>Paspas Yap</t>
        </is>
      </c>
      <c r="I621" s="31" t="n">
        <v>93.0</v>
      </c>
      <c r="J621" s="32" t="n">
        <v>11436.0</v>
      </c>
      <c r="K621" s="33" t="n">
        <v>9212.25</v>
      </c>
      <c r="L621" s="34" t="n">
        <v>22.0</v>
      </c>
      <c r="M621" s="35" t="n">
        <v>6472.79</v>
      </c>
      <c r="N621" s="36" t="inlineStr">
        <is>
          <t>25 Ağustos 08.00-1 Eylül 07.59</t>
        </is>
      </c>
      <c r="O621" s="37" t="n">
        <v>14.4</v>
      </c>
      <c r="P621" s="38" t="n">
        <v>9212.25</v>
      </c>
      <c r="Q621" s="39"/>
      <c r="R621" s="40" t="n">
        <f>=IF(AND(ISBLANK(Q621), ISBLANK(U621)), "", "7 Günlük Fiyat")</f>
        <v>0.0</v>
      </c>
      <c r="S621" s="41" t="n">
        <f>=IF(OR(Q621="", R621=""), "-", IF(ISNUMBER(SEARCH("7 Günlük", R621)), IF(Q621&lt;=M621, O621, "-"), "-"))</f>
        <v>0.0</v>
      </c>
      <c r="T621" s="42" t="str">
        <f>=IF(ISBLANK(Q621), "", "Hayır")</f>
      </c>
      <c r="U621" s="43"/>
      <c r="V621" s="44" t="inlineStr">
        <is>
          <t>50461ed1-c2c8-4393-967e-55d58a3e2664</t>
        </is>
      </c>
    </row>
    <row r="622">
      <c r="A622" s="23" t="inlineStr">
        <is>
          <t>Toz Ve Nem Alıcı Paspas Iş Yeri Paspası Iç Ve Dış Mekan Paspası Giriş Paspası Kapı Paspası</t>
        </is>
      </c>
      <c r="B622" s="24" t="inlineStr">
        <is>
          <t>780287428</t>
        </is>
      </c>
      <c r="C622" s="25" t="inlineStr">
        <is>
          <t>TOZKONTROL-IYP2-RAMPASIZ-KIRMIZI-100x250</t>
        </is>
      </c>
      <c r="D622" s="26" t="inlineStr">
        <is>
          <t>TOZKONTROL-IYP2-RAMPASIZ-KIRMIZI-100x250</t>
        </is>
      </c>
      <c r="E622" s="27" t="inlineStr">
        <is>
          <t>100 x 250</t>
        </is>
      </c>
      <c r="F622" s="28" t="inlineStr">
        <is>
          <t>TOZKONTROL-IYP2-RAMPASIZ</t>
        </is>
      </c>
      <c r="G622" s="29" t="inlineStr">
        <is>
          <t>Kapı Önü Paspası</t>
        </is>
      </c>
      <c r="H622" s="30" t="inlineStr">
        <is>
          <t>Paspas Yap</t>
        </is>
      </c>
      <c r="I622" s="31" t="n">
        <v>93.0</v>
      </c>
      <c r="J622" s="32" t="n">
        <v>3609.0</v>
      </c>
      <c r="K622" s="33" t="n">
        <v>2892.22</v>
      </c>
      <c r="L622" s="34" t="n">
        <v>22.0</v>
      </c>
      <c r="M622" s="35" t="n">
        <v>2031.81</v>
      </c>
      <c r="N622" s="36" t="inlineStr">
        <is>
          <t>25 Ağustos 08.00-1 Eylül 07.59</t>
        </is>
      </c>
      <c r="O622" s="37" t="n">
        <v>14.0</v>
      </c>
      <c r="P622" s="38" t="n">
        <v>2892.22</v>
      </c>
      <c r="Q622" s="39"/>
      <c r="R622" s="40" t="n">
        <f>=IF(AND(ISBLANK(Q622), ISBLANK(U622)), "", "7 Günlük Fiyat")</f>
        <v>0.0</v>
      </c>
      <c r="S622" s="41" t="n">
        <f>=IF(OR(Q622="", R622=""), "-", IF(ISNUMBER(SEARCH("7 Günlük", R622)), IF(Q622&lt;=M622, O622, "-"), "-"))</f>
        <v>0.0</v>
      </c>
      <c r="T622" s="42" t="str">
        <f>=IF(ISBLANK(Q622), "", "Hayır")</f>
      </c>
      <c r="U622" s="43"/>
      <c r="V622" s="44" t="inlineStr">
        <is>
          <t>50461ed1-c2c8-4393-967e-55d58a3e2664</t>
        </is>
      </c>
    </row>
    <row r="623">
      <c r="A623" s="23" t="inlineStr">
        <is>
          <t>Toz Ve Nem Alıcı Paspas Iş Yeri Paspası Iç Ve Dış Mekan Paspası Giriş Paspası Kapı Paspası</t>
        </is>
      </c>
      <c r="B623" s="24" t="inlineStr">
        <is>
          <t>780287428</t>
        </is>
      </c>
      <c r="C623" s="25" t="inlineStr">
        <is>
          <t>TOZKONTROL-IYP2-RAMPASIZ-KIRMIZI-80550</t>
        </is>
      </c>
      <c r="D623" s="26" t="inlineStr">
        <is>
          <t>TOZKONTROL-IYP2-RAMPASIZ-KIRMIZI-80550</t>
        </is>
      </c>
      <c r="E623" s="27" t="inlineStr">
        <is>
          <t>80 x 550</t>
        </is>
      </c>
      <c r="F623" s="28" t="inlineStr">
        <is>
          <t>TOZKONTROL-IYP2-RAMPASIZ</t>
        </is>
      </c>
      <c r="G623" s="29" t="inlineStr">
        <is>
          <t>Kapı Önü Paspası</t>
        </is>
      </c>
      <c r="H623" s="30" t="inlineStr">
        <is>
          <t>Paspas Yap</t>
        </is>
      </c>
      <c r="I623" s="31" t="n">
        <v>93.0</v>
      </c>
      <c r="J623" s="32" t="n">
        <v>5982.0</v>
      </c>
      <c r="K623" s="33" t="n">
        <v>4865.37</v>
      </c>
      <c r="L623" s="34" t="n">
        <v>22.0</v>
      </c>
      <c r="M623" s="35" t="n">
        <v>3476.24</v>
      </c>
      <c r="N623" s="36" t="inlineStr">
        <is>
          <t>25 Ağustos 08.00-1 Eylül 07.59</t>
        </is>
      </c>
      <c r="O623" s="37" t="n">
        <v>14.6</v>
      </c>
      <c r="P623" s="38" t="n">
        <v>4865.37</v>
      </c>
      <c r="Q623" s="39"/>
      <c r="R623" s="40" t="n">
        <f>=IF(AND(ISBLANK(Q623), ISBLANK(U623)), "", "7 Günlük Fiyat")</f>
        <v>0.0</v>
      </c>
      <c r="S623" s="41" t="n">
        <f>=IF(OR(Q623="", R623=""), "-", IF(ISNUMBER(SEARCH("7 Günlük", R623)), IF(Q623&lt;=M623, O623, "-"), "-"))</f>
        <v>0.0</v>
      </c>
      <c r="T623" s="42" t="str">
        <f>=IF(ISBLANK(Q623), "", "Hayır")</f>
      </c>
      <c r="U623" s="43"/>
      <c r="V623" s="44" t="inlineStr">
        <is>
          <t>50461ed1-c2c8-4393-967e-55d58a3e2664</t>
        </is>
      </c>
    </row>
    <row r="624">
      <c r="A624" s="23" t="inlineStr">
        <is>
          <t>Toz Ve Nem Alıcı Paspas Iş Yeri Paspası Iç Ve Dış Mekan Paspası Giriş Paspası Kapı Paspası</t>
        </is>
      </c>
      <c r="B624" s="24" t="inlineStr">
        <is>
          <t>780287428</t>
        </is>
      </c>
      <c r="C624" s="25" t="inlineStr">
        <is>
          <t>TOZKONTROL-IYP2-RAMPASIZ-KIRMIZI-80950</t>
        </is>
      </c>
      <c r="D624" s="26" t="inlineStr">
        <is>
          <t>TOZKONTROL-IYP2-RAMPASIZ-KIRMIZI-80950</t>
        </is>
      </c>
      <c r="E624" s="27" t="inlineStr">
        <is>
          <t>80 x 950</t>
        </is>
      </c>
      <c r="F624" s="28" t="inlineStr">
        <is>
          <t>TOZKONTROL-IYP2-RAMPASIZ</t>
        </is>
      </c>
      <c r="G624" s="29" t="inlineStr">
        <is>
          <t>Kapı Önü Paspası</t>
        </is>
      </c>
      <c r="H624" s="30" t="inlineStr">
        <is>
          <t>Paspas Yap</t>
        </is>
      </c>
      <c r="I624" s="31" t="n">
        <v>93.0</v>
      </c>
      <c r="J624" s="32" t="n">
        <v>10325.0</v>
      </c>
      <c r="K624" s="33" t="n">
        <v>8475.84</v>
      </c>
      <c r="L624" s="34" t="n">
        <v>22.0</v>
      </c>
      <c r="M624" s="35" t="n">
        <v>6150.86</v>
      </c>
      <c r="N624" s="36" t="inlineStr">
        <is>
          <t>25 Ağustos 08.00-1 Eylül 07.59</t>
        </is>
      </c>
      <c r="O624" s="37" t="n">
        <v>15.1</v>
      </c>
      <c r="P624" s="38" t="n">
        <v>8475.84</v>
      </c>
      <c r="Q624" s="39"/>
      <c r="R624" s="40" t="n">
        <f>=IF(AND(ISBLANK(Q624), ISBLANK(U624)), "", "7 Günlük Fiyat")</f>
        <v>0.0</v>
      </c>
      <c r="S624" s="41" t="n">
        <f>=IF(OR(Q624="", R624=""), "-", IF(ISNUMBER(SEARCH("7 Günlük", R624)), IF(Q624&lt;=M624, O624, "-"), "-"))</f>
        <v>0.0</v>
      </c>
      <c r="T624" s="42" t="str">
        <f>=IF(ISBLANK(Q624), "", "Hayır")</f>
      </c>
      <c r="U624" s="43"/>
      <c r="V624" s="44" t="inlineStr">
        <is>
          <t>50461ed1-c2c8-4393-967e-55d58a3e2664</t>
        </is>
      </c>
    </row>
    <row r="625">
      <c r="A625" s="23" t="inlineStr">
        <is>
          <t>Toz Ve Nem Alıcı Paspas Iş Yeri Paspası Iç Ve Dış Mekan Paspası Giriş Paspası Kapı Paspası</t>
        </is>
      </c>
      <c r="B625" s="24" t="inlineStr">
        <is>
          <t>780287428</t>
        </is>
      </c>
      <c r="C625" s="25" t="inlineStr">
        <is>
          <t>TOZKONTROL-IYP2-RAMPASIZ-KIRMIZI-33x60</t>
        </is>
      </c>
      <c r="D625" s="26" t="inlineStr">
        <is>
          <t>TOZKONTROL-IYP2-RAMPASIZ-KIRMIZI-33x60</t>
        </is>
      </c>
      <c r="E625" s="27" t="inlineStr">
        <is>
          <t>33 x 60</t>
        </is>
      </c>
      <c r="F625" s="28" t="inlineStr">
        <is>
          <t>TOZKONTROL-IYP2-RAMPASIZ</t>
        </is>
      </c>
      <c r="G625" s="29" t="inlineStr">
        <is>
          <t>Kapı Önü Paspası</t>
        </is>
      </c>
      <c r="H625" s="30" t="inlineStr">
        <is>
          <t>Paspas Yap</t>
        </is>
      </c>
      <c r="I625" s="31" t="n">
        <v>93.0</v>
      </c>
      <c r="J625" s="32" t="n">
        <v>399.0</v>
      </c>
      <c r="K625" s="33" t="n">
        <v>399.0</v>
      </c>
      <c r="L625" s="34" t="n">
        <v>22.0</v>
      </c>
      <c r="M625" s="35" t="n">
        <v>304.78</v>
      </c>
      <c r="N625" s="36" t="inlineStr">
        <is>
          <t>25 Ağustos 08.00-1 Eylül 07.59</t>
        </is>
      </c>
      <c r="O625" s="37" t="n">
        <v>17.1</v>
      </c>
      <c r="P625" s="38" t="n">
        <v>399.0</v>
      </c>
      <c r="Q625" s="39"/>
      <c r="R625" s="40" t="n">
        <f>=IF(AND(ISBLANK(Q625), ISBLANK(U625)), "", "7 Günlük Fiyat")</f>
        <v>0.0</v>
      </c>
      <c r="S625" s="41" t="n">
        <f>=IF(OR(Q625="", R625=""), "-", IF(ISNUMBER(SEARCH("7 Günlük", R625)), IF(Q625&lt;=M625, O625, "-"), "-"))</f>
        <v>0.0</v>
      </c>
      <c r="T625" s="42" t="str">
        <f>=IF(ISBLANK(Q625), "", "Hayır")</f>
      </c>
      <c r="U625" s="43"/>
      <c r="V625" s="44" t="inlineStr">
        <is>
          <t>50461ed1-c2c8-4393-967e-55d58a3e2664</t>
        </is>
      </c>
    </row>
    <row r="626">
      <c r="A626" s="23" t="inlineStr">
        <is>
          <t>Toz Ve Nem Alıcı Paspas Iş Yeri Paspası Iç Ve Dış Mekan Paspası Giriş Paspası Kapı Paspası</t>
        </is>
      </c>
      <c r="B626" s="24" t="inlineStr">
        <is>
          <t>780287428</t>
        </is>
      </c>
      <c r="C626" s="25" t="inlineStr">
        <is>
          <t>TOZKONTROL-IYP2-RAMPASIZ-KIRMIZI-120950</t>
        </is>
      </c>
      <c r="D626" s="26" t="inlineStr">
        <is>
          <t>TOZKONTROL-IYP2-RAMPASIZ-KIRMIZI-120950</t>
        </is>
      </c>
      <c r="E626" s="27" t="inlineStr">
        <is>
          <t>120 x 950</t>
        </is>
      </c>
      <c r="F626" s="28" t="inlineStr">
        <is>
          <t>TOZKONTROL-IYP2-RAMPASIZ</t>
        </is>
      </c>
      <c r="G626" s="29" t="inlineStr">
        <is>
          <t>Kapı Önü Paspası</t>
        </is>
      </c>
      <c r="H626" s="30" t="inlineStr">
        <is>
          <t>Paspas Yap</t>
        </is>
      </c>
      <c r="I626" s="31" t="n">
        <v>93.0</v>
      </c>
      <c r="J626" s="32" t="n">
        <v>15279.0</v>
      </c>
      <c r="K626" s="33" t="n">
        <v>12559.96</v>
      </c>
      <c r="L626" s="34" t="n">
        <v>22.0</v>
      </c>
      <c r="M626" s="35" t="n">
        <v>8877.29</v>
      </c>
      <c r="N626" s="36" t="inlineStr">
        <is>
          <t>25 Ağustos 08.00-1 Eylül 07.59</t>
        </is>
      </c>
      <c r="O626" s="37" t="n">
        <v>14.5</v>
      </c>
      <c r="P626" s="38" t="n">
        <v>12559.96</v>
      </c>
      <c r="Q626" s="39"/>
      <c r="R626" s="40" t="n">
        <f>=IF(AND(ISBLANK(Q626), ISBLANK(U626)), "", "7 Günlük Fiyat")</f>
        <v>0.0</v>
      </c>
      <c r="S626" s="41" t="n">
        <f>=IF(OR(Q626="", R626=""), "-", IF(ISNUMBER(SEARCH("7 Günlük", R626)), IF(Q626&lt;=M626, O626, "-"), "-"))</f>
        <v>0.0</v>
      </c>
      <c r="T626" s="42" t="str">
        <f>=IF(ISBLANK(Q626), "", "Hayır")</f>
      </c>
      <c r="U626" s="43"/>
      <c r="V626" s="44" t="inlineStr">
        <is>
          <t>50461ed1-c2c8-4393-967e-55d58a3e2664</t>
        </is>
      </c>
    </row>
    <row r="627">
      <c r="A627" s="23" t="inlineStr">
        <is>
          <t>Toz Ve Nem Alıcı Paspas Iş Yeri Paspası Iç Ve Dış Mekan Paspası Giriş Paspası Kapı Paspası</t>
        </is>
      </c>
      <c r="B627" s="24" t="inlineStr">
        <is>
          <t>780287428</t>
        </is>
      </c>
      <c r="C627" s="25" t="inlineStr">
        <is>
          <t>TOZKONTROL-IYP2-RAMPASIZ-KIRMIZI-100850</t>
        </is>
      </c>
      <c r="D627" s="26" t="inlineStr">
        <is>
          <t>TOZKONTROL-IYP2-RAMPASIZ-KIRMIZI-100850</t>
        </is>
      </c>
      <c r="E627" s="27" t="inlineStr">
        <is>
          <t>100 x 850</t>
        </is>
      </c>
      <c r="F627" s="28" t="inlineStr">
        <is>
          <t>TOZKONTROL-IYP2-RAMPASIZ</t>
        </is>
      </c>
      <c r="G627" s="29" t="inlineStr">
        <is>
          <t>Kapı Önü Paspası</t>
        </is>
      </c>
      <c r="H627" s="30" t="inlineStr">
        <is>
          <t>Paspas Yap</t>
        </is>
      </c>
      <c r="I627" s="31" t="n">
        <v>93.0</v>
      </c>
      <c r="J627" s="32" t="n">
        <v>11546.0</v>
      </c>
      <c r="K627" s="33" t="n">
        <v>8908.63</v>
      </c>
      <c r="L627" s="34" t="n">
        <v>22.0</v>
      </c>
      <c r="M627" s="35" t="n">
        <v>6127.99</v>
      </c>
      <c r="N627" s="36" t="inlineStr">
        <is>
          <t>25 Ağustos 08.00-1 Eylül 07.59</t>
        </is>
      </c>
      <c r="O627" s="37" t="n">
        <v>13.5</v>
      </c>
      <c r="P627" s="38" t="n">
        <v>8908.63</v>
      </c>
      <c r="Q627" s="39"/>
      <c r="R627" s="40" t="n">
        <f>=IF(AND(ISBLANK(Q627), ISBLANK(U627)), "", "7 Günlük Fiyat")</f>
        <v>0.0</v>
      </c>
      <c r="S627" s="41" t="n">
        <f>=IF(OR(Q627="", R627=""), "-", IF(ISNUMBER(SEARCH("7 Günlük", R627)), IF(Q627&lt;=M627, O627, "-"), "-"))</f>
        <v>0.0</v>
      </c>
      <c r="T627" s="42" t="str">
        <f>=IF(ISBLANK(Q627), "", "Hayır")</f>
      </c>
      <c r="U627" s="43"/>
      <c r="V627" s="44" t="inlineStr">
        <is>
          <t>50461ed1-c2c8-4393-967e-55d58a3e2664</t>
        </is>
      </c>
    </row>
    <row r="628">
      <c r="A628" s="23" t="inlineStr">
        <is>
          <t>Toz Ve Nem Alıcı Paspas Iş Yeri Paspası Iç Ve Dış Mekan Paspası Giriş Paspası Kapı Paspası</t>
        </is>
      </c>
      <c r="B628" s="24" t="inlineStr">
        <is>
          <t>780287428</t>
        </is>
      </c>
      <c r="C628" s="25" t="inlineStr">
        <is>
          <t>TOZKONTROL-IYP2-RAMPASIZ-KIRMIZI-100x400</t>
        </is>
      </c>
      <c r="D628" s="26" t="inlineStr">
        <is>
          <t>TOZKONTROL-IYP2-RAMPASIZ-KIRMIZI-100x400</t>
        </is>
      </c>
      <c r="E628" s="27" t="inlineStr">
        <is>
          <t>100 x 400</t>
        </is>
      </c>
      <c r="F628" s="28" t="inlineStr">
        <is>
          <t>TOZKONTROL-IYP2-RAMPASIZ</t>
        </is>
      </c>
      <c r="G628" s="29" t="inlineStr">
        <is>
          <t>Kapı Önü Paspası</t>
        </is>
      </c>
      <c r="H628" s="30" t="inlineStr">
        <is>
          <t>Paspas Yap</t>
        </is>
      </c>
      <c r="I628" s="31" t="n">
        <v>93.0</v>
      </c>
      <c r="J628" s="32" t="n">
        <v>5486.0</v>
      </c>
      <c r="K628" s="33" t="n">
        <v>4236.79</v>
      </c>
      <c r="L628" s="34" t="n">
        <v>22.0</v>
      </c>
      <c r="M628" s="35" t="n">
        <v>2859.36</v>
      </c>
      <c r="N628" s="36" t="inlineStr">
        <is>
          <t>25 Ağustos 08.00-1 Eylül 07.59</t>
        </is>
      </c>
      <c r="O628" s="37" t="n">
        <v>13.1</v>
      </c>
      <c r="P628" s="38" t="n">
        <v>4236.79</v>
      </c>
      <c r="Q628" s="39"/>
      <c r="R628" s="40" t="n">
        <f>=IF(AND(ISBLANK(Q628), ISBLANK(U628)), "", "7 Günlük Fiyat")</f>
        <v>0.0</v>
      </c>
      <c r="S628" s="41" t="n">
        <f>=IF(OR(Q628="", R628=""), "-", IF(ISNUMBER(SEARCH("7 Günlük", R628)), IF(Q628&lt;=M628, O628, "-"), "-"))</f>
        <v>0.0</v>
      </c>
      <c r="T628" s="42" t="str">
        <f>=IF(ISBLANK(Q628), "", "Hayır")</f>
      </c>
      <c r="U628" s="43"/>
      <c r="V628" s="44" t="inlineStr">
        <is>
          <t>50461ed1-c2c8-4393-967e-55d58a3e2664</t>
        </is>
      </c>
    </row>
    <row r="629">
      <c r="A629" s="23" t="inlineStr">
        <is>
          <t>Toz Ve Nem Alıcı Paspas Iş Yeri Paspası Iç Ve Dış Mekan Paspası Giriş Paspası Kapı Paspası</t>
        </is>
      </c>
      <c r="B629" s="24" t="inlineStr">
        <is>
          <t>780287428</t>
        </is>
      </c>
      <c r="C629" s="25" t="inlineStr">
        <is>
          <t>TOZKONTROL-IYP2-RAMPASIZ-KIRMIZI-1001200</t>
        </is>
      </c>
      <c r="D629" s="26" t="inlineStr">
        <is>
          <t>TOZKONTROL-IYP2-RAMPASIZ-KIRMIZI-1001200</t>
        </is>
      </c>
      <c r="E629" s="27" t="inlineStr">
        <is>
          <t>100 x 1200</t>
        </is>
      </c>
      <c r="F629" s="28" t="inlineStr">
        <is>
          <t>TOZKONTROL-IYP2-RAMPASIZ</t>
        </is>
      </c>
      <c r="G629" s="29" t="inlineStr">
        <is>
          <t>Kapı Önü Paspası</t>
        </is>
      </c>
      <c r="H629" s="30" t="inlineStr">
        <is>
          <t>Paspas Yap</t>
        </is>
      </c>
      <c r="I629" s="31" t="n">
        <v>93.0</v>
      </c>
      <c r="J629" s="32" t="n">
        <v>16611.0</v>
      </c>
      <c r="K629" s="33" t="n">
        <v>12783.03</v>
      </c>
      <c r="L629" s="34" t="n">
        <v>22.0</v>
      </c>
      <c r="M629" s="35" t="n">
        <v>8499.01</v>
      </c>
      <c r="N629" s="36" t="inlineStr">
        <is>
          <t>25 Ağustos 08.00-1 Eylül 07.59</t>
        </is>
      </c>
      <c r="O629" s="37" t="n">
        <v>13.0</v>
      </c>
      <c r="P629" s="38" t="n">
        <v>12783.03</v>
      </c>
      <c r="Q629" s="39"/>
      <c r="R629" s="40" t="n">
        <f>=IF(AND(ISBLANK(Q629), ISBLANK(U629)), "", "7 Günlük Fiyat")</f>
        <v>0.0</v>
      </c>
      <c r="S629" s="41" t="n">
        <f>=IF(OR(Q629="", R629=""), "-", IF(ISNUMBER(SEARCH("7 Günlük", R629)), IF(Q629&lt;=M629, O629, "-"), "-"))</f>
        <v>0.0</v>
      </c>
      <c r="T629" s="42" t="str">
        <f>=IF(ISBLANK(Q629), "", "Hayır")</f>
      </c>
      <c r="U629" s="43"/>
      <c r="V629" s="44" t="inlineStr">
        <is>
          <t>50461ed1-c2c8-4393-967e-55d58a3e2664</t>
        </is>
      </c>
    </row>
    <row r="630">
      <c r="A630" s="23" t="inlineStr">
        <is>
          <t>Toz Ve Nem Alıcı Paspas Iş Yeri Paspası Iç Ve Dış Mekan Paspası Giriş Paspası Kapı Paspası</t>
        </is>
      </c>
      <c r="B630" s="24" t="inlineStr">
        <is>
          <t>780287428</t>
        </is>
      </c>
      <c r="C630" s="25" t="inlineStr">
        <is>
          <t>TOZKONTROL-IYP2-RAMPASIZ-KIRMIZI-80900</t>
        </is>
      </c>
      <c r="D630" s="26" t="inlineStr">
        <is>
          <t>TOZKONTROL-IYP2-RAMPASIZ-KIRMIZI-80900</t>
        </is>
      </c>
      <c r="E630" s="27" t="inlineStr">
        <is>
          <t>80 x 900</t>
        </is>
      </c>
      <c r="F630" s="28" t="inlineStr">
        <is>
          <t>TOZKONTROL-IYP2-RAMPASIZ</t>
        </is>
      </c>
      <c r="G630" s="29" t="inlineStr">
        <is>
          <t>Kapı Önü Paspası</t>
        </is>
      </c>
      <c r="H630" s="30" t="inlineStr">
        <is>
          <t>Paspas Yap</t>
        </is>
      </c>
      <c r="I630" s="31" t="n">
        <v>93.0</v>
      </c>
      <c r="J630" s="32" t="n">
        <v>9731.0</v>
      </c>
      <c r="K630" s="33" t="n">
        <v>7505.05</v>
      </c>
      <c r="L630" s="34" t="n">
        <v>22.0</v>
      </c>
      <c r="M630" s="35" t="n">
        <v>5135.7</v>
      </c>
      <c r="N630" s="36" t="inlineStr">
        <is>
          <t>25 Ağustos 08.00-1 Eylül 07.59</t>
        </is>
      </c>
      <c r="O630" s="37" t="n">
        <v>13.4</v>
      </c>
      <c r="P630" s="38" t="n">
        <v>7505.05</v>
      </c>
      <c r="Q630" s="39"/>
      <c r="R630" s="40" t="n">
        <f>=IF(AND(ISBLANK(Q630), ISBLANK(U630)), "", "7 Günlük Fiyat")</f>
        <v>0.0</v>
      </c>
      <c r="S630" s="41" t="n">
        <f>=IF(OR(Q630="", R630=""), "-", IF(ISNUMBER(SEARCH("7 Günlük", R630)), IF(Q630&lt;=M630, O630, "-"), "-"))</f>
        <v>0.0</v>
      </c>
      <c r="T630" s="42" t="str">
        <f>=IF(ISBLANK(Q630), "", "Hayır")</f>
      </c>
      <c r="U630" s="43"/>
      <c r="V630" s="44" t="inlineStr">
        <is>
          <t>50461ed1-c2c8-4393-967e-55d58a3e2664</t>
        </is>
      </c>
    </row>
    <row r="631">
      <c r="A631" s="23" t="inlineStr">
        <is>
          <t>Toz Ve Nem Alıcı Paspas Iş Yeri Paspası Iç Ve Dış Mekan Paspası Giriş Paspası Kapı Paspası</t>
        </is>
      </c>
      <c r="B631" s="24" t="inlineStr">
        <is>
          <t>780287428</t>
        </is>
      </c>
      <c r="C631" s="25" t="inlineStr">
        <is>
          <t>TOZKONTROL-IYP2-RAMPASIZ-KIRMIZI-120750</t>
        </is>
      </c>
      <c r="D631" s="26" t="inlineStr">
        <is>
          <t>TOZKONTROL-IYP2-RAMPASIZ-KIRMIZI-120750</t>
        </is>
      </c>
      <c r="E631" s="27" t="inlineStr">
        <is>
          <t>120 x 750</t>
        </is>
      </c>
      <c r="F631" s="28" t="inlineStr">
        <is>
          <t>TOZKONTROL-IYP2-RAMPASIZ</t>
        </is>
      </c>
      <c r="G631" s="29" t="inlineStr">
        <is>
          <t>Kapı Önü Paspası</t>
        </is>
      </c>
      <c r="H631" s="30" t="inlineStr">
        <is>
          <t>Paspas Yap</t>
        </is>
      </c>
      <c r="I631" s="31" t="n">
        <v>93.0</v>
      </c>
      <c r="J631" s="32" t="n">
        <v>12300.0</v>
      </c>
      <c r="K631" s="33" t="n">
        <v>9975.54</v>
      </c>
      <c r="L631" s="34" t="n">
        <v>22.0</v>
      </c>
      <c r="M631" s="35" t="n">
        <v>7092.98</v>
      </c>
      <c r="N631" s="36" t="inlineStr">
        <is>
          <t>25 Ağustos 08.00-1 Eylül 07.59</t>
        </is>
      </c>
      <c r="O631" s="37" t="n">
        <v>14.4</v>
      </c>
      <c r="P631" s="38" t="n">
        <v>9975.54</v>
      </c>
      <c r="Q631" s="39"/>
      <c r="R631" s="40" t="n">
        <f>=IF(AND(ISBLANK(Q631), ISBLANK(U631)), "", "7 Günlük Fiyat")</f>
        <v>0.0</v>
      </c>
      <c r="S631" s="41" t="n">
        <f>=IF(OR(Q631="", R631=""), "-", IF(ISNUMBER(SEARCH("7 Günlük", R631)), IF(Q631&lt;=M631, O631, "-"), "-"))</f>
        <v>0.0</v>
      </c>
      <c r="T631" s="42" t="str">
        <f>=IF(ISBLANK(Q631), "", "Hayır")</f>
      </c>
      <c r="U631" s="43"/>
      <c r="V631" s="44" t="inlineStr">
        <is>
          <t>50461ed1-c2c8-4393-967e-55d58a3e2664</t>
        </is>
      </c>
    </row>
    <row r="632">
      <c r="A632" s="23" t="inlineStr">
        <is>
          <t>Toz Ve Nem Alıcı Paspas Iş Yeri Paspası Iç Ve Dış Mekan Paspası Giriş Paspası Kapı Paspası</t>
        </is>
      </c>
      <c r="B632" s="24" t="inlineStr">
        <is>
          <t>780287428</t>
        </is>
      </c>
      <c r="C632" s="25" t="inlineStr">
        <is>
          <t>TOZKONTROL-IYP2-RAMPASIZ-KIRMIZI-120850</t>
        </is>
      </c>
      <c r="D632" s="26" t="inlineStr">
        <is>
          <t>TOZKONTROL-IYP2-RAMPASIZ-KIRMIZI-120850</t>
        </is>
      </c>
      <c r="E632" s="27" t="inlineStr">
        <is>
          <t>120 x 850</t>
        </is>
      </c>
      <c r="F632" s="28" t="inlineStr">
        <is>
          <t>TOZKONTROL-IYP2-RAMPASIZ</t>
        </is>
      </c>
      <c r="G632" s="29" t="inlineStr">
        <is>
          <t>Kapı Önü Paspası</t>
        </is>
      </c>
      <c r="H632" s="30" t="inlineStr">
        <is>
          <t>Paspas Yap</t>
        </is>
      </c>
      <c r="I632" s="31" t="n">
        <v>93.0</v>
      </c>
      <c r="J632" s="32" t="n">
        <v>14121.0</v>
      </c>
      <c r="K632" s="33" t="n">
        <v>11086.75</v>
      </c>
      <c r="L632" s="34" t="n">
        <v>22.0</v>
      </c>
      <c r="M632" s="35" t="n">
        <v>7458.82</v>
      </c>
      <c r="N632" s="36" t="inlineStr">
        <is>
          <t>25 Ağustos 08.00-1 Eylül 07.59</t>
        </is>
      </c>
      <c r="O632" s="37" t="n">
        <v>13.3</v>
      </c>
      <c r="P632" s="38" t="n">
        <v>11086.75</v>
      </c>
      <c r="Q632" s="39"/>
      <c r="R632" s="40" t="n">
        <f>=IF(AND(ISBLANK(Q632), ISBLANK(U632)), "", "7 Günlük Fiyat")</f>
        <v>0.0</v>
      </c>
      <c r="S632" s="41" t="n">
        <f>=IF(OR(Q632="", R632=""), "-", IF(ISNUMBER(SEARCH("7 Günlük", R632)), IF(Q632&lt;=M632, O632, "-"), "-"))</f>
        <v>0.0</v>
      </c>
      <c r="T632" s="42" t="str">
        <f>=IF(ISBLANK(Q632), "", "Hayır")</f>
      </c>
      <c r="U632" s="43"/>
      <c r="V632" s="44" t="inlineStr">
        <is>
          <t>50461ed1-c2c8-4393-967e-55d58a3e2664</t>
        </is>
      </c>
    </row>
    <row r="633">
      <c r="A633" s="23" t="inlineStr">
        <is>
          <t>Toz Ve Nem Alıcı Paspas Iş Yeri Paspası Iç Ve Dış Mekan Paspası Giriş Paspası Kapı Paspası</t>
        </is>
      </c>
      <c r="B633" s="24" t="inlineStr">
        <is>
          <t>780287428</t>
        </is>
      </c>
      <c r="C633" s="25" t="inlineStr">
        <is>
          <t>TOZKONTROL-IYP2-RAMPASIZ-KIRMIZI-100x800</t>
        </is>
      </c>
      <c r="D633" s="26" t="inlineStr">
        <is>
          <t>TOZKONTROL-IYP2-RAMPASIZ-KIRMIZI-100x800</t>
        </is>
      </c>
      <c r="E633" s="27" t="inlineStr">
        <is>
          <t>100 x 800</t>
        </is>
      </c>
      <c r="F633" s="28" t="inlineStr">
        <is>
          <t>TOZKONTROL-IYP2-RAMPASIZ</t>
        </is>
      </c>
      <c r="G633" s="29" t="inlineStr">
        <is>
          <t>Kapı Önü Paspası</t>
        </is>
      </c>
      <c r="H633" s="30" t="inlineStr">
        <is>
          <t>Paspas Yap</t>
        </is>
      </c>
      <c r="I633" s="31" t="n">
        <v>93.0</v>
      </c>
      <c r="J633" s="32" t="n">
        <v>10919.0</v>
      </c>
      <c r="K633" s="33" t="n">
        <v>9016.46</v>
      </c>
      <c r="L633" s="34" t="n">
        <v>22.0</v>
      </c>
      <c r="M633" s="35" t="n">
        <v>6309.49</v>
      </c>
      <c r="N633" s="36" t="inlineStr">
        <is>
          <t>25 Ağustos 08.00-1 Eylül 07.59</t>
        </is>
      </c>
      <c r="O633" s="37" t="n">
        <v>14.4</v>
      </c>
      <c r="P633" s="38" t="n">
        <v>9016.46</v>
      </c>
      <c r="Q633" s="39"/>
      <c r="R633" s="40" t="n">
        <f>=IF(AND(ISBLANK(Q633), ISBLANK(U633)), "", "7 Günlük Fiyat")</f>
        <v>0.0</v>
      </c>
      <c r="S633" s="41" t="n">
        <f>=IF(OR(Q633="", R633=""), "-", IF(ISNUMBER(SEARCH("7 Günlük", R633)), IF(Q633&lt;=M633, O633, "-"), "-"))</f>
        <v>0.0</v>
      </c>
      <c r="T633" s="42" t="str">
        <f>=IF(ISBLANK(Q633), "", "Hayır")</f>
      </c>
      <c r="U633" s="43"/>
      <c r="V633" s="44" t="inlineStr">
        <is>
          <t>50461ed1-c2c8-4393-967e-55d58a3e2664</t>
        </is>
      </c>
    </row>
    <row r="634">
      <c r="A634" s="23" t="inlineStr">
        <is>
          <t>Toz Ve Nem Alıcı Paspas Iş Yeri Paspası Iç Ve Dış Mekan Paspası Giriş Paspası Kapı Paspası</t>
        </is>
      </c>
      <c r="B634" s="24" t="inlineStr">
        <is>
          <t>780287428</t>
        </is>
      </c>
      <c r="C634" s="25" t="inlineStr">
        <is>
          <t>TOZKONTROL-IYP2-RAMPASIZ-KIRMIZI-80650</t>
        </is>
      </c>
      <c r="D634" s="26" t="inlineStr">
        <is>
          <t>TOZKONTROL-IYP2-RAMPASIZ-KIRMIZI-80650</t>
        </is>
      </c>
      <c r="E634" s="27" t="inlineStr">
        <is>
          <t>80 x 650</t>
        </is>
      </c>
      <c r="F634" s="28" t="inlineStr">
        <is>
          <t>TOZKONTROL-IYP2-RAMPASIZ</t>
        </is>
      </c>
      <c r="G634" s="29" t="inlineStr">
        <is>
          <t>Kapı Önü Paspası</t>
        </is>
      </c>
      <c r="H634" s="30" t="inlineStr">
        <is>
          <t>Paspas Yap</t>
        </is>
      </c>
      <c r="I634" s="31" t="n">
        <v>93.0</v>
      </c>
      <c r="J634" s="32" t="n">
        <v>7103.0</v>
      </c>
      <c r="K634" s="33" t="n">
        <v>5456.29</v>
      </c>
      <c r="L634" s="34" t="n">
        <v>22.0</v>
      </c>
      <c r="M634" s="35" t="n">
        <v>3738.96</v>
      </c>
      <c r="N634" s="36" t="inlineStr">
        <is>
          <t>25 Ağustos 08.00-1 Eylül 07.59</t>
        </is>
      </c>
      <c r="O634" s="37" t="n">
        <v>13.4</v>
      </c>
      <c r="P634" s="38" t="n">
        <v>5456.29</v>
      </c>
      <c r="Q634" s="39"/>
      <c r="R634" s="40" t="n">
        <f>=IF(AND(ISBLANK(Q634), ISBLANK(U634)), "", "7 Günlük Fiyat")</f>
        <v>0.0</v>
      </c>
      <c r="S634" s="41" t="n">
        <f>=IF(OR(Q634="", R634=""), "-", IF(ISNUMBER(SEARCH("7 Günlük", R634)), IF(Q634&lt;=M634, O634, "-"), "-"))</f>
        <v>0.0</v>
      </c>
      <c r="T634" s="42" t="str">
        <f>=IF(ISBLANK(Q634), "", "Hayır")</f>
      </c>
      <c r="U634" s="43"/>
      <c r="V634" s="44" t="inlineStr">
        <is>
          <t>50461ed1-c2c8-4393-967e-55d58a3e2664</t>
        </is>
      </c>
    </row>
    <row r="635">
      <c r="A635" s="23" t="inlineStr">
        <is>
          <t>Toz Ve Nem Alıcı Paspas Iş Yeri Paspası Iç Ve Dış Mekan Paspası Giriş Paspası Kapı Paspası</t>
        </is>
      </c>
      <c r="B635" s="24" t="inlineStr">
        <is>
          <t>780287428</t>
        </is>
      </c>
      <c r="C635" s="25" t="inlineStr">
        <is>
          <t>TOZKONTROL-IYP2-RAMPASIZ-KIRMIZI-100x550</t>
        </is>
      </c>
      <c r="D635" s="26" t="inlineStr">
        <is>
          <t>TOZKONTROL-IYP2-RAMPASIZ-KIRMIZI-100x550</t>
        </is>
      </c>
      <c r="E635" s="27" t="inlineStr">
        <is>
          <t>100 x 550</t>
        </is>
      </c>
      <c r="F635" s="28" t="inlineStr">
        <is>
          <t>TOZKONTROL-IYP2-RAMPASIZ</t>
        </is>
      </c>
      <c r="G635" s="29" t="inlineStr">
        <is>
          <t>Kapı Önü Paspası</t>
        </is>
      </c>
      <c r="H635" s="30" t="inlineStr">
        <is>
          <t>Paspas Yap</t>
        </is>
      </c>
      <c r="I635" s="31" t="n">
        <v>93.0</v>
      </c>
      <c r="J635" s="32" t="n">
        <v>7489.0</v>
      </c>
      <c r="K635" s="33" t="n">
        <v>5745.08</v>
      </c>
      <c r="L635" s="34" t="n">
        <v>22.0</v>
      </c>
      <c r="M635" s="35" t="n">
        <v>3869.49</v>
      </c>
      <c r="N635" s="36" t="inlineStr">
        <is>
          <t>25 Ağustos 08.00-1 Eylül 07.59</t>
        </is>
      </c>
      <c r="O635" s="37" t="n">
        <v>13.0</v>
      </c>
      <c r="P635" s="38" t="n">
        <v>5745.08</v>
      </c>
      <c r="Q635" s="39"/>
      <c r="R635" s="40" t="n">
        <f>=IF(AND(ISBLANK(Q635), ISBLANK(U635)), "", "7 Günlük Fiyat")</f>
        <v>0.0</v>
      </c>
      <c r="S635" s="41" t="n">
        <f>=IF(OR(Q635="", R635=""), "-", IF(ISNUMBER(SEARCH("7 Günlük", R635)), IF(Q635&lt;=M635, O635, "-"), "-"))</f>
        <v>0.0</v>
      </c>
      <c r="T635" s="42" t="str">
        <f>=IF(ISBLANK(Q635), "", "Hayır")</f>
      </c>
      <c r="U635" s="43"/>
      <c r="V635" s="44" t="inlineStr">
        <is>
          <t>50461ed1-c2c8-4393-967e-55d58a3e2664</t>
        </is>
      </c>
    </row>
    <row r="636">
      <c r="A636" s="23" t="inlineStr">
        <is>
          <t>Toz Ve Nem Alıcı Paspas Iş Yeri Paspası Iç Ve Dış Mekan Paspası Giriş Paspası Kapı Paspası</t>
        </is>
      </c>
      <c r="B636" s="24" t="inlineStr">
        <is>
          <t>780287428</t>
        </is>
      </c>
      <c r="C636" s="25" t="inlineStr">
        <is>
          <t>TOZKONTROL-IYP2-RAMPASIZ-KIRMIZI-1001450</t>
        </is>
      </c>
      <c r="D636" s="26" t="inlineStr">
        <is>
          <t>TOZKONTROL-IYP2-RAMPASIZ-KIRMIZI-1001450</t>
        </is>
      </c>
      <c r="E636" s="27" t="inlineStr">
        <is>
          <t>100 x 1450</t>
        </is>
      </c>
      <c r="F636" s="28" t="inlineStr">
        <is>
          <t>TOZKONTROL-IYP2-RAMPASIZ</t>
        </is>
      </c>
      <c r="G636" s="29" t="inlineStr">
        <is>
          <t>Kapı Önü Paspası</t>
        </is>
      </c>
      <c r="H636" s="30" t="inlineStr">
        <is>
          <t>Paspas Yap</t>
        </is>
      </c>
      <c r="I636" s="31" t="n">
        <v>93.0</v>
      </c>
      <c r="J636" s="32" t="n">
        <v>20176.0</v>
      </c>
      <c r="K636" s="33" t="n">
        <v>16536.61</v>
      </c>
      <c r="L636" s="34" t="n">
        <v>22.0</v>
      </c>
      <c r="M636" s="35" t="n">
        <v>11034.43</v>
      </c>
      <c r="N636" s="36" t="inlineStr">
        <is>
          <t>25 Ağustos 08.00-1 Eylül 07.59</t>
        </is>
      </c>
      <c r="O636" s="37" t="n">
        <v>13.2</v>
      </c>
      <c r="P636" s="38" t="n">
        <v>16536.61</v>
      </c>
      <c r="Q636" s="39"/>
      <c r="R636" s="40" t="n">
        <f>=IF(AND(ISBLANK(Q636), ISBLANK(U636)), "", "7 Günlük Fiyat")</f>
        <v>0.0</v>
      </c>
      <c r="S636" s="41" t="n">
        <f>=IF(OR(Q636="", R636=""), "-", IF(ISNUMBER(SEARCH("7 Günlük", R636)), IF(Q636&lt;=M636, O636, "-"), "-"))</f>
        <v>0.0</v>
      </c>
      <c r="T636" s="42" t="str">
        <f>=IF(ISBLANK(Q636), "", "Hayır")</f>
      </c>
      <c r="U636" s="43"/>
      <c r="V636" s="44" t="inlineStr">
        <is>
          <t>50461ed1-c2c8-4393-967e-55d58a3e2664</t>
        </is>
      </c>
    </row>
    <row r="637">
      <c r="A637" s="23" t="inlineStr">
        <is>
          <t>Toz Ve Nem Alıcı Paspas Iş Yeri Paspası Iç Ve Dış Mekan Paspası Giriş Paspası Kapı Paspası</t>
        </is>
      </c>
      <c r="B637" s="24" t="inlineStr">
        <is>
          <t>780287428</t>
        </is>
      </c>
      <c r="C637" s="25" t="inlineStr">
        <is>
          <t>TOZKONTROL-IYP2-RAMPASIZ-KIRMIZI-801300</t>
        </is>
      </c>
      <c r="D637" s="26" t="inlineStr">
        <is>
          <t>TOZKONTROL-IYP2-RAMPASIZ-KIRMIZI-801300</t>
        </is>
      </c>
      <c r="E637" s="27" t="inlineStr">
        <is>
          <t>80 x 1300</t>
        </is>
      </c>
      <c r="F637" s="28" t="inlineStr">
        <is>
          <t>TOZKONTROL-IYP2-RAMPASIZ</t>
        </is>
      </c>
      <c r="G637" s="29" t="inlineStr">
        <is>
          <t>Kapı Önü Paspası</t>
        </is>
      </c>
      <c r="H637" s="30" t="inlineStr">
        <is>
          <t>Paspas Yap</t>
        </is>
      </c>
      <c r="I637" s="31" t="n">
        <v>93.0</v>
      </c>
      <c r="J637" s="32" t="n">
        <v>14241.0</v>
      </c>
      <c r="K637" s="33" t="n">
        <v>11799.39</v>
      </c>
      <c r="L637" s="34" t="n">
        <v>22.0</v>
      </c>
      <c r="M637" s="35" t="n">
        <v>8280.77</v>
      </c>
      <c r="N637" s="36" t="inlineStr">
        <is>
          <t>25 Ağustos 08.00-1 Eylül 07.59</t>
        </is>
      </c>
      <c r="O637" s="37" t="n">
        <v>14.4</v>
      </c>
      <c r="P637" s="38" t="n">
        <v>11799.39</v>
      </c>
      <c r="Q637" s="39"/>
      <c r="R637" s="40" t="n">
        <f>=IF(AND(ISBLANK(Q637), ISBLANK(U637)), "", "7 Günlük Fiyat")</f>
        <v>0.0</v>
      </c>
      <c r="S637" s="41" t="n">
        <f>=IF(OR(Q637="", R637=""), "-", IF(ISNUMBER(SEARCH("7 Günlük", R637)), IF(Q637&lt;=M637, O637, "-"), "-"))</f>
        <v>0.0</v>
      </c>
      <c r="T637" s="42" t="str">
        <f>=IF(ISBLANK(Q637), "", "Hayır")</f>
      </c>
      <c r="U637" s="43"/>
      <c r="V637" s="44" t="inlineStr">
        <is>
          <t>50461ed1-c2c8-4393-967e-55d58a3e2664</t>
        </is>
      </c>
    </row>
    <row r="638">
      <c r="A638" s="23" t="inlineStr">
        <is>
          <t>Toz Ve Nem Alıcı Paspas Iş Yeri Paspası Iç Ve Dış Mekan Paspası Giriş Paspası Kapı Paspası</t>
        </is>
      </c>
      <c r="B638" s="24" t="inlineStr">
        <is>
          <t>780287428</t>
        </is>
      </c>
      <c r="C638" s="25" t="inlineStr">
        <is>
          <t>TOZKONTROL-IYP2-RAMPASIZ-KIRMIZI-120700</t>
        </is>
      </c>
      <c r="D638" s="26" t="inlineStr">
        <is>
          <t>TOZKONTROL-IYP2-RAMPASIZ-KIRMIZI-120700</t>
        </is>
      </c>
      <c r="E638" s="27" t="inlineStr">
        <is>
          <t>120 x 700</t>
        </is>
      </c>
      <c r="F638" s="28" t="inlineStr">
        <is>
          <t>TOZKONTROL-IYP2-RAMPASIZ</t>
        </is>
      </c>
      <c r="G638" s="29" t="inlineStr">
        <is>
          <t>Kapı Önü Paspası</t>
        </is>
      </c>
      <c r="H638" s="30" t="inlineStr">
        <is>
          <t>Paspas Yap</t>
        </is>
      </c>
      <c r="I638" s="31" t="n">
        <v>93.0</v>
      </c>
      <c r="J638" s="32" t="n">
        <v>11436.0</v>
      </c>
      <c r="K638" s="33" t="n">
        <v>9433.2</v>
      </c>
      <c r="L638" s="34" t="n">
        <v>22.0</v>
      </c>
      <c r="M638" s="35" t="n">
        <v>6688.53</v>
      </c>
      <c r="N638" s="36" t="inlineStr">
        <is>
          <t>25 Ağustos 08.00-1 Eylül 07.59</t>
        </is>
      </c>
      <c r="O638" s="37" t="n">
        <v>14.6</v>
      </c>
      <c r="P638" s="38" t="n">
        <v>9433.2</v>
      </c>
      <c r="Q638" s="39"/>
      <c r="R638" s="40" t="n">
        <f>=IF(AND(ISBLANK(Q638), ISBLANK(U638)), "", "7 Günlük Fiyat")</f>
        <v>0.0</v>
      </c>
      <c r="S638" s="41" t="n">
        <f>=IF(OR(Q638="", R638=""), "-", IF(ISNUMBER(SEARCH("7 Günlük", R638)), IF(Q638&lt;=M638, O638, "-"), "-"))</f>
        <v>0.0</v>
      </c>
      <c r="T638" s="42" t="str">
        <f>=IF(ISBLANK(Q638), "", "Hayır")</f>
      </c>
      <c r="U638" s="43"/>
      <c r="V638" s="44" t="inlineStr">
        <is>
          <t>50461ed1-c2c8-4393-967e-55d58a3e2664</t>
        </is>
      </c>
    </row>
    <row r="639">
      <c r="A639" s="23" t="inlineStr">
        <is>
          <t>Toz Ve Nem Alıcı Paspas Iş Yeri Paspası Iç Ve Dış Mekan Paspası Giriş Paspası Kapı Paspası</t>
        </is>
      </c>
      <c r="B639" s="24" t="inlineStr">
        <is>
          <t>780287428</t>
        </is>
      </c>
      <c r="C639" s="25" t="inlineStr">
        <is>
          <t>TOZKONTROL-IYP2-RAMPASIZ-KIRMIZI-1201350</t>
        </is>
      </c>
      <c r="D639" s="26" t="inlineStr">
        <is>
          <t>TOZKONTROL-IYP2-RAMPASIZ-KIRMIZI-1201350</t>
        </is>
      </c>
      <c r="E639" s="27" t="inlineStr">
        <is>
          <t>120 x 1350</t>
        </is>
      </c>
      <c r="F639" s="28" t="inlineStr">
        <is>
          <t>TOZKONTROL-IYP2-RAMPASIZ</t>
        </is>
      </c>
      <c r="G639" s="29" t="inlineStr">
        <is>
          <t>Kapı Önü Paspası</t>
        </is>
      </c>
      <c r="H639" s="30" t="inlineStr">
        <is>
          <t>Paspas Yap</t>
        </is>
      </c>
      <c r="I639" s="31" t="n">
        <v>93.0</v>
      </c>
      <c r="J639" s="32" t="n">
        <v>22657.0</v>
      </c>
      <c r="K639" s="33" t="n">
        <v>18590.08</v>
      </c>
      <c r="L639" s="34" t="n">
        <v>22.0</v>
      </c>
      <c r="M639" s="35" t="n">
        <v>12530.42</v>
      </c>
      <c r="N639" s="36" t="inlineStr">
        <is>
          <t>25 Ağustos 08.00-1 Eylül 07.59</t>
        </is>
      </c>
      <c r="O639" s="37" t="n">
        <v>13.4</v>
      </c>
      <c r="P639" s="38" t="n">
        <v>18590.08</v>
      </c>
      <c r="Q639" s="39"/>
      <c r="R639" s="40" t="n">
        <f>=IF(AND(ISBLANK(Q639), ISBLANK(U639)), "", "7 Günlük Fiyat")</f>
        <v>0.0</v>
      </c>
      <c r="S639" s="41" t="n">
        <f>=IF(OR(Q639="", R639=""), "-", IF(ISNUMBER(SEARCH("7 Günlük", R639)), IF(Q639&lt;=M639, O639, "-"), "-"))</f>
        <v>0.0</v>
      </c>
      <c r="T639" s="42" t="str">
        <f>=IF(ISBLANK(Q639), "", "Hayır")</f>
      </c>
      <c r="U639" s="43"/>
      <c r="V639" s="44" t="inlineStr">
        <is>
          <t>50461ed1-c2c8-4393-967e-55d58a3e2664</t>
        </is>
      </c>
    </row>
    <row r="640">
      <c r="A640" s="23" t="inlineStr">
        <is>
          <t>Toz Ve Nem Alıcı Paspas Iş Yeri Paspası Iç Ve Dış Mekan Paspası Giriş Paspası Kapı Paspası</t>
        </is>
      </c>
      <c r="B640" s="24" t="inlineStr">
        <is>
          <t>780287428</t>
        </is>
      </c>
      <c r="C640" s="25" t="inlineStr">
        <is>
          <t>TOZKONTROL-IYP2-RAMPASIZ-KIRMIZI-1001100</t>
        </is>
      </c>
      <c r="D640" s="26" t="inlineStr">
        <is>
          <t>TOZKONTROL-IYP2-RAMPASIZ-KIRMIZI-1001100</t>
        </is>
      </c>
      <c r="E640" s="27" t="inlineStr">
        <is>
          <t>100 x 1100</t>
        </is>
      </c>
      <c r="F640" s="28" t="inlineStr">
        <is>
          <t>TOZKONTROL-IYP2-RAMPASIZ</t>
        </is>
      </c>
      <c r="G640" s="29" t="inlineStr">
        <is>
          <t>Kapı Önü Paspası</t>
        </is>
      </c>
      <c r="H640" s="30" t="inlineStr">
        <is>
          <t>Paspas Yap</t>
        </is>
      </c>
      <c r="I640" s="31" t="n">
        <v>93.0</v>
      </c>
      <c r="J640" s="32" t="n">
        <v>15206.0</v>
      </c>
      <c r="K640" s="33" t="n">
        <v>12551.72</v>
      </c>
      <c r="L640" s="34" t="n">
        <v>22.0</v>
      </c>
      <c r="M640" s="35" t="n">
        <v>8886.23</v>
      </c>
      <c r="N640" s="36" t="inlineStr">
        <is>
          <t>25 Ağustos 08.00-1 Eylül 07.59</t>
        </is>
      </c>
      <c r="O640" s="37" t="n">
        <v>14.6</v>
      </c>
      <c r="P640" s="38" t="n">
        <v>12551.72</v>
      </c>
      <c r="Q640" s="39"/>
      <c r="R640" s="40" t="n">
        <f>=IF(AND(ISBLANK(Q640), ISBLANK(U640)), "", "7 Günlük Fiyat")</f>
        <v>0.0</v>
      </c>
      <c r="S640" s="41" t="n">
        <f>=IF(OR(Q640="", R640=""), "-", IF(ISNUMBER(SEARCH("7 Günlük", R640)), IF(Q640&lt;=M640, O640, "-"), "-"))</f>
        <v>0.0</v>
      </c>
      <c r="T640" s="42" t="str">
        <f>=IF(ISBLANK(Q640), "", "Hayır")</f>
      </c>
      <c r="U640" s="43"/>
      <c r="V640" s="44" t="inlineStr">
        <is>
          <t>50461ed1-c2c8-4393-967e-55d58a3e2664</t>
        </is>
      </c>
    </row>
    <row r="641">
      <c r="A641" s="23" t="inlineStr">
        <is>
          <t>Toz Ve Nem Alıcı Paspas Iş Yeri Paspası Iç Ve Dış Mekan Paspası Giriş Paspası Kapı Paspası</t>
        </is>
      </c>
      <c r="B641" s="24" t="inlineStr">
        <is>
          <t>780287428</t>
        </is>
      </c>
      <c r="C641" s="25" t="inlineStr">
        <is>
          <t>TOZKONTROL-IYP2-RAMPASIZ-KIRMIZI-40x70</t>
        </is>
      </c>
      <c r="D641" s="26" t="inlineStr">
        <is>
          <t>TOZKONTROL-IYP2-RAMPASIZ-KIRMIZI-40x70</t>
        </is>
      </c>
      <c r="E641" s="27" t="inlineStr">
        <is>
          <t>40 x 70</t>
        </is>
      </c>
      <c r="F641" s="28" t="inlineStr">
        <is>
          <t>TOZKONTROL-IYP2-RAMPASIZ</t>
        </is>
      </c>
      <c r="G641" s="29" t="inlineStr">
        <is>
          <t>Kapı Önü Paspası</t>
        </is>
      </c>
      <c r="H641" s="30" t="inlineStr">
        <is>
          <t>Paspas Yap</t>
        </is>
      </c>
      <c r="I641" s="31" t="n">
        <v>93.0</v>
      </c>
      <c r="J641" s="32" t="n">
        <v>669.0</v>
      </c>
      <c r="K641" s="33" t="n">
        <v>536.81</v>
      </c>
      <c r="L641" s="34" t="n">
        <v>22.0</v>
      </c>
      <c r="M641" s="35" t="n">
        <v>398.91</v>
      </c>
      <c r="N641" s="36" t="inlineStr">
        <is>
          <t>25 Ağustos 08.00-1 Eylül 07.59</t>
        </is>
      </c>
      <c r="O641" s="37" t="n">
        <v>15.4</v>
      </c>
      <c r="P641" s="38" t="n">
        <v>536.81</v>
      </c>
      <c r="Q641" s="39"/>
      <c r="R641" s="40" t="n">
        <f>=IF(AND(ISBLANK(Q641), ISBLANK(U641)), "", "7 Günlük Fiyat")</f>
        <v>0.0</v>
      </c>
      <c r="S641" s="41" t="n">
        <f>=IF(OR(Q641="", R641=""), "-", IF(ISNUMBER(SEARCH("7 Günlük", R641)), IF(Q641&lt;=M641, O641, "-"), "-"))</f>
        <v>0.0</v>
      </c>
      <c r="T641" s="42" t="str">
        <f>=IF(ISBLANK(Q641), "", "Hayır")</f>
      </c>
      <c r="U641" s="43"/>
      <c r="V641" s="44" t="inlineStr">
        <is>
          <t>50461ed1-c2c8-4393-967e-55d58a3e2664</t>
        </is>
      </c>
    </row>
    <row r="642">
      <c r="A642" s="23" t="inlineStr">
        <is>
          <t>Toz Ve Nem Alıcı Paspas Iş Yeri Paspası Iç Ve Dış Mekan Paspası Giriş Paspası Kapı Paspası</t>
        </is>
      </c>
      <c r="B642" s="24" t="inlineStr">
        <is>
          <t>780287428</t>
        </is>
      </c>
      <c r="C642" s="25" t="inlineStr">
        <is>
          <t>TOZKONTROL-IYP2-RAMPASIZ-KIRMIZI-120x180</t>
        </is>
      </c>
      <c r="D642" s="26" t="inlineStr">
        <is>
          <t>TOZKONTROL-IYP2-RAMPASIZ-KIRMIZI-120x180</t>
        </is>
      </c>
      <c r="E642" s="27" t="inlineStr">
        <is>
          <t>120 x 180</t>
        </is>
      </c>
      <c r="F642" s="28" t="inlineStr">
        <is>
          <t>TOZKONTROL-IYP2-RAMPASIZ</t>
        </is>
      </c>
      <c r="G642" s="29" t="inlineStr">
        <is>
          <t>Kapı Önü Paspası</t>
        </is>
      </c>
      <c r="H642" s="30" t="inlineStr">
        <is>
          <t>Paspas Yap</t>
        </is>
      </c>
      <c r="I642" s="31" t="n">
        <v>93.0</v>
      </c>
      <c r="J642" s="32" t="n">
        <v>3453.0</v>
      </c>
      <c r="K642" s="33" t="n">
        <v>2775.97</v>
      </c>
      <c r="L642" s="34" t="n">
        <v>22.0</v>
      </c>
      <c r="M642" s="35" t="n">
        <v>1934.76</v>
      </c>
      <c r="N642" s="36" t="inlineStr">
        <is>
          <t>25 Ağustos 08.00-1 Eylül 07.59</t>
        </is>
      </c>
      <c r="O642" s="37" t="n">
        <v>13.9</v>
      </c>
      <c r="P642" s="38" t="n">
        <v>2775.97</v>
      </c>
      <c r="Q642" s="39"/>
      <c r="R642" s="40" t="n">
        <f>=IF(AND(ISBLANK(Q642), ISBLANK(U642)), "", "7 Günlük Fiyat")</f>
        <v>0.0</v>
      </c>
      <c r="S642" s="41" t="n">
        <f>=IF(OR(Q642="", R642=""), "-", IF(ISNUMBER(SEARCH("7 Günlük", R642)), IF(Q642&lt;=M642, O642, "-"), "-"))</f>
        <v>0.0</v>
      </c>
      <c r="T642" s="42" t="str">
        <f>=IF(ISBLANK(Q642), "", "Hayır")</f>
      </c>
      <c r="U642" s="43"/>
      <c r="V642" s="44" t="inlineStr">
        <is>
          <t>50461ed1-c2c8-4393-967e-55d58a3e2664</t>
        </is>
      </c>
    </row>
    <row r="643">
      <c r="A643" s="23" t="inlineStr">
        <is>
          <t>Toz Ve Nem Alıcı Paspas Iş Yeri Paspası Iç Ve Dış Mekan Paspası Giriş Paspası Kapı Paspası</t>
        </is>
      </c>
      <c r="B643" s="24" t="inlineStr">
        <is>
          <t>780287428</t>
        </is>
      </c>
      <c r="C643" s="25" t="inlineStr">
        <is>
          <t>TOZKONTROL-IYP2-RAMPASIZ-KIRMIZI-80850</t>
        </is>
      </c>
      <c r="D643" s="26" t="inlineStr">
        <is>
          <t>TOZKONTROL-IYP2-RAMPASIZ-KIRMIZI-80850</t>
        </is>
      </c>
      <c r="E643" s="27" t="inlineStr">
        <is>
          <t>80 x 850</t>
        </is>
      </c>
      <c r="F643" s="28" t="inlineStr">
        <is>
          <t>TOZKONTROL-IYP2-RAMPASIZ</t>
        </is>
      </c>
      <c r="G643" s="29" t="inlineStr">
        <is>
          <t>Kapı Önü Paspası</t>
        </is>
      </c>
      <c r="H643" s="30" t="inlineStr">
        <is>
          <t>Paspas Yap</t>
        </is>
      </c>
      <c r="I643" s="31" t="n">
        <v>93.0</v>
      </c>
      <c r="J643" s="32" t="n">
        <v>9213.0</v>
      </c>
      <c r="K643" s="33" t="n">
        <v>7082.56</v>
      </c>
      <c r="L643" s="34" t="n">
        <v>22.0</v>
      </c>
      <c r="M643" s="35" t="n">
        <v>4836.79</v>
      </c>
      <c r="N643" s="36" t="inlineStr">
        <is>
          <t>25 Ağustos 08.00-1 Eylül 07.59</t>
        </is>
      </c>
      <c r="O643" s="37" t="n">
        <v>13.3</v>
      </c>
      <c r="P643" s="38" t="n">
        <v>7082.56</v>
      </c>
      <c r="Q643" s="39"/>
      <c r="R643" s="40" t="n">
        <f>=IF(AND(ISBLANK(Q643), ISBLANK(U643)), "", "7 Günlük Fiyat")</f>
        <v>0.0</v>
      </c>
      <c r="S643" s="41" t="n">
        <f>=IF(OR(Q643="", R643=""), "-", IF(ISNUMBER(SEARCH("7 Günlük", R643)), IF(Q643&lt;=M643, O643, "-"), "-"))</f>
        <v>0.0</v>
      </c>
      <c r="T643" s="42" t="str">
        <f>=IF(ISBLANK(Q643), "", "Hayır")</f>
      </c>
      <c r="U643" s="43"/>
      <c r="V643" s="44" t="inlineStr">
        <is>
          <t>50461ed1-c2c8-4393-967e-55d58a3e2664</t>
        </is>
      </c>
    </row>
    <row r="644">
      <c r="A644" s="23" t="inlineStr">
        <is>
          <t>Toz Ve Nem Alıcı Paspas Iş Yeri Paspası Iç Ve Dış Mekan Paspası Giriş Paspası Kapı Paspası</t>
        </is>
      </c>
      <c r="B644" s="24" t="inlineStr">
        <is>
          <t>780287428</t>
        </is>
      </c>
      <c r="C644" s="25" t="inlineStr">
        <is>
          <t>TOZKONTROL-IYP2-RAMPASIZ-KIRMIZI-50x90</t>
        </is>
      </c>
      <c r="D644" s="26" t="inlineStr">
        <is>
          <t>TOZKONTROL-IYP2-RAMPASIZ-KIRMIZI-50x90</t>
        </is>
      </c>
      <c r="E644" s="27" t="inlineStr">
        <is>
          <t>50 x 90</t>
        </is>
      </c>
      <c r="F644" s="28" t="inlineStr">
        <is>
          <t>TOZKONTROL-IYP2-RAMPASIZ</t>
        </is>
      </c>
      <c r="G644" s="29" t="inlineStr">
        <is>
          <t>Kapı Önü Paspası</t>
        </is>
      </c>
      <c r="H644" s="30" t="inlineStr">
        <is>
          <t>Paspas Yap</t>
        </is>
      </c>
      <c r="I644" s="31" t="n">
        <v>93.0</v>
      </c>
      <c r="J644" s="32" t="n">
        <v>889.0</v>
      </c>
      <c r="K644" s="33" t="n">
        <v>827.03</v>
      </c>
      <c r="L644" s="34" t="n">
        <v>22.0</v>
      </c>
      <c r="M644" s="35" t="n">
        <v>571.98</v>
      </c>
      <c r="N644" s="36" t="inlineStr">
        <is>
          <t>25 Ağustos 08.00-1 Eylül 07.59</t>
        </is>
      </c>
      <c r="O644" s="37" t="n">
        <v>15.6</v>
      </c>
      <c r="P644" s="38" t="n">
        <v>827.03</v>
      </c>
      <c r="Q644" s="39"/>
      <c r="R644" s="40" t="n">
        <f>=IF(AND(ISBLANK(Q644), ISBLANK(U644)), "", "7 Günlük Fiyat")</f>
        <v>0.0</v>
      </c>
      <c r="S644" s="41" t="n">
        <f>=IF(OR(Q644="", R644=""), "-", IF(ISNUMBER(SEARCH("7 Günlük", R644)), IF(Q644&lt;=M644, O644, "-"), "-"))</f>
        <v>0.0</v>
      </c>
      <c r="T644" s="42" t="str">
        <f>=IF(ISBLANK(Q644), "", "Hayır")</f>
      </c>
      <c r="U644" s="43"/>
      <c r="V644" s="44" t="inlineStr">
        <is>
          <t>50461ed1-c2c8-4393-967e-55d58a3e2664</t>
        </is>
      </c>
    </row>
    <row r="645">
      <c r="A645" s="23" t="inlineStr">
        <is>
          <t>Toz Ve Nem Alıcı Paspas Iş Yeri Paspası Iç Ve Dış Mekan Paspası Giriş Paspası Kapı Paspası</t>
        </is>
      </c>
      <c r="B645" s="24" t="inlineStr">
        <is>
          <t>780287428</t>
        </is>
      </c>
      <c r="C645" s="25" t="inlineStr">
        <is>
          <t>TOZKONTROL-IYP2-RAMPASIZ-KIRMIZI-801450</t>
        </is>
      </c>
      <c r="D645" s="26" t="inlineStr">
        <is>
          <t>TOZKONTROL-IYP2-RAMPASIZ-KIRMIZI-801450</t>
        </is>
      </c>
      <c r="E645" s="27" t="inlineStr">
        <is>
          <t>80 x 1450</t>
        </is>
      </c>
      <c r="F645" s="28" t="inlineStr">
        <is>
          <t>TOZKONTROL-IYP2-RAMPASIZ</t>
        </is>
      </c>
      <c r="G645" s="29" t="inlineStr">
        <is>
          <t>Kapı Önü Paspası</t>
        </is>
      </c>
      <c r="H645" s="30" t="inlineStr">
        <is>
          <t>Paspas Yap</t>
        </is>
      </c>
      <c r="I645" s="31" t="n">
        <v>93.0</v>
      </c>
      <c r="J645" s="32" t="n">
        <v>15968.0</v>
      </c>
      <c r="K645" s="33" t="n">
        <v>12613.63</v>
      </c>
      <c r="L645" s="34" t="n">
        <v>22.0</v>
      </c>
      <c r="M645" s="35" t="n">
        <v>8651.2</v>
      </c>
      <c r="N645" s="36" t="inlineStr">
        <is>
          <t>25 Ağustos 08.00-1 Eylül 07.59</t>
        </is>
      </c>
      <c r="O645" s="37" t="n">
        <v>13.7</v>
      </c>
      <c r="P645" s="38" t="n">
        <v>12613.63</v>
      </c>
      <c r="Q645" s="39"/>
      <c r="R645" s="40" t="n">
        <f>=IF(AND(ISBLANK(Q645), ISBLANK(U645)), "", "7 Günlük Fiyat")</f>
        <v>0.0</v>
      </c>
      <c r="S645" s="41" t="n">
        <f>=IF(OR(Q645="", R645=""), "-", IF(ISNUMBER(SEARCH("7 Günlük", R645)), IF(Q645&lt;=M645, O645, "-"), "-"))</f>
        <v>0.0</v>
      </c>
      <c r="T645" s="42" t="str">
        <f>=IF(ISBLANK(Q645), "", "Hayır")</f>
      </c>
      <c r="U645" s="43"/>
      <c r="V645" s="44" t="inlineStr">
        <is>
          <t>50461ed1-c2c8-4393-967e-55d58a3e2664</t>
        </is>
      </c>
    </row>
    <row r="646">
      <c r="A646" s="23" t="inlineStr">
        <is>
          <t>Toz Ve Nem Alıcı Paspas Iş Yeri Paspası Iç Ve Dış Mekan Paspası Giriş Paspası Kapı Paspası</t>
        </is>
      </c>
      <c r="B646" s="24" t="inlineStr">
        <is>
          <t>780287428</t>
        </is>
      </c>
      <c r="C646" s="25" t="inlineStr">
        <is>
          <t>TOZKONTROL-IYP2-RAMPASIZ-KIRMIZI-1201100</t>
        </is>
      </c>
      <c r="D646" s="26" t="inlineStr">
        <is>
          <t>TOZKONTROL-IYP2-RAMPASIZ-KIRMIZI-1201100</t>
        </is>
      </c>
      <c r="E646" s="27" t="inlineStr">
        <is>
          <t>120 x 1100</t>
        </is>
      </c>
      <c r="F646" s="28" t="inlineStr">
        <is>
          <t>TOZKONTROL-IYP2-RAMPASIZ</t>
        </is>
      </c>
      <c r="G646" s="29" t="inlineStr">
        <is>
          <t>Kapı Önü Paspası</t>
        </is>
      </c>
      <c r="H646" s="30" t="inlineStr">
        <is>
          <t>Paspas Yap</t>
        </is>
      </c>
      <c r="I646" s="31" t="n">
        <v>93.0</v>
      </c>
      <c r="J646" s="32" t="n">
        <v>18338.0</v>
      </c>
      <c r="K646" s="33" t="n">
        <v>14467.41</v>
      </c>
      <c r="L646" s="34" t="n">
        <v>22.0</v>
      </c>
      <c r="M646" s="35" t="n">
        <v>9898.45</v>
      </c>
      <c r="N646" s="36" t="inlineStr">
        <is>
          <t>25 Ağustos 08.00-1 Eylül 07.59</t>
        </is>
      </c>
      <c r="O646" s="37" t="n">
        <v>13.6</v>
      </c>
      <c r="P646" s="38" t="n">
        <v>14467.41</v>
      </c>
      <c r="Q646" s="39"/>
      <c r="R646" s="40" t="n">
        <f>=IF(AND(ISBLANK(Q646), ISBLANK(U646)), "", "7 Günlük Fiyat")</f>
        <v>0.0</v>
      </c>
      <c r="S646" s="41" t="n">
        <f>=IF(OR(Q646="", R646=""), "-", IF(ISNUMBER(SEARCH("7 Günlük", R646)), IF(Q646&lt;=M646, O646, "-"), "-"))</f>
        <v>0.0</v>
      </c>
      <c r="T646" s="42" t="str">
        <f>=IF(ISBLANK(Q646), "", "Hayır")</f>
      </c>
      <c r="U646" s="43"/>
      <c r="V646" s="44" t="inlineStr">
        <is>
          <t>50461ed1-c2c8-4393-967e-55d58a3e2664</t>
        </is>
      </c>
    </row>
    <row r="647">
      <c r="A647" s="23" t="inlineStr">
        <is>
          <t>Toz Ve Nem Alıcı Paspas Iş Yeri Paspası Iç Ve Dış Mekan Paspası Giriş Paspası Kapı Paspası</t>
        </is>
      </c>
      <c r="B647" s="24" t="inlineStr">
        <is>
          <t>780287428</t>
        </is>
      </c>
      <c r="C647" s="25" t="inlineStr">
        <is>
          <t>TOZKONTROL-IYP2-RAMPASIZ-KIRMIZI-80200</t>
        </is>
      </c>
      <c r="D647" s="26" t="inlineStr">
        <is>
          <t>TOZKONTROL-IYP2-RAMPASIZ-KIRMIZI-80200</t>
        </is>
      </c>
      <c r="E647" s="27" t="inlineStr">
        <is>
          <t>80 x 200</t>
        </is>
      </c>
      <c r="F647" s="28" t="inlineStr">
        <is>
          <t>TOZKONTROL-IYP2-RAMPASIZ</t>
        </is>
      </c>
      <c r="G647" s="29" t="inlineStr">
        <is>
          <t>Kapı Önü Paspası</t>
        </is>
      </c>
      <c r="H647" s="30" t="inlineStr">
        <is>
          <t>Paspas Yap</t>
        </is>
      </c>
      <c r="I647" s="31" t="n">
        <v>93.0</v>
      </c>
      <c r="J647" s="32" t="n">
        <v>2390.0</v>
      </c>
      <c r="K647" s="33" t="n">
        <v>1965.7</v>
      </c>
      <c r="L647" s="34" t="n">
        <v>22.0</v>
      </c>
      <c r="M647" s="35" t="n">
        <v>1281.02</v>
      </c>
      <c r="N647" s="36" t="inlineStr">
        <is>
          <t>25 Ağustos 08.00-1 Eylül 07.59</t>
        </is>
      </c>
      <c r="O647" s="37" t="n">
        <v>13.7</v>
      </c>
      <c r="P647" s="38" t="n">
        <v>1965.7</v>
      </c>
      <c r="Q647" s="39"/>
      <c r="R647" s="40" t="n">
        <f>=IF(AND(ISBLANK(Q647), ISBLANK(U647)), "", "7 Günlük Fiyat")</f>
        <v>0.0</v>
      </c>
      <c r="S647" s="41" t="n">
        <f>=IF(OR(Q647="", R647=""), "-", IF(ISNUMBER(SEARCH("7 Günlük", R647)), IF(Q647&lt;=M647, O647, "-"), "-"))</f>
        <v>0.0</v>
      </c>
      <c r="T647" s="42" t="str">
        <f>=IF(ISBLANK(Q647), "", "Hayır")</f>
      </c>
      <c r="U647" s="43"/>
      <c r="V647" s="44" t="inlineStr">
        <is>
          <t>50461ed1-c2c8-4393-967e-55d58a3e2664</t>
        </is>
      </c>
    </row>
    <row r="648">
      <c r="A648" s="23" t="inlineStr">
        <is>
          <t>Toz Ve Nem Alıcı Paspas Iş Yeri Paspası Iç Ve Dış Mekan Paspası Giriş Paspası Kapı Paspası</t>
        </is>
      </c>
      <c r="B648" s="24" t="inlineStr">
        <is>
          <t>780287428</t>
        </is>
      </c>
      <c r="C648" s="25" t="inlineStr">
        <is>
          <t>TOZKONTROL-IYP2-RAMPASIZ-KIRMIZI-120250</t>
        </is>
      </c>
      <c r="D648" s="26" t="inlineStr">
        <is>
          <t>TOZKONTROL-IYP2-RAMPASIZ-KIRMIZI-120250</t>
        </is>
      </c>
      <c r="E648" s="27" t="inlineStr">
        <is>
          <t>120 x 250</t>
        </is>
      </c>
      <c r="F648" s="28" t="inlineStr">
        <is>
          <t>TOZKONTROL-IYP2-RAMPASIZ</t>
        </is>
      </c>
      <c r="G648" s="29" t="inlineStr">
        <is>
          <t>Kapı Önü Paspası</t>
        </is>
      </c>
      <c r="H648" s="30" t="inlineStr">
        <is>
          <t>Paspas Yap</t>
        </is>
      </c>
      <c r="I648" s="31" t="n">
        <v>93.0</v>
      </c>
      <c r="J648" s="32" t="n">
        <v>4191.0</v>
      </c>
      <c r="K648" s="33" t="n">
        <v>3426.92</v>
      </c>
      <c r="L648" s="34" t="n">
        <v>22.0</v>
      </c>
      <c r="M648" s="35" t="n">
        <v>2505.28</v>
      </c>
      <c r="N648" s="36" t="inlineStr">
        <is>
          <t>25 Ağustos 08.00-1 Eylül 07.59</t>
        </is>
      </c>
      <c r="O648" s="37" t="n">
        <v>15.1</v>
      </c>
      <c r="P648" s="38" t="n">
        <v>3426.92</v>
      </c>
      <c r="Q648" s="39"/>
      <c r="R648" s="40" t="n">
        <f>=IF(AND(ISBLANK(Q648), ISBLANK(U648)), "", "7 Günlük Fiyat")</f>
        <v>0.0</v>
      </c>
      <c r="S648" s="41" t="n">
        <f>=IF(OR(Q648="", R648=""), "-", IF(ISNUMBER(SEARCH("7 Günlük", R648)), IF(Q648&lt;=M648, O648, "-"), "-"))</f>
        <v>0.0</v>
      </c>
      <c r="T648" s="42" t="str">
        <f>=IF(ISBLANK(Q648), "", "Hayır")</f>
      </c>
      <c r="U648" s="43"/>
      <c r="V648" s="44" t="inlineStr">
        <is>
          <t>50461ed1-c2c8-4393-967e-55d58a3e2664</t>
        </is>
      </c>
    </row>
    <row r="649">
      <c r="A649" s="23" t="inlineStr">
        <is>
          <t>Toz Ve Nem Alıcı Paspas Iş Yeri Paspası Iç Ve Dış Mekan Paspası Giriş Paspası Kapı Paspası</t>
        </is>
      </c>
      <c r="B649" s="24" t="inlineStr">
        <is>
          <t>780287428</t>
        </is>
      </c>
      <c r="C649" s="25" t="inlineStr">
        <is>
          <t>TOZKONTROL-IYP2-RAMPASIZ-KIRMIZI-801400</t>
        </is>
      </c>
      <c r="D649" s="26" t="inlineStr">
        <is>
          <t>TOZKONTROL-IYP2-RAMPASIZ-KIRMIZI-801400</t>
        </is>
      </c>
      <c r="E649" s="27" t="inlineStr">
        <is>
          <t>80 x 1400</t>
        </is>
      </c>
      <c r="F649" s="28" t="inlineStr">
        <is>
          <t>TOZKONTROL-IYP2-RAMPASIZ</t>
        </is>
      </c>
      <c r="G649" s="29" t="inlineStr">
        <is>
          <t>Kapı Önü Paspası</t>
        </is>
      </c>
      <c r="H649" s="30" t="inlineStr">
        <is>
          <t>Paspas Yap</t>
        </is>
      </c>
      <c r="I649" s="31" t="n">
        <v>93.0</v>
      </c>
      <c r="J649" s="32" t="n">
        <v>15427.0</v>
      </c>
      <c r="K649" s="33" t="n">
        <v>12190.02</v>
      </c>
      <c r="L649" s="34" t="n">
        <v>22.0</v>
      </c>
      <c r="M649" s="35" t="n">
        <v>8244.46</v>
      </c>
      <c r="N649" s="36" t="inlineStr">
        <is>
          <t>25 Ağustos 08.00-1 Eylül 07.59</t>
        </is>
      </c>
      <c r="O649" s="37" t="n">
        <v>13.4</v>
      </c>
      <c r="P649" s="38" t="n">
        <v>12190.02</v>
      </c>
      <c r="Q649" s="39"/>
      <c r="R649" s="40" t="n">
        <f>=IF(AND(ISBLANK(Q649), ISBLANK(U649)), "", "7 Günlük Fiyat")</f>
        <v>0.0</v>
      </c>
      <c r="S649" s="41" t="n">
        <f>=IF(OR(Q649="", R649=""), "-", IF(ISNUMBER(SEARCH("7 Günlük", R649)), IF(Q649&lt;=M649, O649, "-"), "-"))</f>
        <v>0.0</v>
      </c>
      <c r="T649" s="42" t="str">
        <f>=IF(ISBLANK(Q649), "", "Hayır")</f>
      </c>
      <c r="U649" s="43"/>
      <c r="V649" s="44" t="inlineStr">
        <is>
          <t>50461ed1-c2c8-4393-967e-55d58a3e2664</t>
        </is>
      </c>
    </row>
    <row r="650">
      <c r="A650" s="23" t="inlineStr">
        <is>
          <t>Toz Ve Nem Alıcı Paspas Iş Yeri Paspası Iç Ve Dış Mekan Paspası Giriş Paspası Kapı Paspası</t>
        </is>
      </c>
      <c r="B650" s="24" t="inlineStr">
        <is>
          <t>780287428</t>
        </is>
      </c>
      <c r="C650" s="25" t="inlineStr">
        <is>
          <t>TOZKONTROL-IYP2-RAMPASIZ-KIRMIZI-100x500</t>
        </is>
      </c>
      <c r="D650" s="26" t="inlineStr">
        <is>
          <t>TOZKONTROL-IYP2-RAMPASIZ-KIRMIZI-100x500</t>
        </is>
      </c>
      <c r="E650" s="27" t="inlineStr">
        <is>
          <t>100 x 500</t>
        </is>
      </c>
      <c r="F650" s="28" t="inlineStr">
        <is>
          <t>TOZKONTROL-IYP2-RAMPASIZ</t>
        </is>
      </c>
      <c r="G650" s="29" t="inlineStr">
        <is>
          <t>Kapı Önü Paspası</t>
        </is>
      </c>
      <c r="H650" s="30" t="inlineStr">
        <is>
          <t>Paspas Yap</t>
        </is>
      </c>
      <c r="I650" s="31" t="n">
        <v>93.0</v>
      </c>
      <c r="J650" s="32" t="n">
        <v>6788.0</v>
      </c>
      <c r="K650" s="33" t="n">
        <v>5489.64</v>
      </c>
      <c r="L650" s="34" t="n">
        <v>22.0</v>
      </c>
      <c r="M650" s="35" t="n">
        <v>3832.24</v>
      </c>
      <c r="N650" s="36" t="inlineStr">
        <is>
          <t>25 Ağustos 08.00-1 Eylül 07.59</t>
        </is>
      </c>
      <c r="O650" s="37" t="n">
        <v>14.3</v>
      </c>
      <c r="P650" s="38" t="n">
        <v>5489.64</v>
      </c>
      <c r="Q650" s="39"/>
      <c r="R650" s="40" t="n">
        <f>=IF(AND(ISBLANK(Q650), ISBLANK(U650)), "", "7 Günlük Fiyat")</f>
        <v>0.0</v>
      </c>
      <c r="S650" s="41" t="n">
        <f>=IF(OR(Q650="", R650=""), "-", IF(ISNUMBER(SEARCH("7 Günlük", R650)), IF(Q650&lt;=M650, O650, "-"), "-"))</f>
        <v>0.0</v>
      </c>
      <c r="T650" s="42" t="str">
        <f>=IF(ISBLANK(Q650), "", "Hayır")</f>
      </c>
      <c r="U650" s="43"/>
      <c r="V650" s="44" t="inlineStr">
        <is>
          <t>50461ed1-c2c8-4393-967e-55d58a3e2664</t>
        </is>
      </c>
    </row>
    <row r="651">
      <c r="A651" s="23" t="inlineStr">
        <is>
          <t>Toz Ve Nem Alıcı Paspas Iş Yeri Paspası Iç Ve Dış Mekan Paspası Giriş Paspası Kapı Paspası</t>
        </is>
      </c>
      <c r="B651" s="24" t="inlineStr">
        <is>
          <t>780287428</t>
        </is>
      </c>
      <c r="C651" s="25" t="inlineStr">
        <is>
          <t>TOZKONTROL-IYP2-RAMPASIZ-KIRMIZI-120650</t>
        </is>
      </c>
      <c r="D651" s="26" t="inlineStr">
        <is>
          <t>TOZKONTROL-IYP2-RAMPASIZ-KIRMIZI-120650</t>
        </is>
      </c>
      <c r="E651" s="27" t="inlineStr">
        <is>
          <t>120 x 650</t>
        </is>
      </c>
      <c r="F651" s="28" t="inlineStr">
        <is>
          <t>TOZKONTROL-IYP2-RAMPASIZ</t>
        </is>
      </c>
      <c r="G651" s="29" t="inlineStr">
        <is>
          <t>Kapı Önü Paspası</t>
        </is>
      </c>
      <c r="H651" s="30" t="inlineStr">
        <is>
          <t>Paspas Yap</t>
        </is>
      </c>
      <c r="I651" s="31" t="n">
        <v>93.0</v>
      </c>
      <c r="J651" s="32" t="n">
        <v>10622.0</v>
      </c>
      <c r="K651" s="33" t="n">
        <v>8590.34</v>
      </c>
      <c r="L651" s="34" t="n">
        <v>22.0</v>
      </c>
      <c r="M651" s="35" t="n">
        <v>6109.01</v>
      </c>
      <c r="N651" s="36" t="inlineStr">
        <is>
          <t>25 Ağustos 08.00-1 Eylül 07.59</t>
        </is>
      </c>
      <c r="O651" s="37" t="n">
        <v>14.4</v>
      </c>
      <c r="P651" s="38" t="n">
        <v>8590.34</v>
      </c>
      <c r="Q651" s="39"/>
      <c r="R651" s="40" t="n">
        <f>=IF(AND(ISBLANK(Q651), ISBLANK(U651)), "", "7 Günlük Fiyat")</f>
        <v>0.0</v>
      </c>
      <c r="S651" s="41" t="n">
        <f>=IF(OR(Q651="", R651=""), "-", IF(ISNUMBER(SEARCH("7 Günlük", R651)), IF(Q651&lt;=M651, O651, "-"), "-"))</f>
        <v>0.0</v>
      </c>
      <c r="T651" s="42" t="str">
        <f>=IF(ISBLANK(Q651), "", "Hayır")</f>
      </c>
      <c r="U651" s="43"/>
      <c r="V651" s="44" t="inlineStr">
        <is>
          <t>50461ed1-c2c8-4393-967e-55d58a3e2664</t>
        </is>
      </c>
    </row>
    <row r="652">
      <c r="A652" s="23" t="inlineStr">
        <is>
          <t>Toz Ve Nem Alıcı Paspas Iş Yeri Paspası Iç Ve Dış Mekan Paspası Giriş Paspası Kapı Paspası</t>
        </is>
      </c>
      <c r="B652" s="24" t="inlineStr">
        <is>
          <t>780287428</t>
        </is>
      </c>
      <c r="C652" s="25" t="inlineStr">
        <is>
          <t>TOZKONTROL-IYP2-RAMPASIZ-KIRMIZI-90x90</t>
        </is>
      </c>
      <c r="D652" s="26" t="inlineStr">
        <is>
          <t>TOZKONTROL-IYP2-RAMPASIZ-KIRMIZI-90x90</t>
        </is>
      </c>
      <c r="E652" s="27" t="inlineStr">
        <is>
          <t>90 x 90</t>
        </is>
      </c>
      <c r="F652" s="28" t="inlineStr">
        <is>
          <t>TOZKONTROL-IYP2-RAMPASIZ</t>
        </is>
      </c>
      <c r="G652" s="29" t="inlineStr">
        <is>
          <t>Kapı Önü Paspası</t>
        </is>
      </c>
      <c r="H652" s="30" t="inlineStr">
        <is>
          <t>Paspas Yap</t>
        </is>
      </c>
      <c r="I652" s="31" t="n">
        <v>93.0</v>
      </c>
      <c r="J652" s="32" t="n">
        <v>1399.0</v>
      </c>
      <c r="K652" s="33" t="n">
        <v>1152.55</v>
      </c>
      <c r="L652" s="34" t="n">
        <v>22.0</v>
      </c>
      <c r="M652" s="35" t="n">
        <v>878.43</v>
      </c>
      <c r="N652" s="36" t="inlineStr">
        <is>
          <t>25 Ağustos 08.00-1 Eylül 07.59</t>
        </is>
      </c>
      <c r="O652" s="37" t="n">
        <v>15.2</v>
      </c>
      <c r="P652" s="38" t="n">
        <v>1152.55</v>
      </c>
      <c r="Q652" s="39"/>
      <c r="R652" s="40" t="n">
        <f>=IF(AND(ISBLANK(Q652), ISBLANK(U652)), "", "7 Günlük Fiyat")</f>
        <v>0.0</v>
      </c>
      <c r="S652" s="41" t="n">
        <f>=IF(OR(Q652="", R652=""), "-", IF(ISNUMBER(SEARCH("7 Günlük", R652)), IF(Q652&lt;=M652, O652, "-"), "-"))</f>
        <v>0.0</v>
      </c>
      <c r="T652" s="42" t="str">
        <f>=IF(ISBLANK(Q652), "", "Hayır")</f>
      </c>
      <c r="U652" s="43"/>
      <c r="V652" s="44" t="inlineStr">
        <is>
          <t>50461ed1-c2c8-4393-967e-55d58a3e2664</t>
        </is>
      </c>
    </row>
    <row r="653">
      <c r="A653" s="23" t="inlineStr">
        <is>
          <t>Toz Ve Nem Alıcı Paspas Iş Yeri Paspası Iç Ve Dış Mekan Paspası Giriş Paspası Kapı Paspası</t>
        </is>
      </c>
      <c r="B653" s="24" t="inlineStr">
        <is>
          <t>780287428</t>
        </is>
      </c>
      <c r="C653" s="25" t="inlineStr">
        <is>
          <t>TOZKONTROL-IYP2-RAMPASIZ-KIRMIZI-40x60</t>
        </is>
      </c>
      <c r="D653" s="26" t="inlineStr">
        <is>
          <t>TOZKONTROL-IYP2-RAMPASIZ-KIRMIZI-40x60</t>
        </is>
      </c>
      <c r="E653" s="27" t="inlineStr">
        <is>
          <t>40 x 60</t>
        </is>
      </c>
      <c r="F653" s="28" t="inlineStr">
        <is>
          <t>TOZKONTROL-IYP2-RAMPASIZ</t>
        </is>
      </c>
      <c r="G653" s="29" t="inlineStr">
        <is>
          <t>Kapı Önü Paspası</t>
        </is>
      </c>
      <c r="H653" s="30" t="inlineStr">
        <is>
          <t>Paspas Yap</t>
        </is>
      </c>
      <c r="I653" s="31" t="n">
        <v>92.0</v>
      </c>
      <c r="J653" s="32" t="n">
        <v>549.0</v>
      </c>
      <c r="K653" s="33" t="n">
        <v>485.0</v>
      </c>
      <c r="L653" s="34" t="n">
        <v>22.0</v>
      </c>
      <c r="M653" s="35" t="n">
        <v>350.84</v>
      </c>
      <c r="N653" s="36" t="inlineStr">
        <is>
          <t>25 Ağustos 08.00-1 Eylül 07.59</t>
        </is>
      </c>
      <c r="O653" s="37" t="n">
        <v>14.8</v>
      </c>
      <c r="P653" s="38" t="n">
        <v>485.0</v>
      </c>
      <c r="Q653" s="39"/>
      <c r="R653" s="40" t="n">
        <f>=IF(AND(ISBLANK(Q653), ISBLANK(U653)), "", "7 Günlük Fiyat")</f>
        <v>0.0</v>
      </c>
      <c r="S653" s="41" t="n">
        <f>=IF(OR(Q653="", R653=""), "-", IF(ISNUMBER(SEARCH("7 Günlük", R653)), IF(Q653&lt;=M653, O653, "-"), "-"))</f>
        <v>0.0</v>
      </c>
      <c r="T653" s="42" t="str">
        <f>=IF(ISBLANK(Q653), "", "Hayır")</f>
      </c>
      <c r="U653" s="43"/>
      <c r="V653" s="44" t="inlineStr">
        <is>
          <t>50461ed1-c2c8-4393-967e-55d58a3e2664</t>
        </is>
      </c>
    </row>
    <row r="654">
      <c r="A654" s="23" t="inlineStr">
        <is>
          <t>Toz Ve Nem Alıcı Paspas Iş Yeri Paspası Iç Ve Dış Mekan Paspası Giriş Paspası Kapı Paspası</t>
        </is>
      </c>
      <c r="B654" s="24" t="inlineStr">
        <is>
          <t>780287428</t>
        </is>
      </c>
      <c r="C654" s="25" t="inlineStr">
        <is>
          <t>TOZKONTROL-IYP2-RAMPASIZ-KIRMIZI-80350</t>
        </is>
      </c>
      <c r="D654" s="26" t="inlineStr">
        <is>
          <t>TOZKONTROL-IYP2-RAMPASIZ-KIRMIZI-80350</t>
        </is>
      </c>
      <c r="E654" s="27" t="inlineStr">
        <is>
          <t>80 x 350</t>
        </is>
      </c>
      <c r="F654" s="28" t="inlineStr">
        <is>
          <t>TOZKONTROL-IYP2-RAMPASIZ</t>
        </is>
      </c>
      <c r="G654" s="29" t="inlineStr">
        <is>
          <t>Kapı Önü Paspası</t>
        </is>
      </c>
      <c r="H654" s="30" t="inlineStr">
        <is>
          <t>Paspas Yap</t>
        </is>
      </c>
      <c r="I654" s="31" t="n">
        <v>93.0</v>
      </c>
      <c r="J654" s="32" t="n">
        <v>3939.0</v>
      </c>
      <c r="K654" s="33" t="n">
        <v>3188.48</v>
      </c>
      <c r="L654" s="34" t="n">
        <v>22.0</v>
      </c>
      <c r="M654" s="35" t="n">
        <v>2271.19</v>
      </c>
      <c r="N654" s="36" t="inlineStr">
        <is>
          <t>25 Ağustos 08.00-1 Eylül 07.59</t>
        </is>
      </c>
      <c r="O654" s="37" t="n">
        <v>14.5</v>
      </c>
      <c r="P654" s="38" t="n">
        <v>3188.48</v>
      </c>
      <c r="Q654" s="39"/>
      <c r="R654" s="40" t="n">
        <f>=IF(AND(ISBLANK(Q654), ISBLANK(U654)), "", "7 Günlük Fiyat")</f>
        <v>0.0</v>
      </c>
      <c r="S654" s="41" t="n">
        <f>=IF(OR(Q654="", R654=""), "-", IF(ISNUMBER(SEARCH("7 Günlük", R654)), IF(Q654&lt;=M654, O654, "-"), "-"))</f>
        <v>0.0</v>
      </c>
      <c r="T654" s="42" t="str">
        <f>=IF(ISBLANK(Q654), "", "Hayır")</f>
      </c>
      <c r="U654" s="43"/>
      <c r="V654" s="44" t="inlineStr">
        <is>
          <t>50461ed1-c2c8-4393-967e-55d58a3e2664</t>
        </is>
      </c>
    </row>
    <row r="655">
      <c r="A655" s="23" t="inlineStr">
        <is>
          <t>Toz Ve Nem Alıcı Paspas Iş Yeri Paspası Iç Ve Dış Mekan Paspası Giriş Paspası Kapı Paspası</t>
        </is>
      </c>
      <c r="B655" s="24" t="inlineStr">
        <is>
          <t>780287428</t>
        </is>
      </c>
      <c r="C655" s="25" t="inlineStr">
        <is>
          <t>TOZKONTROL-IYP2-RAMPASIZ-KIRMIZI-120300</t>
        </is>
      </c>
      <c r="D655" s="26" t="inlineStr">
        <is>
          <t>TOZKONTROL-IYP2-RAMPASIZ-KIRMIZI-120300</t>
        </is>
      </c>
      <c r="E655" s="27" t="inlineStr">
        <is>
          <t>120 x 300</t>
        </is>
      </c>
      <c r="F655" s="28" t="inlineStr">
        <is>
          <t>TOZKONTROL-IYP2-RAMPASIZ</t>
        </is>
      </c>
      <c r="G655" s="29" t="inlineStr">
        <is>
          <t>Kapı Önü Paspası</t>
        </is>
      </c>
      <c r="H655" s="30" t="inlineStr">
        <is>
          <t>Paspas Yap</t>
        </is>
      </c>
      <c r="I655" s="31" t="n">
        <v>93.0</v>
      </c>
      <c r="J655" s="32" t="n">
        <v>5014.0</v>
      </c>
      <c r="K655" s="33" t="n">
        <v>4068.5</v>
      </c>
      <c r="L655" s="34" t="n">
        <v>22.0</v>
      </c>
      <c r="M655" s="35" t="n">
        <v>2879.91</v>
      </c>
      <c r="N655" s="36" t="inlineStr">
        <is>
          <t>25 Ağustos 08.00-1 Eylül 07.59</t>
        </is>
      </c>
      <c r="O655" s="37" t="n">
        <v>14.4</v>
      </c>
      <c r="P655" s="38" t="n">
        <v>4068.5</v>
      </c>
      <c r="Q655" s="39"/>
      <c r="R655" s="40" t="n">
        <f>=IF(AND(ISBLANK(Q655), ISBLANK(U655)), "", "7 Günlük Fiyat")</f>
        <v>0.0</v>
      </c>
      <c r="S655" s="41" t="n">
        <f>=IF(OR(Q655="", R655=""), "-", IF(ISNUMBER(SEARCH("7 Günlük", R655)), IF(Q655&lt;=M655, O655, "-"), "-"))</f>
        <v>0.0</v>
      </c>
      <c r="T655" s="42" t="str">
        <f>=IF(ISBLANK(Q655), "", "Hayır")</f>
      </c>
      <c r="U655" s="43"/>
      <c r="V655" s="44" t="inlineStr">
        <is>
          <t>50461ed1-c2c8-4393-967e-55d58a3e2664</t>
        </is>
      </c>
    </row>
    <row r="656">
      <c r="A656" s="23" t="inlineStr">
        <is>
          <t>Toz Ve Nem Alıcı Paspas Iş Yeri Paspası Iç Ve Dış Mekan Paspası Giriş Paspası Kapı Paspası</t>
        </is>
      </c>
      <c r="B656" s="24" t="inlineStr">
        <is>
          <t>780287428</t>
        </is>
      </c>
      <c r="C656" s="25" t="inlineStr">
        <is>
          <t>TOZKONTROL-IYP2-RAMPASIZ-KIRMIZI-100950</t>
        </is>
      </c>
      <c r="D656" s="26" t="inlineStr">
        <is>
          <t>TOZKONTROL-IYP2-RAMPASIZ-KIRMIZI-100950</t>
        </is>
      </c>
      <c r="E656" s="27" t="inlineStr">
        <is>
          <t>100 x 950</t>
        </is>
      </c>
      <c r="F656" s="28" t="inlineStr">
        <is>
          <t>TOZKONTROL-IYP2-RAMPASIZ</t>
        </is>
      </c>
      <c r="G656" s="29" t="inlineStr">
        <is>
          <t>Kapı Önü Paspası</t>
        </is>
      </c>
      <c r="H656" s="30" t="inlineStr">
        <is>
          <t>Paspas Yap</t>
        </is>
      </c>
      <c r="I656" s="31" t="n">
        <v>93.0</v>
      </c>
      <c r="J656" s="32" t="n">
        <v>13053.0</v>
      </c>
      <c r="K656" s="33" t="n">
        <v>10593.74</v>
      </c>
      <c r="L656" s="34" t="n">
        <v>22.0</v>
      </c>
      <c r="M656" s="35" t="n">
        <v>7545.0</v>
      </c>
      <c r="N656" s="36" t="inlineStr">
        <is>
          <t>25 Ağustos 08.00-1 Eylül 07.59</t>
        </is>
      </c>
      <c r="O656" s="37" t="n">
        <v>14.4</v>
      </c>
      <c r="P656" s="38" t="n">
        <v>10593.74</v>
      </c>
      <c r="Q656" s="39"/>
      <c r="R656" s="40" t="n">
        <f>=IF(AND(ISBLANK(Q656), ISBLANK(U656)), "", "7 Günlük Fiyat")</f>
        <v>0.0</v>
      </c>
      <c r="S656" s="41" t="n">
        <f>=IF(OR(Q656="", R656=""), "-", IF(ISNUMBER(SEARCH("7 Günlük", R656)), IF(Q656&lt;=M656, O656, "-"), "-"))</f>
        <v>0.0</v>
      </c>
      <c r="T656" s="42" t="str">
        <f>=IF(ISBLANK(Q656), "", "Hayır")</f>
      </c>
      <c r="U656" s="43"/>
      <c r="V656" s="44" t="inlineStr">
        <is>
          <t>50461ed1-c2c8-4393-967e-55d58a3e2664</t>
        </is>
      </c>
    </row>
    <row r="657">
      <c r="A657" s="23" t="inlineStr">
        <is>
          <t>Toz Ve Nem Alıcı Paspas Iş Yeri Paspası Iç Ve Dış Mekan Paspası Giriş Paspası Kapı Paspası</t>
        </is>
      </c>
      <c r="B657" s="24" t="inlineStr">
        <is>
          <t>780287428</t>
        </is>
      </c>
      <c r="C657" s="25" t="inlineStr">
        <is>
          <t>TOZKONTROL-IYP2-RAMPASIZ-KIRMIZI-1201400</t>
        </is>
      </c>
      <c r="D657" s="26" t="inlineStr">
        <is>
          <t>TOZKONTROL-IYP2-RAMPASIZ-KIRMIZI-1201400</t>
        </is>
      </c>
      <c r="E657" s="27" t="inlineStr">
        <is>
          <t>120 x 1400</t>
        </is>
      </c>
      <c r="F657" s="28" t="inlineStr">
        <is>
          <t>TOZKONTROL-IYP2-RAMPASIZ</t>
        </is>
      </c>
      <c r="G657" s="29" t="inlineStr">
        <is>
          <t>Kapı Önü Paspası</t>
        </is>
      </c>
      <c r="H657" s="30" t="inlineStr">
        <is>
          <t>Paspas Yap</t>
        </is>
      </c>
      <c r="I657" s="31" t="n">
        <v>93.0</v>
      </c>
      <c r="J657" s="32" t="n">
        <v>23520.0</v>
      </c>
      <c r="K657" s="33" t="n">
        <v>18793.53</v>
      </c>
      <c r="L657" s="34" t="n">
        <v>22.0</v>
      </c>
      <c r="M657" s="35" t="n">
        <v>12041.77</v>
      </c>
      <c r="N657" s="36" t="inlineStr">
        <is>
          <t>25 Ağustos 08.00-1 Eylül 07.59</t>
        </is>
      </c>
      <c r="O657" s="37" t="n">
        <v>13.2</v>
      </c>
      <c r="P657" s="38" t="n">
        <v>18793.53</v>
      </c>
      <c r="Q657" s="39"/>
      <c r="R657" s="40" t="n">
        <f>=IF(AND(ISBLANK(Q657), ISBLANK(U657)), "", "7 Günlük Fiyat")</f>
        <v>0.0</v>
      </c>
      <c r="S657" s="41" t="n">
        <f>=IF(OR(Q657="", R657=""), "-", IF(ISNUMBER(SEARCH("7 Günlük", R657)), IF(Q657&lt;=M657, O657, "-"), "-"))</f>
        <v>0.0</v>
      </c>
      <c r="T657" s="42" t="str">
        <f>=IF(ISBLANK(Q657), "", "Hayır")</f>
      </c>
      <c r="U657" s="43"/>
      <c r="V657" s="44" t="inlineStr">
        <is>
          <t>50461ed1-c2c8-4393-967e-55d58a3e2664</t>
        </is>
      </c>
    </row>
    <row r="658">
      <c r="A658" s="23" t="inlineStr">
        <is>
          <t>Toz Ve Nem Alıcı Paspas Iş Yeri Paspası Iç Ve Dış Mekan Paspası Giriş Paspası Kapı Paspası</t>
        </is>
      </c>
      <c r="B658" s="24" t="inlineStr">
        <is>
          <t>780287428</t>
        </is>
      </c>
      <c r="C658" s="25" t="inlineStr">
        <is>
          <t>TOZKONTROL-IYP2-RAMPASIZ-KIRMIZI-80600</t>
        </is>
      </c>
      <c r="D658" s="26" t="inlineStr">
        <is>
          <t>TOZKONTROL-IYP2-RAMPASIZ-KIRMIZI-80600</t>
        </is>
      </c>
      <c r="E658" s="27" t="inlineStr">
        <is>
          <t>80 x 600</t>
        </is>
      </c>
      <c r="F658" s="28" t="inlineStr">
        <is>
          <t>TOZKONTROL-IYP2-RAMPASIZ</t>
        </is>
      </c>
      <c r="G658" s="29" t="inlineStr">
        <is>
          <t>Kapı Önü Paspası</t>
        </is>
      </c>
      <c r="H658" s="30" t="inlineStr">
        <is>
          <t>Paspas Yap</t>
        </is>
      </c>
      <c r="I658" s="31" t="n">
        <v>93.0</v>
      </c>
      <c r="J658" s="32" t="n">
        <v>6521.0</v>
      </c>
      <c r="K658" s="33" t="n">
        <v>5326.77</v>
      </c>
      <c r="L658" s="34" t="n">
        <v>22.0</v>
      </c>
      <c r="M658" s="35" t="n">
        <v>3762.23</v>
      </c>
      <c r="N658" s="36" t="inlineStr">
        <is>
          <t>25 Ağustos 08.00-1 Eylül 07.59</t>
        </is>
      </c>
      <c r="O658" s="37" t="n">
        <v>14.4</v>
      </c>
      <c r="P658" s="38" t="n">
        <v>5326.77</v>
      </c>
      <c r="Q658" s="39"/>
      <c r="R658" s="40" t="n">
        <f>=IF(AND(ISBLANK(Q658), ISBLANK(U658)), "", "7 Günlük Fiyat")</f>
        <v>0.0</v>
      </c>
      <c r="S658" s="41" t="n">
        <f>=IF(OR(Q658="", R658=""), "-", IF(ISNUMBER(SEARCH("7 Günlük", R658)), IF(Q658&lt;=M658, O658, "-"), "-"))</f>
        <v>0.0</v>
      </c>
      <c r="T658" s="42" t="str">
        <f>=IF(ISBLANK(Q658), "", "Hayır")</f>
      </c>
      <c r="U658" s="43"/>
      <c r="V658" s="44" t="inlineStr">
        <is>
          <t>50461ed1-c2c8-4393-967e-55d58a3e2664</t>
        </is>
      </c>
    </row>
    <row r="659">
      <c r="A659" s="23" t="inlineStr">
        <is>
          <t>Toz Ve Nem Alıcı Paspas Iş Yeri Paspası Iç Ve Dış Mekan Paspası Giriş Paspası Kapı Paspası</t>
        </is>
      </c>
      <c r="B659" s="24" t="inlineStr">
        <is>
          <t>780287428</t>
        </is>
      </c>
      <c r="C659" s="25" t="inlineStr">
        <is>
          <t>TOZKONTROL-IYP2-RAMPASIZ-KIRMIZI-120400</t>
        </is>
      </c>
      <c r="D659" s="26" t="inlineStr">
        <is>
          <t>TOZKONTROL-IYP2-RAMPASIZ-KIRMIZI-120400</t>
        </is>
      </c>
      <c r="E659" s="27" t="inlineStr">
        <is>
          <t>120 x 400</t>
        </is>
      </c>
      <c r="F659" s="28" t="inlineStr">
        <is>
          <t>TOZKONTROL-IYP2-RAMPASIZ</t>
        </is>
      </c>
      <c r="G659" s="29" t="inlineStr">
        <is>
          <t>Kapı Önü Paspası</t>
        </is>
      </c>
      <c r="H659" s="30" t="inlineStr">
        <is>
          <t>Paspas Yap</t>
        </is>
      </c>
      <c r="I659" s="31" t="n">
        <v>93.0</v>
      </c>
      <c r="J659" s="32" t="n">
        <v>6521.0</v>
      </c>
      <c r="K659" s="33" t="n">
        <v>5372.29</v>
      </c>
      <c r="L659" s="34" t="n">
        <v>22.0</v>
      </c>
      <c r="M659" s="35" t="n">
        <v>3887.93</v>
      </c>
      <c r="N659" s="36" t="inlineStr">
        <is>
          <t>25 Ağustos 08.00-1 Eylül 07.59</t>
        </is>
      </c>
      <c r="O659" s="37" t="n">
        <v>15.1</v>
      </c>
      <c r="P659" s="38" t="n">
        <v>5372.29</v>
      </c>
      <c r="Q659" s="39"/>
      <c r="R659" s="40" t="n">
        <f>=IF(AND(ISBLANK(Q659), ISBLANK(U659)), "", "7 Günlük Fiyat")</f>
        <v>0.0</v>
      </c>
      <c r="S659" s="41" t="n">
        <f>=IF(OR(Q659="", R659=""), "-", IF(ISNUMBER(SEARCH("7 Günlük", R659)), IF(Q659&lt;=M659, O659, "-"), "-"))</f>
        <v>0.0</v>
      </c>
      <c r="T659" s="42" t="str">
        <f>=IF(ISBLANK(Q659), "", "Hayır")</f>
      </c>
      <c r="U659" s="43"/>
      <c r="V659" s="44" t="inlineStr">
        <is>
          <t>50461ed1-c2c8-4393-967e-55d58a3e2664</t>
        </is>
      </c>
    </row>
    <row r="660">
      <c r="A660" s="23" t="inlineStr">
        <is>
          <t>Toz Ve Nem Alıcı Paspas Iş Yeri Paspası Iç Ve Dış Mekan Paspası Giriş Paspası Kapı Paspası</t>
        </is>
      </c>
      <c r="B660" s="24" t="inlineStr">
        <is>
          <t>780287428</t>
        </is>
      </c>
      <c r="C660" s="25" t="inlineStr">
        <is>
          <t>TOZKONTROL-IYP2-RAMPASIZ-KIRMIZI-80300</t>
        </is>
      </c>
      <c r="D660" s="26" t="inlineStr">
        <is>
          <t>TOZKONTROL-IYP2-RAMPASIZ-KIRMIZI-80300</t>
        </is>
      </c>
      <c r="E660" s="27" t="inlineStr">
        <is>
          <t>80 x 300</t>
        </is>
      </c>
      <c r="F660" s="28" t="inlineStr">
        <is>
          <t>TOZKONTROL-IYP2-RAMPASIZ</t>
        </is>
      </c>
      <c r="G660" s="29" t="inlineStr">
        <is>
          <t>Kapı Önü Paspası</t>
        </is>
      </c>
      <c r="H660" s="30" t="inlineStr">
        <is>
          <t>Paspas Yap</t>
        </is>
      </c>
      <c r="I660" s="31" t="n">
        <v>93.0</v>
      </c>
      <c r="J660" s="32" t="n">
        <v>3449.0</v>
      </c>
      <c r="K660" s="33" t="n">
        <v>2796.96</v>
      </c>
      <c r="L660" s="34" t="n">
        <v>22.0</v>
      </c>
      <c r="M660" s="35" t="n">
        <v>1984.97</v>
      </c>
      <c r="N660" s="36" t="inlineStr">
        <is>
          <t>25 Ağustos 08.00-1 Eylül 07.59</t>
        </is>
      </c>
      <c r="O660" s="37" t="n">
        <v>14.4</v>
      </c>
      <c r="P660" s="38" t="n">
        <v>2796.96</v>
      </c>
      <c r="Q660" s="39"/>
      <c r="R660" s="40" t="n">
        <f>=IF(AND(ISBLANK(Q660), ISBLANK(U660)), "", "7 Günlük Fiyat")</f>
        <v>0.0</v>
      </c>
      <c r="S660" s="41" t="n">
        <f>=IF(OR(Q660="", R660=""), "-", IF(ISNUMBER(SEARCH("7 Günlük", R660)), IF(Q660&lt;=M660, O660, "-"), "-"))</f>
        <v>0.0</v>
      </c>
      <c r="T660" s="42" t="str">
        <f>=IF(ISBLANK(Q660), "", "Hayır")</f>
      </c>
      <c r="U660" s="43"/>
      <c r="V660" s="44" t="inlineStr">
        <is>
          <t>50461ed1-c2c8-4393-967e-55d58a3e2664</t>
        </is>
      </c>
    </row>
    <row r="661">
      <c r="A661" s="23" t="inlineStr">
        <is>
          <t>Toz Ve Nem Alıcı Paspas Iş Yeri Paspası Iç Ve Dış Mekan Paspası Giriş Paspası Kapı Paspası</t>
        </is>
      </c>
      <c r="B661" s="24" t="inlineStr">
        <is>
          <t>780287428</t>
        </is>
      </c>
      <c r="C661" s="25" t="inlineStr">
        <is>
          <t>TOZKONTROL-IYP2-RAMPASIZ-KIRMIZI-80500</t>
        </is>
      </c>
      <c r="D661" s="26" t="inlineStr">
        <is>
          <t>TOZKONTROL-IYP2-RAMPASIZ-KIRMIZI-80500</t>
        </is>
      </c>
      <c r="E661" s="27" t="inlineStr">
        <is>
          <t>80 x 500</t>
        </is>
      </c>
      <c r="F661" s="28" t="inlineStr">
        <is>
          <t>TOZKONTROL-IYP2-RAMPASIZ</t>
        </is>
      </c>
      <c r="G661" s="29" t="inlineStr">
        <is>
          <t>Kapı Önü Paspası</t>
        </is>
      </c>
      <c r="H661" s="30" t="inlineStr">
        <is>
          <t>Paspas Yap</t>
        </is>
      </c>
      <c r="I661" s="31" t="n">
        <v>93.0</v>
      </c>
      <c r="J661" s="32" t="n">
        <v>5486.0</v>
      </c>
      <c r="K661" s="33" t="n">
        <v>4493.08</v>
      </c>
      <c r="L661" s="34" t="n">
        <v>22.0</v>
      </c>
      <c r="M661" s="35" t="n">
        <v>3185.59</v>
      </c>
      <c r="N661" s="36" t="inlineStr">
        <is>
          <t>25 Ağustos 08.00-1 Eylül 07.59</t>
        </is>
      </c>
      <c r="O661" s="37" t="n">
        <v>14.5</v>
      </c>
      <c r="P661" s="38" t="n">
        <v>4493.08</v>
      </c>
      <c r="Q661" s="39"/>
      <c r="R661" s="40" t="n">
        <f>=IF(AND(ISBLANK(Q661), ISBLANK(U661)), "", "7 Günlük Fiyat")</f>
        <v>0.0</v>
      </c>
      <c r="S661" s="41" t="n">
        <f>=IF(OR(Q661="", R661=""), "-", IF(ISNUMBER(SEARCH("7 Günlük", R661)), IF(Q661&lt;=M661, O661, "-"), "-"))</f>
        <v>0.0</v>
      </c>
      <c r="T661" s="42" t="str">
        <f>=IF(ISBLANK(Q661), "", "Hayır")</f>
      </c>
      <c r="U661" s="43"/>
      <c r="V661" s="44" t="inlineStr">
        <is>
          <t>50461ed1-c2c8-4393-967e-55d58a3e2664</t>
        </is>
      </c>
    </row>
    <row r="662">
      <c r="A662" s="23" t="inlineStr">
        <is>
          <t>Toz Ve Nem Alıcı Paspas Iş Yeri Paspası Iç Ve Dış Mekan Paspası Giriş Paspası Kapı Paspası</t>
        </is>
      </c>
      <c r="B662" s="24" t="inlineStr">
        <is>
          <t>780287428</t>
        </is>
      </c>
      <c r="C662" s="25" t="inlineStr">
        <is>
          <t>TOZKONTROL-IYP2-RAMPASIZ-KIRMIZI-80750</t>
        </is>
      </c>
      <c r="D662" s="26" t="inlineStr">
        <is>
          <t>TOZKONTROL-IYP2-RAMPASIZ-KIRMIZI-80750</t>
        </is>
      </c>
      <c r="E662" s="27" t="inlineStr">
        <is>
          <t>80 x 750</t>
        </is>
      </c>
      <c r="F662" s="28" t="inlineStr">
        <is>
          <t>TOZKONTROL-IYP2-RAMPASIZ</t>
        </is>
      </c>
      <c r="G662" s="29" t="inlineStr">
        <is>
          <t>Kapı Önü Paspası</t>
        </is>
      </c>
      <c r="H662" s="30" t="inlineStr">
        <is>
          <t>Paspas Yap</t>
        </is>
      </c>
      <c r="I662" s="31" t="n">
        <v>93.0</v>
      </c>
      <c r="J662" s="32" t="n">
        <v>8116.0</v>
      </c>
      <c r="K662" s="33" t="n">
        <v>6302.46</v>
      </c>
      <c r="L662" s="34" t="n">
        <v>22.0</v>
      </c>
      <c r="M662" s="35" t="n">
        <v>4329.49</v>
      </c>
      <c r="N662" s="36" t="inlineStr">
        <is>
          <t>25 Ağustos 08.00-1 Eylül 07.59</t>
        </is>
      </c>
      <c r="O662" s="37" t="n">
        <v>13.5</v>
      </c>
      <c r="P662" s="38" t="n">
        <v>6302.46</v>
      </c>
      <c r="Q662" s="39"/>
      <c r="R662" s="40" t="n">
        <f>=IF(AND(ISBLANK(Q662), ISBLANK(U662)), "", "7 Günlük Fiyat")</f>
        <v>0.0</v>
      </c>
      <c r="S662" s="41" t="n">
        <f>=IF(OR(Q662="", R662=""), "-", IF(ISNUMBER(SEARCH("7 Günlük", R662)), IF(Q662&lt;=M662, O662, "-"), "-"))</f>
        <v>0.0</v>
      </c>
      <c r="T662" s="42" t="str">
        <f>=IF(ISBLANK(Q662), "", "Hayır")</f>
      </c>
      <c r="U662" s="43"/>
      <c r="V662" s="44" t="inlineStr">
        <is>
          <t>50461ed1-c2c8-4393-967e-55d58a3e2664</t>
        </is>
      </c>
    </row>
    <row r="663">
      <c r="A663" s="23" t="inlineStr">
        <is>
          <t>Toz Ve Nem Alıcı Paspas Iş Yeri Paspası Iç Ve Dış Mekan Paspası Giriş Paspası Kapı Paspası</t>
        </is>
      </c>
      <c r="B663" s="24" t="inlineStr">
        <is>
          <t>780287428</t>
        </is>
      </c>
      <c r="C663" s="25" t="inlineStr">
        <is>
          <t>TOZKONTROL-IYP2-RAMPASIZ-KIRMIZI-120450</t>
        </is>
      </c>
      <c r="D663" s="26" t="inlineStr">
        <is>
          <t>TOZKONTROL-IYP2-RAMPASIZ-KIRMIZI-120450</t>
        </is>
      </c>
      <c r="E663" s="27" t="inlineStr">
        <is>
          <t>120 x 450</t>
        </is>
      </c>
      <c r="F663" s="28" t="inlineStr">
        <is>
          <t>TOZKONTROL-IYP2-RAMPASIZ</t>
        </is>
      </c>
      <c r="G663" s="29" t="inlineStr">
        <is>
          <t>Kapı Önü Paspası</t>
        </is>
      </c>
      <c r="H663" s="30" t="inlineStr">
        <is>
          <t>Paspas Yap</t>
        </is>
      </c>
      <c r="I663" s="31" t="n">
        <v>93.0</v>
      </c>
      <c r="J663" s="32" t="n">
        <v>7379.0</v>
      </c>
      <c r="K663" s="33" t="n">
        <v>6115.67</v>
      </c>
      <c r="L663" s="34" t="n">
        <v>22.0</v>
      </c>
      <c r="M663" s="35" t="n">
        <v>4306.88</v>
      </c>
      <c r="N663" s="36" t="inlineStr">
        <is>
          <t>25 Ağustos 08.00-1 Eylül 07.59</t>
        </is>
      </c>
      <c r="O663" s="37" t="n">
        <v>14.5</v>
      </c>
      <c r="P663" s="38" t="n">
        <v>6115.67</v>
      </c>
      <c r="Q663" s="39"/>
      <c r="R663" s="40" t="n">
        <f>=IF(AND(ISBLANK(Q663), ISBLANK(U663)), "", "7 Günlük Fiyat")</f>
        <v>0.0</v>
      </c>
      <c r="S663" s="41" t="n">
        <f>=IF(OR(Q663="", R663=""), "-", IF(ISNUMBER(SEARCH("7 Günlük", R663)), IF(Q663&lt;=M663, O663, "-"), "-"))</f>
        <v>0.0</v>
      </c>
      <c r="T663" s="42" t="str">
        <f>=IF(ISBLANK(Q663), "", "Hayır")</f>
      </c>
      <c r="U663" s="43"/>
      <c r="V663" s="44" t="inlineStr">
        <is>
          <t>50461ed1-c2c8-4393-967e-55d58a3e2664</t>
        </is>
      </c>
    </row>
    <row r="664">
      <c r="A664" s="23" t="inlineStr">
        <is>
          <t>Toz Ve Nem Alıcı Paspas Iş Yeri Paspası Iç Ve Dış Mekan Paspası Giriş Paspası Kapı Paspası</t>
        </is>
      </c>
      <c r="B664" s="24" t="inlineStr">
        <is>
          <t>780287428</t>
        </is>
      </c>
      <c r="C664" s="25" t="inlineStr">
        <is>
          <t>TOZKONTROL-IYP2-RAMPASIZ-KIRMIZI-801350</t>
        </is>
      </c>
      <c r="D664" s="26" t="inlineStr">
        <is>
          <t>TOZKONTROL-IYP2-RAMPASIZ-KIRMIZI-801350</t>
        </is>
      </c>
      <c r="E664" s="27" t="inlineStr">
        <is>
          <t>80 x 1350</t>
        </is>
      </c>
      <c r="F664" s="28" t="inlineStr">
        <is>
          <t>TOZKONTROL-IYP2-RAMPASIZ</t>
        </is>
      </c>
      <c r="G664" s="29" t="inlineStr">
        <is>
          <t>Kapı Önü Paspası</t>
        </is>
      </c>
      <c r="H664" s="30" t="inlineStr">
        <is>
          <t>Paspas Yap</t>
        </is>
      </c>
      <c r="I664" s="31" t="n">
        <v>93.0</v>
      </c>
      <c r="J664" s="32" t="n">
        <v>14949.0</v>
      </c>
      <c r="K664" s="33" t="n">
        <v>12394.34</v>
      </c>
      <c r="L664" s="34" t="n">
        <v>22.0</v>
      </c>
      <c r="M664" s="35" t="n">
        <v>8720.7</v>
      </c>
      <c r="N664" s="36" t="inlineStr">
        <is>
          <t>25 Ağustos 08.00-1 Eylül 07.59</t>
        </is>
      </c>
      <c r="O664" s="37" t="n">
        <v>14.5</v>
      </c>
      <c r="P664" s="38" t="n">
        <v>12394.34</v>
      </c>
      <c r="Q664" s="39"/>
      <c r="R664" s="40" t="n">
        <f>=IF(AND(ISBLANK(Q664), ISBLANK(U664)), "", "7 Günlük Fiyat")</f>
        <v>0.0</v>
      </c>
      <c r="S664" s="41" t="n">
        <f>=IF(OR(Q664="", R664=""), "-", IF(ISNUMBER(SEARCH("7 Günlük", R664)), IF(Q664&lt;=M664, O664, "-"), "-"))</f>
        <v>0.0</v>
      </c>
      <c r="T664" s="42" t="str">
        <f>=IF(ISBLANK(Q664), "", "Hayır")</f>
      </c>
      <c r="U664" s="43"/>
      <c r="V664" s="44" t="inlineStr">
        <is>
          <t>50461ed1-c2c8-4393-967e-55d58a3e2664</t>
        </is>
      </c>
    </row>
    <row r="665">
      <c r="A665" s="23" t="inlineStr">
        <is>
          <t>Toz Ve Nem Alıcı Paspas Iş Yeri Paspası Iç Ve Dış Mekan Paspası Giriş Paspası Kapı Paspası</t>
        </is>
      </c>
      <c r="B665" s="24" t="inlineStr">
        <is>
          <t>780287428</t>
        </is>
      </c>
      <c r="C665" s="25" t="inlineStr">
        <is>
          <t>TOZKONTROL-IYP2-RAMPASIZ-KIRMIZI-801500</t>
        </is>
      </c>
      <c r="D665" s="26" t="inlineStr">
        <is>
          <t>TOZKONTROL-IYP2-RAMPASIZ-KIRMIZI-801500</t>
        </is>
      </c>
      <c r="E665" s="27" t="inlineStr">
        <is>
          <t>80 x 1500</t>
        </is>
      </c>
      <c r="F665" s="28" t="inlineStr">
        <is>
          <t>TOZKONTROL-IYP2-RAMPASIZ</t>
        </is>
      </c>
      <c r="G665" s="29" t="inlineStr">
        <is>
          <t>Kapı Önü Paspası</t>
        </is>
      </c>
      <c r="H665" s="30" t="inlineStr">
        <is>
          <t>Paspas Yap</t>
        </is>
      </c>
      <c r="I665" s="31" t="n">
        <v>93.0</v>
      </c>
      <c r="J665" s="32" t="n">
        <v>16510.0</v>
      </c>
      <c r="K665" s="33" t="n">
        <v>12887.64</v>
      </c>
      <c r="L665" s="34" t="n">
        <v>22.0</v>
      </c>
      <c r="M665" s="35" t="n">
        <v>8869.46</v>
      </c>
      <c r="N665" s="36" t="inlineStr">
        <is>
          <t>25 Ağustos 08.00-1 Eylül 07.59</t>
        </is>
      </c>
      <c r="O665" s="37" t="n">
        <v>13.7</v>
      </c>
      <c r="P665" s="38" t="n">
        <v>12887.64</v>
      </c>
      <c r="Q665" s="39"/>
      <c r="R665" s="40" t="n">
        <f>=IF(AND(ISBLANK(Q665), ISBLANK(U665)), "", "7 Günlük Fiyat")</f>
        <v>0.0</v>
      </c>
      <c r="S665" s="41" t="n">
        <f>=IF(OR(Q665="", R665=""), "-", IF(ISNUMBER(SEARCH("7 Günlük", R665)), IF(Q665&lt;=M665, O665, "-"), "-"))</f>
        <v>0.0</v>
      </c>
      <c r="T665" s="42" t="str">
        <f>=IF(ISBLANK(Q665), "", "Hayır")</f>
      </c>
      <c r="U665" s="43"/>
      <c r="V665" s="44" t="inlineStr">
        <is>
          <t>50461ed1-c2c8-4393-967e-55d58a3e2664</t>
        </is>
      </c>
    </row>
    <row r="666">
      <c r="A666" s="23" t="inlineStr">
        <is>
          <t>Toz Ve Nem Alıcı Paspas Iş Yeri Paspası Iç Ve Dış Mekan Paspası Giriş Paspası Kapı Paspası</t>
        </is>
      </c>
      <c r="B666" s="24" t="inlineStr">
        <is>
          <t>780287428</t>
        </is>
      </c>
      <c r="C666" s="25" t="inlineStr">
        <is>
          <t>TOZKONTROL-IYP2-RAMPASIZ-KIRMIZI-1201300</t>
        </is>
      </c>
      <c r="D666" s="26" t="inlineStr">
        <is>
          <t>TOZKONTROL-IYP2-RAMPASIZ-KIRMIZI-1201300</t>
        </is>
      </c>
      <c r="E666" s="27" t="inlineStr">
        <is>
          <t>120 x 1300</t>
        </is>
      </c>
      <c r="F666" s="28" t="inlineStr">
        <is>
          <t>TOZKONTROL-IYP2-RAMPASIZ</t>
        </is>
      </c>
      <c r="G666" s="29" t="inlineStr">
        <is>
          <t>Kapı Önü Paspası</t>
        </is>
      </c>
      <c r="H666" s="30" t="inlineStr">
        <is>
          <t>Paspas Yap</t>
        </is>
      </c>
      <c r="I666" s="31" t="n">
        <v>93.0</v>
      </c>
      <c r="J666" s="32" t="n">
        <v>21692.0</v>
      </c>
      <c r="K666" s="33" t="n">
        <v>17913.35</v>
      </c>
      <c r="L666" s="34" t="n">
        <v>22.0</v>
      </c>
      <c r="M666" s="35" t="n">
        <v>12042.35</v>
      </c>
      <c r="N666" s="36" t="inlineStr">
        <is>
          <t>25 Ağustos 08.00-1 Eylül 07.59</t>
        </is>
      </c>
      <c r="O666" s="37" t="n">
        <v>13.4</v>
      </c>
      <c r="P666" s="38" t="n">
        <v>17913.35</v>
      </c>
      <c r="Q666" s="39"/>
      <c r="R666" s="40" t="n">
        <f>=IF(AND(ISBLANK(Q666), ISBLANK(U666)), "", "7 Günlük Fiyat")</f>
        <v>0.0</v>
      </c>
      <c r="S666" s="41" t="n">
        <f>=IF(OR(Q666="", R666=""), "-", IF(ISNUMBER(SEARCH("7 Günlük", R666)), IF(Q666&lt;=M666, O666, "-"), "-"))</f>
        <v>0.0</v>
      </c>
      <c r="T666" s="42" t="str">
        <f>=IF(ISBLANK(Q666), "", "Hayır")</f>
      </c>
      <c r="U666" s="43"/>
      <c r="V666" s="44" t="inlineStr">
        <is>
          <t>50461ed1-c2c8-4393-967e-55d58a3e2664</t>
        </is>
      </c>
    </row>
    <row r="667">
      <c r="A667" s="23" t="inlineStr">
        <is>
          <t>Toz Ve Nem Alıcı Paspas Iş Yeri Paspası Iç Ve Dış Mekan Paspası Giriş Paspası Kapı Paspası</t>
        </is>
      </c>
      <c r="B667" s="24" t="inlineStr">
        <is>
          <t>780287428</t>
        </is>
      </c>
      <c r="C667" s="25" t="inlineStr">
        <is>
          <t>TOZKONTROL-IYP2-RAMPASIZ-KIRMIZI-100x200</t>
        </is>
      </c>
      <c r="D667" s="26" t="inlineStr">
        <is>
          <t>TOZKONTROL-IYP2-RAMPASIZ-KIRMIZI-100x200</t>
        </is>
      </c>
      <c r="E667" s="27" t="inlineStr">
        <is>
          <t>100 x 200</t>
        </is>
      </c>
      <c r="F667" s="28" t="inlineStr">
        <is>
          <t>TOZKONTROL-IYP2-RAMPASIZ</t>
        </is>
      </c>
      <c r="G667" s="29" t="inlineStr">
        <is>
          <t>Kapı Önü Paspası</t>
        </is>
      </c>
      <c r="H667" s="30" t="inlineStr">
        <is>
          <t>Paspas Yap</t>
        </is>
      </c>
      <c r="I667" s="31" t="n">
        <v>93.0</v>
      </c>
      <c r="J667" s="32" t="n">
        <v>2886.0</v>
      </c>
      <c r="K667" s="33" t="n">
        <v>2310.19</v>
      </c>
      <c r="L667" s="34" t="n">
        <v>22.0</v>
      </c>
      <c r="M667" s="35" t="n">
        <v>1639.52</v>
      </c>
      <c r="N667" s="36" t="inlineStr">
        <is>
          <t>25 Ağustos 08.00-1 Eylül 07.59</t>
        </is>
      </c>
      <c r="O667" s="37" t="n">
        <v>14.2</v>
      </c>
      <c r="P667" s="38" t="n">
        <v>2310.19</v>
      </c>
      <c r="Q667" s="39"/>
      <c r="R667" s="40" t="n">
        <f>=IF(AND(ISBLANK(Q667), ISBLANK(U667)), "", "7 Günlük Fiyat")</f>
        <v>0.0</v>
      </c>
      <c r="S667" s="41" t="n">
        <f>=IF(OR(Q667="", R667=""), "-", IF(ISNUMBER(SEARCH("7 Günlük", R667)), IF(Q667&lt;=M667, O667, "-"), "-"))</f>
        <v>0.0</v>
      </c>
      <c r="T667" s="42" t="str">
        <f>=IF(ISBLANK(Q667), "", "Hayır")</f>
      </c>
      <c r="U667" s="43"/>
      <c r="V667" s="44" t="inlineStr">
        <is>
          <t>50461ed1-c2c8-4393-967e-55d58a3e2664</t>
        </is>
      </c>
    </row>
    <row r="668">
      <c r="A668" s="23" t="inlineStr">
        <is>
          <t>Toz Ve Nem Alıcı Paspas Iş Yeri Paspası Iç Ve Dış Mekan Paspası Giriş Paspası Kapı Paspası</t>
        </is>
      </c>
      <c r="B668" s="24" t="inlineStr">
        <is>
          <t>780287428</t>
        </is>
      </c>
      <c r="C668" s="25" t="inlineStr">
        <is>
          <t>TOZKONTROL-IYP2-RAMPASIZ-KIRMIZI-1201200</t>
        </is>
      </c>
      <c r="D668" s="26" t="inlineStr">
        <is>
          <t>TOZKONTROL-IYP2-RAMPASIZ-KIRMIZI-1201200</t>
        </is>
      </c>
      <c r="E668" s="27" t="inlineStr">
        <is>
          <t>120 x 1200</t>
        </is>
      </c>
      <c r="F668" s="28" t="inlineStr">
        <is>
          <t>TOZKONTROL-IYP2-RAMPASIZ</t>
        </is>
      </c>
      <c r="G668" s="29" t="inlineStr">
        <is>
          <t>Kapı Önü Paspası</t>
        </is>
      </c>
      <c r="H668" s="30" t="inlineStr">
        <is>
          <t>Paspas Yap</t>
        </is>
      </c>
      <c r="I668" s="31" t="n">
        <v>93.0</v>
      </c>
      <c r="J668" s="32" t="n">
        <v>20066.0</v>
      </c>
      <c r="K668" s="33" t="n">
        <v>15537.17</v>
      </c>
      <c r="L668" s="34" t="n">
        <v>22.0</v>
      </c>
      <c r="M668" s="35" t="n">
        <v>10257.29</v>
      </c>
      <c r="N668" s="36" t="inlineStr">
        <is>
          <t>25 Ağustos 08.00-1 Eylül 07.59</t>
        </is>
      </c>
      <c r="O668" s="37" t="n">
        <v>13.0</v>
      </c>
      <c r="P668" s="38" t="n">
        <v>15537.17</v>
      </c>
      <c r="Q668" s="39"/>
      <c r="R668" s="40" t="n">
        <f>=IF(AND(ISBLANK(Q668), ISBLANK(U668)), "", "7 Günlük Fiyat")</f>
        <v>0.0</v>
      </c>
      <c r="S668" s="41" t="n">
        <f>=IF(OR(Q668="", R668=""), "-", IF(ISNUMBER(SEARCH("7 Günlük", R668)), IF(Q668&lt;=M668, O668, "-"), "-"))</f>
        <v>0.0</v>
      </c>
      <c r="T668" s="42" t="str">
        <f>=IF(ISBLANK(Q668), "", "Hayır")</f>
      </c>
      <c r="U668" s="43"/>
      <c r="V668" s="44" t="inlineStr">
        <is>
          <t>50461ed1-c2c8-4393-967e-55d58a3e2664</t>
        </is>
      </c>
    </row>
    <row r="669">
      <c r="A669" s="23" t="inlineStr">
        <is>
          <t>Toz Ve Nem Alıcı Paspas Iş Yeri Paspası Iç Ve Dış Mekan Paspası Giriş Paspası Kapı Paspası</t>
        </is>
      </c>
      <c r="B669" s="24" t="inlineStr">
        <is>
          <t>780287428</t>
        </is>
      </c>
      <c r="C669" s="25" t="inlineStr">
        <is>
          <t>TOZKONTROL-IYP2-RAMPASIZ-KIRMIZI-1201450</t>
        </is>
      </c>
      <c r="D669" s="26" t="inlineStr">
        <is>
          <t>TOZKONTROL-IYP2-RAMPASIZ-KIRMIZI-1201450</t>
        </is>
      </c>
      <c r="E669" s="27" t="inlineStr">
        <is>
          <t>120 x 1450</t>
        </is>
      </c>
      <c r="F669" s="28" t="inlineStr">
        <is>
          <t>TOZKONTROL-IYP2-RAMPASIZ</t>
        </is>
      </c>
      <c r="G669" s="29" t="inlineStr">
        <is>
          <t>Kapı Önü Paspası</t>
        </is>
      </c>
      <c r="H669" s="30" t="inlineStr">
        <is>
          <t>Paspas Yap</t>
        </is>
      </c>
      <c r="I669" s="31" t="n">
        <v>93.0</v>
      </c>
      <c r="J669" s="32" t="n">
        <v>24283.0</v>
      </c>
      <c r="K669" s="33" t="n">
        <v>18887.26</v>
      </c>
      <c r="L669" s="34" t="n">
        <v>22.0</v>
      </c>
      <c r="M669" s="35" t="n">
        <v>12327.02</v>
      </c>
      <c r="N669" s="36" t="inlineStr">
        <is>
          <t>25 Ağustos 08.00-1 Eylül 07.59</t>
        </is>
      </c>
      <c r="O669" s="37" t="n">
        <v>12.7</v>
      </c>
      <c r="P669" s="38" t="n">
        <v>18887.26</v>
      </c>
      <c r="Q669" s="39"/>
      <c r="R669" s="40" t="n">
        <f>=IF(AND(ISBLANK(Q669), ISBLANK(U669)), "", "7 Günlük Fiyat")</f>
        <v>0.0</v>
      </c>
      <c r="S669" s="41" t="n">
        <f>=IF(OR(Q669="", R669=""), "-", IF(ISNUMBER(SEARCH("7 Günlük", R669)), IF(Q669&lt;=M669, O669, "-"), "-"))</f>
        <v>0.0</v>
      </c>
      <c r="T669" s="42" t="str">
        <f>=IF(ISBLANK(Q669), "", "Hayır")</f>
      </c>
      <c r="U669" s="43"/>
      <c r="V669" s="44" t="inlineStr">
        <is>
          <t>50461ed1-c2c8-4393-967e-55d58a3e2664</t>
        </is>
      </c>
    </row>
    <row r="670">
      <c r="A670" s="23" t="inlineStr">
        <is>
          <t>Toz Ve Nem Alıcı Paspas Iş Yeri Paspası Iç Ve Dış Mekan Paspası Giriş Paspası Kapı Paspası</t>
        </is>
      </c>
      <c r="B670" s="24" t="inlineStr">
        <is>
          <t>780287428</t>
        </is>
      </c>
      <c r="C670" s="25" t="inlineStr">
        <is>
          <t>TOZKONTROL-IYP2-RAMPASIZ-KIRMIZI-1001050</t>
        </is>
      </c>
      <c r="D670" s="26" t="inlineStr">
        <is>
          <t>TOZKONTROL-IYP2-RAMPASIZ-KIRMIZI-1001050</t>
        </is>
      </c>
      <c r="E670" s="27" t="inlineStr">
        <is>
          <t>100 x 1050</t>
        </is>
      </c>
      <c r="F670" s="28" t="inlineStr">
        <is>
          <t>TOZKONTROL-IYP2-RAMPASIZ</t>
        </is>
      </c>
      <c r="G670" s="29" t="inlineStr">
        <is>
          <t>Kapı Önü Paspası</t>
        </is>
      </c>
      <c r="H670" s="30" t="inlineStr">
        <is>
          <t>Paspas Yap</t>
        </is>
      </c>
      <c r="I670" s="31" t="n">
        <v>93.0</v>
      </c>
      <c r="J670" s="32" t="n">
        <v>14554.0</v>
      </c>
      <c r="K670" s="33" t="n">
        <v>12070.36</v>
      </c>
      <c r="L670" s="34" t="n">
        <v>22.0</v>
      </c>
      <c r="M670" s="35" t="n">
        <v>8690.11</v>
      </c>
      <c r="N670" s="36" t="inlineStr">
        <is>
          <t>25 Ağustos 08.00-1 Eylül 07.59</t>
        </is>
      </c>
      <c r="O670" s="37" t="n">
        <v>15.1</v>
      </c>
      <c r="P670" s="38" t="n">
        <v>12070.36</v>
      </c>
      <c r="Q670" s="39"/>
      <c r="R670" s="40" t="n">
        <f>=IF(AND(ISBLANK(Q670), ISBLANK(U670)), "", "7 Günlük Fiyat")</f>
        <v>0.0</v>
      </c>
      <c r="S670" s="41" t="n">
        <f>=IF(OR(Q670="", R670=""), "-", IF(ISNUMBER(SEARCH("7 Günlük", R670)), IF(Q670&lt;=M670, O670, "-"), "-"))</f>
        <v>0.0</v>
      </c>
      <c r="T670" s="42" t="str">
        <f>=IF(ISBLANK(Q670), "", "Hayır")</f>
      </c>
      <c r="U670" s="43"/>
      <c r="V670" s="44" t="inlineStr">
        <is>
          <t>50461ed1-c2c8-4393-967e-55d58a3e2664</t>
        </is>
      </c>
    </row>
    <row r="671">
      <c r="A671" s="23" t="inlineStr">
        <is>
          <t>Toz Ve Nem Alıcı Paspas Iş Yeri Paspası Iç Ve Dış Mekan Paspası Giriş Paspası Kapı Paspası</t>
        </is>
      </c>
      <c r="B671" s="24" t="inlineStr">
        <is>
          <t>780287428</t>
        </is>
      </c>
      <c r="C671" s="25" t="inlineStr">
        <is>
          <t>TOZKONTROL-IYP2-RAMPASIZ-KIRMIZI-1001150</t>
        </is>
      </c>
      <c r="D671" s="26" t="inlineStr">
        <is>
          <t>TOZKONTROL-IYP2-RAMPASIZ-KIRMIZI-1001150</t>
        </is>
      </c>
      <c r="E671" s="27" t="inlineStr">
        <is>
          <t>100 x 1150</t>
        </is>
      </c>
      <c r="F671" s="28" t="inlineStr">
        <is>
          <t>TOZKONTROL-IYP2-RAMPASIZ</t>
        </is>
      </c>
      <c r="G671" s="29" t="inlineStr">
        <is>
          <t>Kapı Önü Paspası</t>
        </is>
      </c>
      <c r="H671" s="30" t="inlineStr">
        <is>
          <t>Paspas Yap</t>
        </is>
      </c>
      <c r="I671" s="31" t="n">
        <v>93.0</v>
      </c>
      <c r="J671" s="32" t="n">
        <v>15959.0</v>
      </c>
      <c r="K671" s="33" t="n">
        <v>12544.45</v>
      </c>
      <c r="L671" s="34" t="n">
        <v>22.0</v>
      </c>
      <c r="M671" s="35" t="n">
        <v>8388.91</v>
      </c>
      <c r="N671" s="36" t="inlineStr">
        <is>
          <t>25 Ağustos 08.00-1 Eylül 07.59</t>
        </is>
      </c>
      <c r="O671" s="37" t="n">
        <v>13.3</v>
      </c>
      <c r="P671" s="38" t="n">
        <v>12544.45</v>
      </c>
      <c r="Q671" s="39"/>
      <c r="R671" s="40" t="n">
        <f>=IF(AND(ISBLANK(Q671), ISBLANK(U671)), "", "7 Günlük Fiyat")</f>
        <v>0.0</v>
      </c>
      <c r="S671" s="41" t="n">
        <f>=IF(OR(Q671="", R671=""), "-", IF(ISNUMBER(SEARCH("7 Günlük", R671)), IF(Q671&lt;=M671, O671, "-"), "-"))</f>
        <v>0.0</v>
      </c>
      <c r="T671" s="42" t="str">
        <f>=IF(ISBLANK(Q671), "", "Hayır")</f>
      </c>
      <c r="U671" s="43"/>
      <c r="V671" s="44" t="inlineStr">
        <is>
          <t>50461ed1-c2c8-4393-967e-55d58a3e2664</t>
        </is>
      </c>
    </row>
    <row r="672">
      <c r="A672" s="23" t="inlineStr">
        <is>
          <t>Toz Ve Nem Alıcı Paspas Iş Yeri Paspası Iç Ve Dış Mekan Paspası Giriş Paspası Kapı Paspası</t>
        </is>
      </c>
      <c r="B672" s="24" t="inlineStr">
        <is>
          <t>780287428</t>
        </is>
      </c>
      <c r="C672" s="25" t="inlineStr">
        <is>
          <t>TOZKONTROL-IYP2-RAMPASIZ-KIRMIZI-120500</t>
        </is>
      </c>
      <c r="D672" s="26" t="inlineStr">
        <is>
          <t>TOZKONTROL-IYP2-RAMPASIZ-KIRMIZI-120500</t>
        </is>
      </c>
      <c r="E672" s="27" t="inlineStr">
        <is>
          <t>120 x 500</t>
        </is>
      </c>
      <c r="F672" s="28" t="inlineStr">
        <is>
          <t>TOZKONTROL-IYP2-RAMPASIZ</t>
        </is>
      </c>
      <c r="G672" s="29" t="inlineStr">
        <is>
          <t>Kapı Önü Paspası</t>
        </is>
      </c>
      <c r="H672" s="30" t="inlineStr">
        <is>
          <t>Paspas Yap</t>
        </is>
      </c>
      <c r="I672" s="31" t="n">
        <v>93.0</v>
      </c>
      <c r="J672" s="32" t="n">
        <v>8254.0</v>
      </c>
      <c r="K672" s="33" t="n">
        <v>6435.21</v>
      </c>
      <c r="L672" s="34" t="n">
        <v>22.0</v>
      </c>
      <c r="M672" s="35" t="n">
        <v>4386.65</v>
      </c>
      <c r="N672" s="36" t="inlineStr">
        <is>
          <t>25 Ağustos 08.00-1 Eylül 07.59</t>
        </is>
      </c>
      <c r="O672" s="37" t="n">
        <v>13.5</v>
      </c>
      <c r="P672" s="38" t="n">
        <v>6435.21</v>
      </c>
      <c r="Q672" s="39"/>
      <c r="R672" s="40" t="n">
        <f>=IF(AND(ISBLANK(Q672), ISBLANK(U672)), "", "7 Günlük Fiyat")</f>
        <v>0.0</v>
      </c>
      <c r="S672" s="41" t="n">
        <f>=IF(OR(Q672="", R672=""), "-", IF(ISNUMBER(SEARCH("7 Günlük", R672)), IF(Q672&lt;=M672, O672, "-"), "-"))</f>
        <v>0.0</v>
      </c>
      <c r="T672" s="42" t="str">
        <f>=IF(ISBLANK(Q672), "", "Hayır")</f>
      </c>
      <c r="U672" s="43"/>
      <c r="V672" s="44" t="inlineStr">
        <is>
          <t>50461ed1-c2c8-4393-967e-55d58a3e2664</t>
        </is>
      </c>
    </row>
    <row r="673">
      <c r="A673" s="23" t="inlineStr">
        <is>
          <t>Toz Ve Nem Alıcı Paspas Iş Yeri Paspası Iç Ve Dış Mekan Paspası Giriş Paspası Kapı Paspası</t>
        </is>
      </c>
      <c r="B673" s="24" t="inlineStr">
        <is>
          <t>780287428</t>
        </is>
      </c>
      <c r="C673" s="25" t="inlineStr">
        <is>
          <t>TOZKONTROL-IYP2-RAMPASIZ-KIRMIZI-1001300</t>
        </is>
      </c>
      <c r="D673" s="26" t="inlineStr">
        <is>
          <t>TOZKONTROL-IYP2-RAMPASIZ-KIRMIZI-1001300</t>
        </is>
      </c>
      <c r="E673" s="27" t="inlineStr">
        <is>
          <t>100 x 1300</t>
        </is>
      </c>
      <c r="F673" s="28" t="inlineStr">
        <is>
          <t>TOZKONTROL-IYP2-RAMPASIZ</t>
        </is>
      </c>
      <c r="G673" s="29" t="inlineStr">
        <is>
          <t>Kapı Önü Paspası</t>
        </is>
      </c>
      <c r="H673" s="30" t="inlineStr">
        <is>
          <t>Paspas Yap</t>
        </is>
      </c>
      <c r="I673" s="31" t="n">
        <v>93.0</v>
      </c>
      <c r="J673" s="32" t="n">
        <v>18018.0</v>
      </c>
      <c r="K673" s="33" t="n">
        <v>14324.83</v>
      </c>
      <c r="L673" s="34" t="n">
        <v>22.0</v>
      </c>
      <c r="M673" s="35" t="n">
        <v>9745.02</v>
      </c>
      <c r="N673" s="36" t="inlineStr">
        <is>
          <t>25 Ağustos 08.00-1 Eylül 07.59</t>
        </is>
      </c>
      <c r="O673" s="37" t="n">
        <v>13.6</v>
      </c>
      <c r="P673" s="38" t="n">
        <v>14324.83</v>
      </c>
      <c r="Q673" s="39"/>
      <c r="R673" s="40" t="n">
        <f>=IF(AND(ISBLANK(Q673), ISBLANK(U673)), "", "7 Günlük Fiyat")</f>
        <v>0.0</v>
      </c>
      <c r="S673" s="41" t="n">
        <f>=IF(OR(Q673="", R673=""), "-", IF(ISNUMBER(SEARCH("7 Günlük", R673)), IF(Q673&lt;=M673, O673, "-"), "-"))</f>
        <v>0.0</v>
      </c>
      <c r="T673" s="42" t="str">
        <f>=IF(ISBLANK(Q673), "", "Hayır")</f>
      </c>
      <c r="U673" s="43"/>
      <c r="V673" s="44" t="inlineStr">
        <is>
          <t>50461ed1-c2c8-4393-967e-55d58a3e2664</t>
        </is>
      </c>
    </row>
    <row r="674">
      <c r="A674" s="23" t="inlineStr">
        <is>
          <t>Toz Ve Nem Alıcı Paspas Iş Yeri Paspası Iç Ve Dış Mekan Paspası Giriş Paspası Kapı Paspası</t>
        </is>
      </c>
      <c r="B674" s="24" t="inlineStr">
        <is>
          <t>780287428</t>
        </is>
      </c>
      <c r="C674" s="25" t="inlineStr">
        <is>
          <t>TOZKONTROL-IYP2-RAMPASIZ-KIRMIZI-1001400</t>
        </is>
      </c>
      <c r="D674" s="26" t="inlineStr">
        <is>
          <t>TOZKONTROL-IYP2-RAMPASIZ-KIRMIZI-1001400</t>
        </is>
      </c>
      <c r="E674" s="27" t="inlineStr">
        <is>
          <t>100 x 1400</t>
        </is>
      </c>
      <c r="F674" s="28" t="inlineStr">
        <is>
          <t>TOZKONTROL-IYP2-RAMPASIZ</t>
        </is>
      </c>
      <c r="G674" s="29" t="inlineStr">
        <is>
          <t>Kapı Önü Paspası</t>
        </is>
      </c>
      <c r="H674" s="30" t="inlineStr">
        <is>
          <t>Paspas Yap</t>
        </is>
      </c>
      <c r="I674" s="31" t="n">
        <v>93.0</v>
      </c>
      <c r="J674" s="32" t="n">
        <v>19423.0</v>
      </c>
      <c r="K674" s="33" t="n">
        <v>15057.14</v>
      </c>
      <c r="L674" s="34" t="n">
        <v>22.0</v>
      </c>
      <c r="M674" s="35" t="n">
        <v>9955.08</v>
      </c>
      <c r="N674" s="36" t="inlineStr">
        <is>
          <t>25 Ağustos 08.00-1 Eylül 07.59</t>
        </is>
      </c>
      <c r="O674" s="37" t="n">
        <v>13.0</v>
      </c>
      <c r="P674" s="38" t="n">
        <v>15057.14</v>
      </c>
      <c r="Q674" s="39"/>
      <c r="R674" s="40" t="n">
        <f>=IF(AND(ISBLANK(Q674), ISBLANK(U674)), "", "7 Günlük Fiyat")</f>
        <v>0.0</v>
      </c>
      <c r="S674" s="41" t="n">
        <f>=IF(OR(Q674="", R674=""), "-", IF(ISNUMBER(SEARCH("7 Günlük", R674)), IF(Q674&lt;=M674, O674, "-"), "-"))</f>
        <v>0.0</v>
      </c>
      <c r="T674" s="42" t="str">
        <f>=IF(ISBLANK(Q674), "", "Hayır")</f>
      </c>
      <c r="U674" s="43"/>
      <c r="V674" s="44" t="inlineStr">
        <is>
          <t>50461ed1-c2c8-4393-967e-55d58a3e2664</t>
        </is>
      </c>
    </row>
    <row r="675">
      <c r="A675" s="23" t="inlineStr">
        <is>
          <t>Toz Ve Nem Alıcı Paspas Iş Yeri Paspası Iç Ve Dış Mekan Paspası Giriş Paspası Kapı Paspası</t>
        </is>
      </c>
      <c r="B675" s="24" t="inlineStr">
        <is>
          <t>780287428</t>
        </is>
      </c>
      <c r="C675" s="25" t="inlineStr">
        <is>
          <t>TOZKONTROL-IYP2-RAMPASIZ-KIRMIZI-100x350</t>
        </is>
      </c>
      <c r="D675" s="26" t="inlineStr">
        <is>
          <t>TOZKONTROL-IYP2-RAMPASIZ-KIRMIZI-100x350</t>
        </is>
      </c>
      <c r="E675" s="27" t="inlineStr">
        <is>
          <t>100 x 350</t>
        </is>
      </c>
      <c r="F675" s="28" t="inlineStr">
        <is>
          <t>TOZKONTROL-IYP2-RAMPASIZ</t>
        </is>
      </c>
      <c r="G675" s="29" t="inlineStr">
        <is>
          <t>Kapı Önü Paspası</t>
        </is>
      </c>
      <c r="H675" s="30" t="inlineStr">
        <is>
          <t>Paspas Yap</t>
        </is>
      </c>
      <c r="I675" s="31" t="n">
        <v>93.0</v>
      </c>
      <c r="J675" s="32" t="n">
        <v>4904.0</v>
      </c>
      <c r="K675" s="33" t="n">
        <v>3826.66</v>
      </c>
      <c r="L675" s="34" t="n">
        <v>22.0</v>
      </c>
      <c r="M675" s="35" t="n">
        <v>2592.84</v>
      </c>
      <c r="N675" s="36" t="inlineStr">
        <is>
          <t>25 Ağustos 08.00-1 Eylül 07.59</t>
        </is>
      </c>
      <c r="O675" s="37" t="n">
        <v>13.3</v>
      </c>
      <c r="P675" s="38" t="n">
        <v>3826.66</v>
      </c>
      <c r="Q675" s="39"/>
      <c r="R675" s="40" t="n">
        <f>=IF(AND(ISBLANK(Q675), ISBLANK(U675)), "", "7 Günlük Fiyat")</f>
        <v>0.0</v>
      </c>
      <c r="S675" s="41" t="n">
        <f>=IF(OR(Q675="", R675=""), "-", IF(ISNUMBER(SEARCH("7 Günlük", R675)), IF(Q675&lt;=M675, O675, "-"), "-"))</f>
        <v>0.0</v>
      </c>
      <c r="T675" s="42" t="str">
        <f>=IF(ISBLANK(Q675), "", "Hayır")</f>
      </c>
      <c r="U675" s="43"/>
      <c r="V675" s="44" t="inlineStr">
        <is>
          <t>50461ed1-c2c8-4393-967e-55d58a3e2664</t>
        </is>
      </c>
    </row>
    <row r="676">
      <c r="A676" s="23" t="inlineStr">
        <is>
          <t>Toz Ve Nem Alıcı Paspas Iş Yeri Paspası Iç Ve Dış Mekan Paspası Giriş Paspası Kapı Paspası</t>
        </is>
      </c>
      <c r="B676" s="24" t="inlineStr">
        <is>
          <t>780287428</t>
        </is>
      </c>
      <c r="C676" s="25" t="inlineStr">
        <is>
          <t>TOZKONTROL-IYP2-RAMPASIZ-KIRMIZI-100x100</t>
        </is>
      </c>
      <c r="D676" s="26" t="inlineStr">
        <is>
          <t>TOZKONTROL-IYP2-RAMPASIZ-KIRMIZI-100x100</t>
        </is>
      </c>
      <c r="E676" s="27" t="inlineStr">
        <is>
          <t>100 x 100</t>
        </is>
      </c>
      <c r="F676" s="28" t="inlineStr">
        <is>
          <t>TOZKONTROL-IYP2-RAMPASIZ</t>
        </is>
      </c>
      <c r="G676" s="29" t="inlineStr">
        <is>
          <t>Kapı Önü Paspası</t>
        </is>
      </c>
      <c r="H676" s="30" t="inlineStr">
        <is>
          <t>Paspas Yap</t>
        </is>
      </c>
      <c r="I676" s="31" t="n">
        <v>93.0</v>
      </c>
      <c r="J676" s="32" t="n">
        <v>1615.0</v>
      </c>
      <c r="K676" s="33" t="n">
        <v>1297.77</v>
      </c>
      <c r="L676" s="34" t="n">
        <v>22.0</v>
      </c>
      <c r="M676" s="35" t="n">
        <v>967.92</v>
      </c>
      <c r="N676" s="36" t="inlineStr">
        <is>
          <t>25 Ağustos 08.00-1 Eylül 07.59</t>
        </is>
      </c>
      <c r="O676" s="37" t="n">
        <v>14.4</v>
      </c>
      <c r="P676" s="38" t="n">
        <v>1297.77</v>
      </c>
      <c r="Q676" s="39"/>
      <c r="R676" s="40" t="n">
        <f>=IF(AND(ISBLANK(Q676), ISBLANK(U676)), "", "7 Günlük Fiyat")</f>
        <v>0.0</v>
      </c>
      <c r="S676" s="41" t="n">
        <f>=IF(OR(Q676="", R676=""), "-", IF(ISNUMBER(SEARCH("7 Günlük", R676)), IF(Q676&lt;=M676, O676, "-"), "-"))</f>
        <v>0.0</v>
      </c>
      <c r="T676" s="42" t="str">
        <f>=IF(ISBLANK(Q676), "", "Hayır")</f>
      </c>
      <c r="U676" s="43"/>
      <c r="V676" s="44" t="inlineStr">
        <is>
          <t>50461ed1-c2c8-4393-967e-55d58a3e2664</t>
        </is>
      </c>
    </row>
    <row r="677">
      <c r="A677" s="23" t="inlineStr">
        <is>
          <t>Toz Ve Nem Alıcı Paspas Iş Yeri Paspası Iç Ve Dış Mekan Paspası Giriş Paspası Kapı Paspası</t>
        </is>
      </c>
      <c r="B677" s="24" t="inlineStr">
        <is>
          <t>780287428</t>
        </is>
      </c>
      <c r="C677" s="25" t="inlineStr">
        <is>
          <t>TOZKONTROL-IYP2-RAMPASIZ-KIRMIZI-80800</t>
        </is>
      </c>
      <c r="D677" s="26" t="inlineStr">
        <is>
          <t>TOZKONTROL-IYP2-RAMPASIZ-KIRMIZI-80800</t>
        </is>
      </c>
      <c r="E677" s="27" t="inlineStr">
        <is>
          <t>80 x 800</t>
        </is>
      </c>
      <c r="F677" s="28" t="inlineStr">
        <is>
          <t>TOZKONTROL-IYP2-RAMPASIZ</t>
        </is>
      </c>
      <c r="G677" s="29" t="inlineStr">
        <is>
          <t>Kapı Önü Paspası</t>
        </is>
      </c>
      <c r="H677" s="30" t="inlineStr">
        <is>
          <t>Paspas Yap</t>
        </is>
      </c>
      <c r="I677" s="31" t="n">
        <v>93.0</v>
      </c>
      <c r="J677" s="32" t="n">
        <v>8696.0</v>
      </c>
      <c r="K677" s="33" t="n">
        <v>6722.17</v>
      </c>
      <c r="L677" s="34" t="n">
        <v>22.0</v>
      </c>
      <c r="M677" s="35" t="n">
        <v>4594.84</v>
      </c>
      <c r="N677" s="36" t="inlineStr">
        <is>
          <t>25 Ağustos 08.00-1 Eylül 07.59</t>
        </is>
      </c>
      <c r="O677" s="37" t="n">
        <v>13.4</v>
      </c>
      <c r="P677" s="38" t="n">
        <v>6722.17</v>
      </c>
      <c r="Q677" s="39"/>
      <c r="R677" s="40" t="n">
        <f>=IF(AND(ISBLANK(Q677), ISBLANK(U677)), "", "7 Günlük Fiyat")</f>
        <v>0.0</v>
      </c>
      <c r="S677" s="41" t="n">
        <f>=IF(OR(Q677="", R677=""), "-", IF(ISNUMBER(SEARCH("7 Günlük", R677)), IF(Q677&lt;=M677, O677, "-"), "-"))</f>
        <v>0.0</v>
      </c>
      <c r="T677" s="42" t="str">
        <f>=IF(ISBLANK(Q677), "", "Hayır")</f>
      </c>
      <c r="U677" s="43"/>
      <c r="V677" s="44" t="inlineStr">
        <is>
          <t>50461ed1-c2c8-4393-967e-55d58a3e2664</t>
        </is>
      </c>
    </row>
    <row r="678">
      <c r="A678" s="23" t="inlineStr">
        <is>
          <t>Toz Ve Nem Alıcı Paspas Iş Yeri Paspası Iç Ve Dış Mekan Paspası Giriş Paspası Kapı Paspası</t>
        </is>
      </c>
      <c r="B678" s="24" t="inlineStr">
        <is>
          <t>780287428</t>
        </is>
      </c>
      <c r="C678" s="25" t="inlineStr">
        <is>
          <t>TOZKONTROL-IYP2-RAMPASIZ-KIRMIZI-80x100</t>
        </is>
      </c>
      <c r="D678" s="26" t="inlineStr">
        <is>
          <t>TOZKONTROL-IYP2-RAMPASIZ-KIRMIZI-80x100</t>
        </is>
      </c>
      <c r="E678" s="27" t="inlineStr">
        <is>
          <t>80 x 100</t>
        </is>
      </c>
      <c r="F678" s="28" t="inlineStr">
        <is>
          <t>TOZKONTROL-IYP2-RAMPASIZ</t>
        </is>
      </c>
      <c r="G678" s="29" t="inlineStr">
        <is>
          <t>Kapı Önü Paspası</t>
        </is>
      </c>
      <c r="H678" s="30" t="inlineStr">
        <is>
          <t>Paspas Yap</t>
        </is>
      </c>
      <c r="I678" s="31" t="n">
        <v>93.0</v>
      </c>
      <c r="J678" s="32" t="n">
        <v>1355.0</v>
      </c>
      <c r="K678" s="33" t="n">
        <v>1066.46</v>
      </c>
      <c r="L678" s="34" t="n">
        <v>22.0</v>
      </c>
      <c r="M678" s="35" t="n">
        <v>779.36</v>
      </c>
      <c r="N678" s="36" t="inlineStr">
        <is>
          <t>25 Ağustos 08.00-1 Eylül 07.59</t>
        </is>
      </c>
      <c r="O678" s="37" t="n">
        <v>14.4</v>
      </c>
      <c r="P678" s="38" t="n">
        <v>1066.46</v>
      </c>
      <c r="Q678" s="39"/>
      <c r="R678" s="40" t="n">
        <f>=IF(AND(ISBLANK(Q678), ISBLANK(U678)), "", "7 Günlük Fiyat")</f>
        <v>0.0</v>
      </c>
      <c r="S678" s="41" t="n">
        <f>=IF(OR(Q678="", R678=""), "-", IF(ISNUMBER(SEARCH("7 Günlük", R678)), IF(Q678&lt;=M678, O678, "-"), "-"))</f>
        <v>0.0</v>
      </c>
      <c r="T678" s="42" t="str">
        <f>=IF(ISBLANK(Q678), "", "Hayır")</f>
      </c>
      <c r="U678" s="43"/>
      <c r="V678" s="44" t="inlineStr">
        <is>
          <t>50461ed1-c2c8-4393-967e-55d58a3e2664</t>
        </is>
      </c>
    </row>
    <row r="679">
      <c r="A679" s="23" t="inlineStr">
        <is>
          <t>Toz Ve Nem Alıcı Paspas Iş Yeri Paspası Iç Ve Dış Mekan Paspası Giriş Paspası Kapı Paspası</t>
        </is>
      </c>
      <c r="B679" s="24" t="inlineStr">
        <is>
          <t>780287428</t>
        </is>
      </c>
      <c r="C679" s="25" t="inlineStr">
        <is>
          <t>TOZKONTROL-IYP2-RAMPASIZ-KIRMIZI-1201050</t>
        </is>
      </c>
      <c r="D679" s="26" t="inlineStr">
        <is>
          <t>TOZKONTROL-IYP2-RAMPASIZ-KIRMIZI-1201050</t>
        </is>
      </c>
      <c r="E679" s="27" t="inlineStr">
        <is>
          <t>120 x 1050</t>
        </is>
      </c>
      <c r="F679" s="28" t="inlineStr">
        <is>
          <t>TOZKONTROL-IYP2-RAMPASIZ</t>
        </is>
      </c>
      <c r="G679" s="29" t="inlineStr">
        <is>
          <t>Kapı Önü Paspası</t>
        </is>
      </c>
      <c r="H679" s="30" t="inlineStr">
        <is>
          <t>Paspas Yap</t>
        </is>
      </c>
      <c r="I679" s="31" t="n">
        <v>93.0</v>
      </c>
      <c r="J679" s="32" t="n">
        <v>17576.0</v>
      </c>
      <c r="K679" s="33" t="n">
        <v>13928.55</v>
      </c>
      <c r="L679" s="34" t="n">
        <v>22.0</v>
      </c>
      <c r="M679" s="35" t="n">
        <v>9451.57</v>
      </c>
      <c r="N679" s="36" t="inlineStr">
        <is>
          <t>25 Ağustos 08.00-1 Eylül 07.59</t>
        </is>
      </c>
      <c r="O679" s="37" t="n">
        <v>13.5</v>
      </c>
      <c r="P679" s="38" t="n">
        <v>13928.55</v>
      </c>
      <c r="Q679" s="39"/>
      <c r="R679" s="40" t="n">
        <f>=IF(AND(ISBLANK(Q679), ISBLANK(U679)), "", "7 Günlük Fiyat")</f>
        <v>0.0</v>
      </c>
      <c r="S679" s="41" t="n">
        <f>=IF(OR(Q679="", R679=""), "-", IF(ISNUMBER(SEARCH("7 Günlük", R679)), IF(Q679&lt;=M679, O679, "-"), "-"))</f>
        <v>0.0</v>
      </c>
      <c r="T679" s="42" t="str">
        <f>=IF(ISBLANK(Q679), "", "Hayır")</f>
      </c>
      <c r="U679" s="43"/>
      <c r="V679" s="44" t="inlineStr">
        <is>
          <t>50461ed1-c2c8-4393-967e-55d58a3e2664</t>
        </is>
      </c>
    </row>
    <row r="680">
      <c r="A680" s="23" t="inlineStr">
        <is>
          <t>Toz Ve Nem Alıcı Paspas Iş Yeri Paspası Iç Ve Dış Mekan Paspası Giriş Paspası Kapı Paspası</t>
        </is>
      </c>
      <c r="B680" s="24" t="inlineStr">
        <is>
          <t>780287428</t>
        </is>
      </c>
      <c r="C680" s="25" t="inlineStr">
        <is>
          <t>TOZKONTROL-IYP2-RAMPASIZ-KIRMIZI-120350</t>
        </is>
      </c>
      <c r="D680" s="26" t="inlineStr">
        <is>
          <t>TOZKONTROL-IYP2-RAMPASIZ-KIRMIZI-120350</t>
        </is>
      </c>
      <c r="E680" s="27" t="inlineStr">
        <is>
          <t>120 x 350</t>
        </is>
      </c>
      <c r="F680" s="28" t="inlineStr">
        <is>
          <t>TOZKONTROL-IYP2-RAMPASIZ</t>
        </is>
      </c>
      <c r="G680" s="29" t="inlineStr">
        <is>
          <t>Kapı Önü Paspası</t>
        </is>
      </c>
      <c r="H680" s="30" t="inlineStr">
        <is>
          <t>Paspas Yap</t>
        </is>
      </c>
      <c r="I680" s="31" t="n">
        <v>93.0</v>
      </c>
      <c r="J680" s="32" t="n">
        <v>5762.0</v>
      </c>
      <c r="K680" s="33" t="n">
        <v>4722.0</v>
      </c>
      <c r="L680" s="34" t="n">
        <v>22.0</v>
      </c>
      <c r="M680" s="35" t="n">
        <v>3350.43</v>
      </c>
      <c r="N680" s="36" t="inlineStr">
        <is>
          <t>25 Ağustos 08.00-1 Eylül 07.59</t>
        </is>
      </c>
      <c r="O680" s="37" t="n">
        <v>14.5</v>
      </c>
      <c r="P680" s="38" t="n">
        <v>4722.0</v>
      </c>
      <c r="Q680" s="39"/>
      <c r="R680" s="40" t="n">
        <f>=IF(AND(ISBLANK(Q680), ISBLANK(U680)), "", "7 Günlük Fiyat")</f>
        <v>0.0</v>
      </c>
      <c r="S680" s="41" t="n">
        <f>=IF(OR(Q680="", R680=""), "-", IF(ISNUMBER(SEARCH("7 Günlük", R680)), IF(Q680&lt;=M680, O680, "-"), "-"))</f>
        <v>0.0</v>
      </c>
      <c r="T680" s="42" t="str">
        <f>=IF(ISBLANK(Q680), "", "Hayır")</f>
      </c>
      <c r="U680" s="43"/>
      <c r="V680" s="44" t="inlineStr">
        <is>
          <t>50461ed1-c2c8-4393-967e-55d58a3e2664</t>
        </is>
      </c>
    </row>
    <row r="681">
      <c r="A681" s="23" t="inlineStr">
        <is>
          <t>Toz Ve Nem Alıcı Paspas Iş Yeri Paspası Iç Ve Dış Mekan Paspası Giriş Paspası Kapı Paspası</t>
        </is>
      </c>
      <c r="B681" s="24" t="inlineStr">
        <is>
          <t>780287428</t>
        </is>
      </c>
      <c r="C681" s="25" t="inlineStr">
        <is>
          <t>TOZKONTROL-IYP2-RAMPASIZ-KIRMIZI-801150</t>
        </is>
      </c>
      <c r="D681" s="26" t="inlineStr">
        <is>
          <t>TOZKONTROL-IYP2-RAMPASIZ-KIRMIZI-801150</t>
        </is>
      </c>
      <c r="E681" s="27" t="inlineStr">
        <is>
          <t>80 x 1150</t>
        </is>
      </c>
      <c r="F681" s="28" t="inlineStr">
        <is>
          <t>TOZKONTROL-IYP2-RAMPASIZ</t>
        </is>
      </c>
      <c r="G681" s="29" t="inlineStr">
        <is>
          <t>Kapı Önü Paspası</t>
        </is>
      </c>
      <c r="H681" s="30" t="inlineStr">
        <is>
          <t>Paspas Yap</t>
        </is>
      </c>
      <c r="I681" s="31" t="n">
        <v>93.0</v>
      </c>
      <c r="J681" s="32" t="n">
        <v>12521.0</v>
      </c>
      <c r="K681" s="33" t="n">
        <v>9776.39</v>
      </c>
      <c r="L681" s="34" t="n">
        <v>22.0</v>
      </c>
      <c r="M681" s="35" t="n">
        <v>6726.89</v>
      </c>
      <c r="N681" s="36" t="inlineStr">
        <is>
          <t>25 Ağustos 08.00-1 Eylül 07.59</t>
        </is>
      </c>
      <c r="O681" s="37" t="n">
        <v>13.6</v>
      </c>
      <c r="P681" s="38" t="n">
        <v>9776.39</v>
      </c>
      <c r="Q681" s="39"/>
      <c r="R681" s="40" t="n">
        <f>=IF(AND(ISBLANK(Q681), ISBLANK(U681)), "", "7 Günlük Fiyat")</f>
        <v>0.0</v>
      </c>
      <c r="S681" s="41" t="n">
        <f>=IF(OR(Q681="", R681=""), "-", IF(ISNUMBER(SEARCH("7 Günlük", R681)), IF(Q681&lt;=M681, O681, "-"), "-"))</f>
        <v>0.0</v>
      </c>
      <c r="T681" s="42" t="str">
        <f>=IF(ISBLANK(Q681), "", "Hayır")</f>
      </c>
      <c r="U681" s="43"/>
      <c r="V681" s="44" t="inlineStr">
        <is>
          <t>50461ed1-c2c8-4393-967e-55d58a3e2664</t>
        </is>
      </c>
    </row>
    <row r="682">
      <c r="A682" s="23" t="inlineStr">
        <is>
          <t>Toz Ve Nem Alıcı Paspas Iş Yeri Paspası Iç Ve Dış Mekan Paspası Giriş Paspası Kapı Paspası</t>
        </is>
      </c>
      <c r="B682" s="24" t="inlineStr">
        <is>
          <t>780287428</t>
        </is>
      </c>
      <c r="C682" s="25" t="inlineStr">
        <is>
          <t>TOZKONTROL-IYP2-RAMPASIZ-KIRMIZI-100900</t>
        </is>
      </c>
      <c r="D682" s="26" t="inlineStr">
        <is>
          <t>TOZKONTROL-IYP2-RAMPASIZ-KIRMIZI-100900</t>
        </is>
      </c>
      <c r="E682" s="27" t="inlineStr">
        <is>
          <t>100 x 900</t>
        </is>
      </c>
      <c r="F682" s="28" t="inlineStr">
        <is>
          <t>TOZKONTROL-IYP2-RAMPASIZ</t>
        </is>
      </c>
      <c r="G682" s="29" t="inlineStr">
        <is>
          <t>Kapı Önü Paspası</t>
        </is>
      </c>
      <c r="H682" s="30" t="inlineStr">
        <is>
          <t>Paspas Yap</t>
        </is>
      </c>
      <c r="I682" s="31" t="n">
        <v>93.0</v>
      </c>
      <c r="J682" s="32" t="n">
        <v>12300.0</v>
      </c>
      <c r="K682" s="33" t="n">
        <v>9597.49</v>
      </c>
      <c r="L682" s="34" t="n">
        <v>22.0</v>
      </c>
      <c r="M682" s="35" t="n">
        <v>6495.66</v>
      </c>
      <c r="N682" s="36" t="inlineStr">
        <is>
          <t>25 Ağustos 08.00-1 Eylül 07.59</t>
        </is>
      </c>
      <c r="O682" s="37" t="n">
        <v>13.4</v>
      </c>
      <c r="P682" s="38" t="n">
        <v>9597.49</v>
      </c>
      <c r="Q682" s="39"/>
      <c r="R682" s="40" t="n">
        <f>=IF(AND(ISBLANK(Q682), ISBLANK(U682)), "", "7 Günlük Fiyat")</f>
        <v>0.0</v>
      </c>
      <c r="S682" s="41" t="n">
        <f>=IF(OR(Q682="", R682=""), "-", IF(ISNUMBER(SEARCH("7 Günlük", R682)), IF(Q682&lt;=M682, O682, "-"), "-"))</f>
        <v>0.0</v>
      </c>
      <c r="T682" s="42" t="str">
        <f>=IF(ISBLANK(Q682), "", "Hayır")</f>
      </c>
      <c r="U682" s="43"/>
      <c r="V682" s="44" t="inlineStr">
        <is>
          <t>50461ed1-c2c8-4393-967e-55d58a3e2664</t>
        </is>
      </c>
    </row>
    <row r="683">
      <c r="A683" s="23" t="inlineStr">
        <is>
          <t>Toz Ve Nem Alıcı Paspas Iş Yeri Paspası Iç Ve Dış Mekan Paspası Giriş Paspası Kapı Paspası</t>
        </is>
      </c>
      <c r="B683" s="24" t="inlineStr">
        <is>
          <t>780287428</t>
        </is>
      </c>
      <c r="C683" s="25" t="inlineStr">
        <is>
          <t>TOZKONTROL-IYP2-RAMPASIZ-KIRMIZI-80700</t>
        </is>
      </c>
      <c r="D683" s="26" t="inlineStr">
        <is>
          <t>TOZKONTROL-IYP2-RAMPASIZ-KIRMIZI-80700</t>
        </is>
      </c>
      <c r="E683" s="27" t="inlineStr">
        <is>
          <t>80 x 700</t>
        </is>
      </c>
      <c r="F683" s="28" t="inlineStr">
        <is>
          <t>TOZKONTROL-IYP2-RAMPASIZ</t>
        </is>
      </c>
      <c r="G683" s="29" t="inlineStr">
        <is>
          <t>Kapı Önü Paspası</t>
        </is>
      </c>
      <c r="H683" s="30" t="inlineStr">
        <is>
          <t>Paspas Yap</t>
        </is>
      </c>
      <c r="I683" s="31" t="n">
        <v>93.0</v>
      </c>
      <c r="J683" s="32" t="n">
        <v>7599.0</v>
      </c>
      <c r="K683" s="33" t="n">
        <v>5953.01</v>
      </c>
      <c r="L683" s="34" t="n">
        <v>22.0</v>
      </c>
      <c r="M683" s="35" t="n">
        <v>4072.69</v>
      </c>
      <c r="N683" s="36" t="inlineStr">
        <is>
          <t>25 Ağustos 08.00-1 Eylül 07.59</t>
        </is>
      </c>
      <c r="O683" s="37" t="n">
        <v>13.6</v>
      </c>
      <c r="P683" s="38" t="n">
        <v>5953.01</v>
      </c>
      <c r="Q683" s="39"/>
      <c r="R683" s="40" t="n">
        <f>=IF(AND(ISBLANK(Q683), ISBLANK(U683)), "", "7 Günlük Fiyat")</f>
        <v>0.0</v>
      </c>
      <c r="S683" s="41" t="n">
        <f>=IF(OR(Q683="", R683=""), "-", IF(ISNUMBER(SEARCH("7 Günlük", R683)), IF(Q683&lt;=M683, O683, "-"), "-"))</f>
        <v>0.0</v>
      </c>
      <c r="T683" s="42" t="str">
        <f>=IF(ISBLANK(Q683), "", "Hayır")</f>
      </c>
      <c r="U683" s="43"/>
      <c r="V683" s="44" t="inlineStr">
        <is>
          <t>50461ed1-c2c8-4393-967e-55d58a3e2664</t>
        </is>
      </c>
    </row>
    <row r="684">
      <c r="A684" s="23" t="inlineStr">
        <is>
          <t>Toz Ve Nem Alıcı Paspas Iş Yeri Paspası Iç Ve Dış Mekan Paspası Giriş Paspası Kapı Paspası</t>
        </is>
      </c>
      <c r="B684" s="24" t="inlineStr">
        <is>
          <t>780287428</t>
        </is>
      </c>
      <c r="C684" s="25" t="inlineStr">
        <is>
          <t>TOZKONTROL-IYP2-RAMPASIZ-KIRMIZI-801100</t>
        </is>
      </c>
      <c r="D684" s="26" t="inlineStr">
        <is>
          <t>TOZKONTROL-IYP2-RAMPASIZ-KIRMIZI-801100</t>
        </is>
      </c>
      <c r="E684" s="27" t="inlineStr">
        <is>
          <t>80 x 1100</t>
        </is>
      </c>
      <c r="F684" s="28" t="inlineStr">
        <is>
          <t>TOZKONTROL-IYP2-RAMPASIZ</t>
        </is>
      </c>
      <c r="G684" s="29" t="inlineStr">
        <is>
          <t>Kapı Önü Paspası</t>
        </is>
      </c>
      <c r="H684" s="30" t="inlineStr">
        <is>
          <t>Paspas Yap</t>
        </is>
      </c>
      <c r="I684" s="31" t="n">
        <v>93.0</v>
      </c>
      <c r="J684" s="32" t="n">
        <v>11878.0</v>
      </c>
      <c r="K684" s="33" t="n">
        <v>9320.82</v>
      </c>
      <c r="L684" s="34" t="n">
        <v>22.0</v>
      </c>
      <c r="M684" s="35" t="n">
        <v>6258.69</v>
      </c>
      <c r="N684" s="36" t="inlineStr">
        <is>
          <t>25 Ağustos 08.00-1 Eylül 07.59</t>
        </is>
      </c>
      <c r="O684" s="37" t="n">
        <v>13.2</v>
      </c>
      <c r="P684" s="38" t="n">
        <v>9320.82</v>
      </c>
      <c r="Q684" s="39"/>
      <c r="R684" s="40" t="n">
        <f>=IF(AND(ISBLANK(Q684), ISBLANK(U684)), "", "7 Günlük Fiyat")</f>
        <v>0.0</v>
      </c>
      <c r="S684" s="41" t="n">
        <f>=IF(OR(Q684="", R684=""), "-", IF(ISNUMBER(SEARCH("7 Günlük", R684)), IF(Q684&lt;=M684, O684, "-"), "-"))</f>
        <v>0.0</v>
      </c>
      <c r="T684" s="42" t="str">
        <f>=IF(ISBLANK(Q684), "", "Hayır")</f>
      </c>
      <c r="U684" s="43"/>
      <c r="V684" s="44" t="inlineStr">
        <is>
          <t>50461ed1-c2c8-4393-967e-55d58a3e2664</t>
        </is>
      </c>
    </row>
    <row r="685">
      <c r="A685" s="23" t="inlineStr">
        <is>
          <t>Toz Ve Nem Alıcı Paspas Iş Yeri Paspası Iç Ve Dış Mekan Paspası Giriş Paspası Kapı Paspası</t>
        </is>
      </c>
      <c r="B685" s="24" t="inlineStr">
        <is>
          <t>780287428</t>
        </is>
      </c>
      <c r="C685" s="25" t="inlineStr">
        <is>
          <t>TOZKONTROL-IYP2-RAMPASIZ-KIRMIZI-80250</t>
        </is>
      </c>
      <c r="D685" s="26" t="inlineStr">
        <is>
          <t>TOZKONTROL-IYP2-RAMPASIZ-KIRMIZI-80250</t>
        </is>
      </c>
      <c r="E685" s="27" t="inlineStr">
        <is>
          <t>80 x 250</t>
        </is>
      </c>
      <c r="F685" s="28" t="inlineStr">
        <is>
          <t>TOZKONTROL-IYP2-RAMPASIZ</t>
        </is>
      </c>
      <c r="G685" s="29" t="inlineStr">
        <is>
          <t>Kapı Önü Paspası</t>
        </is>
      </c>
      <c r="H685" s="30" t="inlineStr">
        <is>
          <t>Paspas Yap</t>
        </is>
      </c>
      <c r="I685" s="31" t="n">
        <v>93.0</v>
      </c>
      <c r="J685" s="32" t="n">
        <v>2886.0</v>
      </c>
      <c r="K685" s="33" t="n">
        <v>2258.9</v>
      </c>
      <c r="L685" s="34" t="n">
        <v>22.0</v>
      </c>
      <c r="M685" s="35" t="n">
        <v>1575.56</v>
      </c>
      <c r="N685" s="36" t="inlineStr">
        <is>
          <t>25 Ağustos 08.00-1 Eylül 07.59</t>
        </is>
      </c>
      <c r="O685" s="37" t="n">
        <v>13.7</v>
      </c>
      <c r="P685" s="38" t="n">
        <v>2258.9</v>
      </c>
      <c r="Q685" s="39"/>
      <c r="R685" s="40" t="n">
        <f>=IF(AND(ISBLANK(Q685), ISBLANK(U685)), "", "7 Günlük Fiyat")</f>
        <v>0.0</v>
      </c>
      <c r="S685" s="41" t="n">
        <f>=IF(OR(Q685="", R685=""), "-", IF(ISNUMBER(SEARCH("7 Günlük", R685)), IF(Q685&lt;=M685, O685, "-"), "-"))</f>
        <v>0.0</v>
      </c>
      <c r="T685" s="42" t="str">
        <f>=IF(ISBLANK(Q685), "", "Hayır")</f>
      </c>
      <c r="U685" s="43"/>
      <c r="V685" s="44" t="inlineStr">
        <is>
          <t>50461ed1-c2c8-4393-967e-55d58a3e2664</t>
        </is>
      </c>
    </row>
    <row r="686">
      <c r="A686" s="23" t="inlineStr">
        <is>
          <t>Toz Ve Nem Alıcı Paspas Iş Yeri Paspası Iç Ve Dış Mekan Paspası Giriş Paspası Kapı Paspası</t>
        </is>
      </c>
      <c r="B686" s="24" t="inlineStr">
        <is>
          <t>780287428</t>
        </is>
      </c>
      <c r="C686" s="25" t="inlineStr">
        <is>
          <t>TOZKONTROL-IYP2-RAMPASIZ-KIRMIZI-120550</t>
        </is>
      </c>
      <c r="D686" s="26" t="inlineStr">
        <is>
          <t>TOZKONTROL-IYP2-RAMPASIZ-KIRMIZI-120550</t>
        </is>
      </c>
      <c r="E686" s="27" t="inlineStr">
        <is>
          <t>120 x 550</t>
        </is>
      </c>
      <c r="F686" s="28" t="inlineStr">
        <is>
          <t>TOZKONTROL-IYP2-RAMPASIZ</t>
        </is>
      </c>
      <c r="G686" s="29" t="inlineStr">
        <is>
          <t>Kapı Önü Paspası</t>
        </is>
      </c>
      <c r="H686" s="30" t="inlineStr">
        <is>
          <t>Paspas Yap</t>
        </is>
      </c>
      <c r="I686" s="31" t="n">
        <v>93.0</v>
      </c>
      <c r="J686" s="32" t="n">
        <v>8992.0</v>
      </c>
      <c r="K686" s="33" t="n">
        <v>7391.91</v>
      </c>
      <c r="L686" s="34" t="n">
        <v>22.0</v>
      </c>
      <c r="M686" s="35" t="n">
        <v>5210.13</v>
      </c>
      <c r="N686" s="36" t="inlineStr">
        <is>
          <t>25 Ağustos 08.00-1 Eylül 07.59</t>
        </is>
      </c>
      <c r="O686" s="37" t="n">
        <v>14.5</v>
      </c>
      <c r="P686" s="38" t="n">
        <v>7391.91</v>
      </c>
      <c r="Q686" s="39"/>
      <c r="R686" s="40" t="n">
        <f>=IF(AND(ISBLANK(Q686), ISBLANK(U686)), "", "7 Günlük Fiyat")</f>
        <v>0.0</v>
      </c>
      <c r="S686" s="41" t="n">
        <f>=IF(OR(Q686="", R686=""), "-", IF(ISNUMBER(SEARCH("7 Günlük", R686)), IF(Q686&lt;=M686, O686, "-"), "-"))</f>
        <v>0.0</v>
      </c>
      <c r="T686" s="42" t="str">
        <f>=IF(ISBLANK(Q686), "", "Hayır")</f>
      </c>
      <c r="U686" s="43"/>
      <c r="V686" s="44" t="inlineStr">
        <is>
          <t>50461ed1-c2c8-4393-967e-55d58a3e2664</t>
        </is>
      </c>
    </row>
    <row r="687">
      <c r="A687" s="23" t="inlineStr">
        <is>
          <t>Toz Ve Nem Alıcı Paspas Iş Yeri Paspası Iç Ve Dış Mekan Paspası Giriş Paspası Kapı Paspası</t>
        </is>
      </c>
      <c r="B687" s="24" t="inlineStr">
        <is>
          <t>780287428</t>
        </is>
      </c>
      <c r="C687" s="25" t="inlineStr">
        <is>
          <t>TOZKONTROL-IYP2-RAMPASIZ-KIRMIZI-120800</t>
        </is>
      </c>
      <c r="D687" s="26" t="inlineStr">
        <is>
          <t>TOZKONTROL-IYP2-RAMPASIZ-KIRMIZI-120800</t>
        </is>
      </c>
      <c r="E687" s="27" t="inlineStr">
        <is>
          <t>120 x 800</t>
        </is>
      </c>
      <c r="F687" s="28" t="inlineStr">
        <is>
          <t>TOZKONTROL-IYP2-RAMPASIZ</t>
        </is>
      </c>
      <c r="G687" s="29" t="inlineStr">
        <is>
          <t>Kapı Önü Paspası</t>
        </is>
      </c>
      <c r="H687" s="30" t="inlineStr">
        <is>
          <t>Paspas Yap</t>
        </is>
      </c>
      <c r="I687" s="31" t="n">
        <v>93.0</v>
      </c>
      <c r="J687" s="32" t="n">
        <v>13163.0</v>
      </c>
      <c r="K687" s="33" t="n">
        <v>10243.79</v>
      </c>
      <c r="L687" s="34" t="n">
        <v>22.0</v>
      </c>
      <c r="M687" s="35" t="n">
        <v>6987.59</v>
      </c>
      <c r="N687" s="36" t="inlineStr">
        <is>
          <t>25 Ağustos 08.00-1 Eylül 07.59</t>
        </is>
      </c>
      <c r="O687" s="37" t="n">
        <v>13.4</v>
      </c>
      <c r="P687" s="38" t="n">
        <v>10243.79</v>
      </c>
      <c r="Q687" s="39"/>
      <c r="R687" s="40" t="n">
        <f>=IF(AND(ISBLANK(Q687), ISBLANK(U687)), "", "7 Günlük Fiyat")</f>
        <v>0.0</v>
      </c>
      <c r="S687" s="41" t="n">
        <f>=IF(OR(Q687="", R687=""), "-", IF(ISNUMBER(SEARCH("7 Günlük", R687)), IF(Q687&lt;=M687, O687, "-"), "-"))</f>
        <v>0.0</v>
      </c>
      <c r="T687" s="42" t="str">
        <f>=IF(ISBLANK(Q687), "", "Hayır")</f>
      </c>
      <c r="U687" s="43"/>
      <c r="V687" s="44" t="inlineStr">
        <is>
          <t>50461ed1-c2c8-4393-967e-55d58a3e2664</t>
        </is>
      </c>
    </row>
    <row r="688">
      <c r="A688" s="23" t="inlineStr">
        <is>
          <t>Toz Ve Nem Alıcı Paspas Iş Yeri Paspası Iç Ve Dış Mekan Paspası Giriş Paspası Kapı Paspası</t>
        </is>
      </c>
      <c r="B688" s="24" t="inlineStr">
        <is>
          <t>780287428</t>
        </is>
      </c>
      <c r="C688" s="25" t="inlineStr">
        <is>
          <t>TOZKONTROL-IYP2-RAMPASIZ-KIRMIZI-50120</t>
        </is>
      </c>
      <c r="D688" s="26" t="inlineStr">
        <is>
          <t>TOZKONTROL-IYP2-RAMPASIZ-KIRMIZI-50120</t>
        </is>
      </c>
      <c r="E688" s="27" t="inlineStr">
        <is>
          <t>50 x 120</t>
        </is>
      </c>
      <c r="F688" s="28" t="inlineStr">
        <is>
          <t>TOZKONTROL-IYP2-RAMPASIZ</t>
        </is>
      </c>
      <c r="G688" s="29" t="inlineStr">
        <is>
          <t>Kapı Önü Paspası</t>
        </is>
      </c>
      <c r="H688" s="30" t="inlineStr">
        <is>
          <t>Paspas Yap</t>
        </is>
      </c>
      <c r="I688" s="31" t="n">
        <v>93.0</v>
      </c>
      <c r="J688" s="32" t="n">
        <v>1095.0</v>
      </c>
      <c r="K688" s="33" t="n">
        <v>915.55</v>
      </c>
      <c r="L688" s="34" t="n">
        <v>22.0</v>
      </c>
      <c r="M688" s="35" t="n">
        <v>699.72</v>
      </c>
      <c r="N688" s="36" t="inlineStr">
        <is>
          <t>25 Ağustos 08.00-1 Eylül 07.59</t>
        </is>
      </c>
      <c r="O688" s="37" t="n">
        <v>16.2</v>
      </c>
      <c r="P688" s="38" t="n">
        <v>915.55</v>
      </c>
      <c r="Q688" s="39"/>
      <c r="R688" s="40" t="n">
        <f>=IF(AND(ISBLANK(Q688), ISBLANK(U688)), "", "7 Günlük Fiyat")</f>
        <v>0.0</v>
      </c>
      <c r="S688" s="41" t="n">
        <f>=IF(OR(Q688="", R688=""), "-", IF(ISNUMBER(SEARCH("7 Günlük", R688)), IF(Q688&lt;=M688, O688, "-"), "-"))</f>
        <v>0.0</v>
      </c>
      <c r="T688" s="42" t="str">
        <f>=IF(ISBLANK(Q688), "", "Hayır")</f>
      </c>
      <c r="U688" s="43"/>
      <c r="V688" s="44" t="inlineStr">
        <is>
          <t>50461ed1-c2c8-4393-967e-55d58a3e2664</t>
        </is>
      </c>
    </row>
    <row r="689">
      <c r="A689" s="23" t="inlineStr">
        <is>
          <t>Toz Ve Nem Alıcı Paspas Iş Yeri Paspası Iç Ve Dış Mekan Paspası Giriş Paspası Kapı Paspası</t>
        </is>
      </c>
      <c r="B689" s="24" t="inlineStr">
        <is>
          <t>780287428</t>
        </is>
      </c>
      <c r="C689" s="25" t="inlineStr">
        <is>
          <t>TOZKONTROL-IYP2-RAMPASIZ-KIRMIZI-50100</t>
        </is>
      </c>
      <c r="D689" s="26" t="inlineStr">
        <is>
          <t>TOZKONTROL-IYP2-RAMPASIZ-KIRMIZI-50100</t>
        </is>
      </c>
      <c r="E689" s="27" t="inlineStr">
        <is>
          <t>50 x 100</t>
        </is>
      </c>
      <c r="F689" s="28" t="inlineStr">
        <is>
          <t>TOZKONTROL-IYP2-RAMPASIZ</t>
        </is>
      </c>
      <c r="G689" s="29" t="inlineStr">
        <is>
          <t>Kapı Önü Paspası</t>
        </is>
      </c>
      <c r="H689" s="30" t="inlineStr">
        <is>
          <t>Paspas Yap</t>
        </is>
      </c>
      <c r="I689" s="31" t="n">
        <v>93.0</v>
      </c>
      <c r="J689" s="32" t="n">
        <v>947.0</v>
      </c>
      <c r="K689" s="33" t="n">
        <v>879.73</v>
      </c>
      <c r="L689" s="34" t="n">
        <v>22.0</v>
      </c>
      <c r="M689" s="35" t="n">
        <v>614.05</v>
      </c>
      <c r="N689" s="36" t="inlineStr">
        <is>
          <t>25 Ağustos 08.00-1 Eylül 07.59</t>
        </is>
      </c>
      <c r="O689" s="37" t="n">
        <v>15.7</v>
      </c>
      <c r="P689" s="38" t="n">
        <v>879.73</v>
      </c>
      <c r="Q689" s="39"/>
      <c r="R689" s="40" t="n">
        <f>=IF(AND(ISBLANK(Q689), ISBLANK(U689)), "", "7 Günlük Fiyat")</f>
        <v>0.0</v>
      </c>
      <c r="S689" s="41" t="n">
        <f>=IF(OR(Q689="", R689=""), "-", IF(ISNUMBER(SEARCH("7 Günlük", R689)), IF(Q689&lt;=M689, O689, "-"), "-"))</f>
        <v>0.0</v>
      </c>
      <c r="T689" s="42" t="str">
        <f>=IF(ISBLANK(Q689), "", "Hayır")</f>
      </c>
      <c r="U689" s="43"/>
      <c r="V689" s="44" t="inlineStr">
        <is>
          <t>50461ed1-c2c8-4393-967e-55d58a3e2664</t>
        </is>
      </c>
    </row>
    <row r="690">
      <c r="A690" s="23" t="inlineStr">
        <is>
          <t>Toz Ve Nem Alıcı Paspas Iş Yeri Paspası Iç Ve Dış Mekan Paspası Giriş Paspası Kapı Paspası</t>
        </is>
      </c>
      <c r="B690" s="24" t="inlineStr">
        <is>
          <t>780287428</t>
        </is>
      </c>
      <c r="C690" s="25" t="inlineStr">
        <is>
          <t>TOZKONTROL-IYP2-RAMPASIZ-KIRMIZI-100x650</t>
        </is>
      </c>
      <c r="D690" s="26" t="inlineStr">
        <is>
          <t>TOZKONTROL-IYP2-RAMPASIZ-KIRMIZI-100x650</t>
        </is>
      </c>
      <c r="E690" s="27" t="inlineStr">
        <is>
          <t>100 x 650</t>
        </is>
      </c>
      <c r="F690" s="28" t="inlineStr">
        <is>
          <t>TOZKONTROL-IYP2-RAMPASIZ</t>
        </is>
      </c>
      <c r="G690" s="29" t="inlineStr">
        <is>
          <t>Kapı Önü Paspası</t>
        </is>
      </c>
      <c r="H690" s="30" t="inlineStr">
        <is>
          <t>Paspas Yap</t>
        </is>
      </c>
      <c r="I690" s="31" t="n">
        <v>93.0</v>
      </c>
      <c r="J690" s="32" t="n">
        <v>8806.0</v>
      </c>
      <c r="K690" s="33" t="n">
        <v>7245.96</v>
      </c>
      <c r="L690" s="34" t="n">
        <v>22.0</v>
      </c>
      <c r="M690" s="35" t="n">
        <v>5244.83</v>
      </c>
      <c r="N690" s="36" t="inlineStr">
        <is>
          <t>25 Ağustos 08.00-1 Eylül 07.59</t>
        </is>
      </c>
      <c r="O690" s="37" t="n">
        <v>15.1</v>
      </c>
      <c r="P690" s="38" t="n">
        <v>7245.96</v>
      </c>
      <c r="Q690" s="39"/>
      <c r="R690" s="40" t="n">
        <f>=IF(AND(ISBLANK(Q690), ISBLANK(U690)), "", "7 Günlük Fiyat")</f>
        <v>0.0</v>
      </c>
      <c r="S690" s="41" t="n">
        <f>=IF(OR(Q690="", R690=""), "-", IF(ISNUMBER(SEARCH("7 Günlük", R690)), IF(Q690&lt;=M690, O690, "-"), "-"))</f>
        <v>0.0</v>
      </c>
      <c r="T690" s="42" t="str">
        <f>=IF(ISBLANK(Q690), "", "Hayır")</f>
      </c>
      <c r="U690" s="43"/>
      <c r="V690" s="44" t="inlineStr">
        <is>
          <t>50461ed1-c2c8-4393-967e-55d58a3e2664</t>
        </is>
      </c>
    </row>
    <row r="691">
      <c r="A691" s="23" t="inlineStr">
        <is>
          <t>Toz Ve Nem Alıcı Paspas Iş Yeri Paspası Iç Ve Dış Mekan Paspası Giriş Paspası Kapı Paspası</t>
        </is>
      </c>
      <c r="B691" s="24" t="inlineStr">
        <is>
          <t>780287428</t>
        </is>
      </c>
      <c r="C691" s="25" t="inlineStr">
        <is>
          <t>TOZKONTROL-IYP2-RAMPASIZ-KIRMIZI-80x120</t>
        </is>
      </c>
      <c r="D691" s="26" t="inlineStr">
        <is>
          <t>TOZKONTROL-IYP2-RAMPASIZ-KIRMIZI-80x120</t>
        </is>
      </c>
      <c r="E691" s="27" t="inlineStr">
        <is>
          <t>80 x 120</t>
        </is>
      </c>
      <c r="F691" s="28" t="inlineStr">
        <is>
          <t>TOZKONTROL-IYP2-RAMPASIZ</t>
        </is>
      </c>
      <c r="G691" s="29" t="inlineStr">
        <is>
          <t>Kapı Önü Paspası</t>
        </is>
      </c>
      <c r="H691" s="30" t="inlineStr">
        <is>
          <t>Paspas Yap</t>
        </is>
      </c>
      <c r="I691" s="31" t="n">
        <v>93.0</v>
      </c>
      <c r="J691" s="32" t="n">
        <v>1571.0</v>
      </c>
      <c r="K691" s="33" t="n">
        <v>1202.53</v>
      </c>
      <c r="L691" s="34" t="n">
        <v>21.0</v>
      </c>
      <c r="M691" s="35" t="n">
        <v>886.52</v>
      </c>
      <c r="N691" s="36" t="inlineStr">
        <is>
          <t>25 Ağustos 08.00-1 Eylül 07.59</t>
        </is>
      </c>
      <c r="O691" s="37" t="n">
        <v>13.6</v>
      </c>
      <c r="P691" s="38" t="n">
        <v>1202.53</v>
      </c>
      <c r="Q691" s="39"/>
      <c r="R691" s="40" t="n">
        <f>=IF(AND(ISBLANK(Q691), ISBLANK(U691)), "", "7 Günlük Fiyat")</f>
        <v>0.0</v>
      </c>
      <c r="S691" s="41" t="n">
        <f>=IF(OR(Q691="", R691=""), "-", IF(ISNUMBER(SEARCH("7 Günlük", R691)), IF(Q691&lt;=M691, O691, "-"), "-"))</f>
        <v>0.0</v>
      </c>
      <c r="T691" s="42" t="str">
        <f>=IF(ISBLANK(Q691), "", "Hayır")</f>
      </c>
      <c r="U691" s="43"/>
      <c r="V691" s="44" t="inlineStr">
        <is>
          <t>50461ed1-c2c8-4393-967e-55d58a3e2664</t>
        </is>
      </c>
    </row>
    <row r="692">
      <c r="A692" s="23" t="inlineStr">
        <is>
          <t>Rampalı Kıvırcık Paspas Iş Yeri Paspası Su Emici Kaymaz Paspas Kivircik Iş Yeri Paspas Apartman Ofis</t>
        </is>
      </c>
      <c r="B692" s="24" t="inlineStr">
        <is>
          <t>772451232</t>
        </is>
      </c>
      <c r="C692" s="25" t="inlineStr">
        <is>
          <t>KIVIRCIKRAMPALI-KR1-GRI-33x60</t>
        </is>
      </c>
      <c r="D692" s="26" t="inlineStr">
        <is>
          <t>KIVIRCIKRAMPALI-KR1-GRI-33x60</t>
        </is>
      </c>
      <c r="E692" s="27" t="inlineStr">
        <is>
          <t>33 x 60</t>
        </is>
      </c>
      <c r="F692" s="28" t="inlineStr">
        <is>
          <t>TYCSS3MAPN169778498328887</t>
        </is>
      </c>
      <c r="G692" s="29" t="inlineStr">
        <is>
          <t>Kapı Önü Paspası</t>
        </is>
      </c>
      <c r="H692" s="30" t="inlineStr">
        <is>
          <t>Paspas Yap</t>
        </is>
      </c>
      <c r="I692" s="31" t="n">
        <v>93.0</v>
      </c>
      <c r="J692" s="32" t="n">
        <v>812.0</v>
      </c>
      <c r="K692" s="33" t="n">
        <v>763.97</v>
      </c>
      <c r="L692" s="34" t="n">
        <v>22.0</v>
      </c>
      <c r="M692" s="35" t="n">
        <v>527.82</v>
      </c>
      <c r="N692" s="36" t="inlineStr">
        <is>
          <t>25 Ağustos 08.00-1 Eylül 07.59</t>
        </is>
      </c>
      <c r="O692" s="37" t="n">
        <v>14.6</v>
      </c>
      <c r="P692" s="38" t="n">
        <v>763.97</v>
      </c>
      <c r="Q692" s="39"/>
      <c r="R692" s="40" t="n">
        <f>=IF(AND(ISBLANK(Q692), ISBLANK(U692)), "", "7 Günlük Fiyat")</f>
        <v>0.0</v>
      </c>
      <c r="S692" s="41" t="n">
        <f>=IF(OR(Q692="", R692=""), "-", IF(ISNUMBER(SEARCH("7 Günlük", R692)), IF(Q692&lt;=M692, O692, "-"), "-"))</f>
        <v>0.0</v>
      </c>
      <c r="T692" s="42" t="str">
        <f>=IF(ISBLANK(Q692), "", "Hayır")</f>
      </c>
      <c r="U692" s="43"/>
      <c r="V692" s="44" t="inlineStr">
        <is>
          <t>50461ed1-c2c8-4393-967e-55d58a3e2664</t>
        </is>
      </c>
    </row>
    <row r="693">
      <c r="A693" s="23" t="inlineStr">
        <is>
          <t>Rampalı Kıvırcık Paspas Iş Yeri Paspası Su Emici Kaymaz Paspas Kivircik Iş Yeri Paspas Apartman Ofis</t>
        </is>
      </c>
      <c r="B693" s="24" t="inlineStr">
        <is>
          <t>772451232</t>
        </is>
      </c>
      <c r="C693" s="25" t="inlineStr">
        <is>
          <t>KIVIRCIKRAMPALI-KR1-GRI-100x600</t>
        </is>
      </c>
      <c r="D693" s="26" t="inlineStr">
        <is>
          <t>KIVIRCIKRAMPALI-KR1-GRI-100x600</t>
        </is>
      </c>
      <c r="E693" s="27" t="inlineStr">
        <is>
          <t>100 x 600</t>
        </is>
      </c>
      <c r="F693" s="28" t="inlineStr">
        <is>
          <t>TYCSS3MAPN169778498328887</t>
        </is>
      </c>
      <c r="G693" s="29" t="inlineStr">
        <is>
          <t>Kapı Önü Paspası</t>
        </is>
      </c>
      <c r="H693" s="30" t="inlineStr">
        <is>
          <t>Paspas Yap</t>
        </is>
      </c>
      <c r="I693" s="31" t="n">
        <v>93.0</v>
      </c>
      <c r="J693" s="32" t="n">
        <v>12312.0</v>
      </c>
      <c r="K693" s="33" t="n">
        <v>11113.29</v>
      </c>
      <c r="L693" s="34" t="n">
        <v>22.0</v>
      </c>
      <c r="M693" s="35" t="n">
        <v>7795.68</v>
      </c>
      <c r="N693" s="36" t="inlineStr">
        <is>
          <t>25 Ağustos 08.00-1 Eylül 07.59</t>
        </is>
      </c>
      <c r="O693" s="37" t="n">
        <v>14.9</v>
      </c>
      <c r="P693" s="38" t="n">
        <v>11113.29</v>
      </c>
      <c r="Q693" s="39"/>
      <c r="R693" s="40" t="n">
        <f>=IF(AND(ISBLANK(Q693), ISBLANK(U693)), "", "7 Günlük Fiyat")</f>
        <v>0.0</v>
      </c>
      <c r="S693" s="41" t="n">
        <f>=IF(OR(Q693="", R693=""), "-", IF(ISNUMBER(SEARCH("7 Günlük", R693)), IF(Q693&lt;=M693, O693, "-"), "-"))</f>
        <v>0.0</v>
      </c>
      <c r="T693" s="42" t="str">
        <f>=IF(ISBLANK(Q693), "", "Hayır")</f>
      </c>
      <c r="U693" s="43"/>
      <c r="V693" s="44" t="inlineStr">
        <is>
          <t>50461ed1-c2c8-4393-967e-55d58a3e2664</t>
        </is>
      </c>
    </row>
    <row r="694">
      <c r="A694" s="23" t="inlineStr">
        <is>
          <t>Rampalı Kıvırcık Paspas Iş Yeri Paspası Su Emici Kaymaz Paspas Kivircik Iş Yeri Paspas Apartman Ofis</t>
        </is>
      </c>
      <c r="B694" s="24" t="inlineStr">
        <is>
          <t>772451232</t>
        </is>
      </c>
      <c r="C694" s="25" t="inlineStr">
        <is>
          <t>KIVIRCIKRAMPALI-KR1-GRI-100x900</t>
        </is>
      </c>
      <c r="D694" s="26" t="inlineStr">
        <is>
          <t>KIVIRCIKRAMPALI-KR1-GRI-100x900</t>
        </is>
      </c>
      <c r="E694" s="27" t="inlineStr">
        <is>
          <t>100 x 900</t>
        </is>
      </c>
      <c r="F694" s="28" t="inlineStr">
        <is>
          <t>TYCSS3MAPN169778498328887</t>
        </is>
      </c>
      <c r="G694" s="29" t="inlineStr">
        <is>
          <t>Kapı Önü Paspası</t>
        </is>
      </c>
      <c r="H694" s="30" t="inlineStr">
        <is>
          <t>Paspas Yap</t>
        </is>
      </c>
      <c r="I694" s="31" t="n">
        <v>93.0</v>
      </c>
      <c r="J694" s="32" t="n">
        <v>16749.0</v>
      </c>
      <c r="K694" s="33" t="n">
        <v>14327.91</v>
      </c>
      <c r="L694" s="34" t="n">
        <v>22.0</v>
      </c>
      <c r="M694" s="35" t="n">
        <v>9930.76</v>
      </c>
      <c r="N694" s="36" t="inlineStr">
        <is>
          <t>25 Ağustos 08.00-1 Eylül 07.59</t>
        </is>
      </c>
      <c r="O694" s="37" t="n">
        <v>14.1</v>
      </c>
      <c r="P694" s="38" t="n">
        <v>14327.91</v>
      </c>
      <c r="Q694" s="39"/>
      <c r="R694" s="40" t="n">
        <f>=IF(AND(ISBLANK(Q694), ISBLANK(U694)), "", "7 Günlük Fiyat")</f>
        <v>0.0</v>
      </c>
      <c r="S694" s="41" t="n">
        <f>=IF(OR(Q694="", R694=""), "-", IF(ISNUMBER(SEARCH("7 Günlük", R694)), IF(Q694&lt;=M694, O694, "-"), "-"))</f>
        <v>0.0</v>
      </c>
      <c r="T694" s="42" t="str">
        <f>=IF(ISBLANK(Q694), "", "Hayır")</f>
      </c>
      <c r="U694" s="43"/>
      <c r="V694" s="44" t="inlineStr">
        <is>
          <t>50461ed1-c2c8-4393-967e-55d58a3e2664</t>
        </is>
      </c>
    </row>
    <row r="695">
      <c r="A695" s="23" t="inlineStr">
        <is>
          <t>Rampalı Kıvırcık Paspas Iş Yeri Paspası Su Emici Kaymaz Paspas Kivircik Iş Yeri Paspas Apartman Ofis</t>
        </is>
      </c>
      <c r="B695" s="24" t="inlineStr">
        <is>
          <t>772451232</t>
        </is>
      </c>
      <c r="C695" s="25" t="inlineStr">
        <is>
          <t>KIVIRCIKRAMPALI-KR1-GRI-100x400</t>
        </is>
      </c>
      <c r="D695" s="26" t="inlineStr">
        <is>
          <t>KIVIRCIKRAMPALI-KR1-GRI-100x400</t>
        </is>
      </c>
      <c r="E695" s="27" t="inlineStr">
        <is>
          <t>100 x 400</t>
        </is>
      </c>
      <c r="F695" s="28" t="inlineStr">
        <is>
          <t>TYCSS3MAPN169778498328887</t>
        </is>
      </c>
      <c r="G695" s="29" t="inlineStr">
        <is>
          <t>Kapı Önü Paspası</t>
        </is>
      </c>
      <c r="H695" s="30" t="inlineStr">
        <is>
          <t>Paspas Yap</t>
        </is>
      </c>
      <c r="I695" s="31" t="n">
        <v>93.0</v>
      </c>
      <c r="J695" s="32" t="n">
        <v>8102.0</v>
      </c>
      <c r="K695" s="33" t="n">
        <v>8102.0</v>
      </c>
      <c r="L695" s="34" t="n">
        <v>22.0</v>
      </c>
      <c r="M695" s="35" t="n">
        <v>5108.15</v>
      </c>
      <c r="N695" s="36" t="inlineStr">
        <is>
          <t>25 Ağustos 08.00-1 Eylül 07.59</t>
        </is>
      </c>
      <c r="O695" s="37" t="n">
        <v>14.4</v>
      </c>
      <c r="P695" s="38" t="n">
        <v>8102.0</v>
      </c>
      <c r="Q695" s="39"/>
      <c r="R695" s="40" t="n">
        <f>=IF(AND(ISBLANK(Q695), ISBLANK(U695)), "", "7 Günlük Fiyat")</f>
        <v>0.0</v>
      </c>
      <c r="S695" s="41" t="n">
        <f>=IF(OR(Q695="", R695=""), "-", IF(ISNUMBER(SEARCH("7 Günlük", R695)), IF(Q695&lt;=M695, O695, "-"), "-"))</f>
        <v>0.0</v>
      </c>
      <c r="T695" s="42" t="str">
        <f>=IF(ISBLANK(Q695), "", "Hayır")</f>
      </c>
      <c r="U695" s="43"/>
      <c r="V695" s="44" t="inlineStr">
        <is>
          <t>50461ed1-c2c8-4393-967e-55d58a3e2664</t>
        </is>
      </c>
    </row>
    <row r="696">
      <c r="A696" s="23" t="inlineStr">
        <is>
          <t>Rampalı Kıvırcık Paspas Iş Yeri Paspası Su Emici Kaymaz Paspas Kivircik Iş Yeri Paspas Apartman Ofis</t>
        </is>
      </c>
      <c r="B696" s="24" t="inlineStr">
        <is>
          <t>772451232</t>
        </is>
      </c>
      <c r="C696" s="25" t="inlineStr">
        <is>
          <t>KIVIRCIKRAMPALI-KR1-GRI-60x100</t>
        </is>
      </c>
      <c r="D696" s="26" t="inlineStr">
        <is>
          <t>KIVIRCIKRAMPALI-KR1-GRI-60x100</t>
        </is>
      </c>
      <c r="E696" s="27" t="inlineStr">
        <is>
          <t>60 x 100</t>
        </is>
      </c>
      <c r="F696" s="28" t="inlineStr">
        <is>
          <t>TYCSS3MAPN169778498328887</t>
        </is>
      </c>
      <c r="G696" s="29" t="inlineStr">
        <is>
          <t>Kapı Önü Paspası</t>
        </is>
      </c>
      <c r="H696" s="30" t="inlineStr">
        <is>
          <t>Paspas Yap</t>
        </is>
      </c>
      <c r="I696" s="31" t="n">
        <v>92.0</v>
      </c>
      <c r="J696" s="32" t="n">
        <v>1858.0</v>
      </c>
      <c r="K696" s="33" t="n">
        <v>1522.35</v>
      </c>
      <c r="L696" s="34" t="n">
        <v>22.0</v>
      </c>
      <c r="M696" s="35" t="n">
        <v>1024.01</v>
      </c>
      <c r="N696" s="36" t="inlineStr">
        <is>
          <t>25 Ağustos 08.00-1 Eylül 07.59</t>
        </is>
      </c>
      <c r="O696" s="37" t="n">
        <v>12.8</v>
      </c>
      <c r="P696" s="38" t="n">
        <v>1522.35</v>
      </c>
      <c r="Q696" s="39"/>
      <c r="R696" s="40" t="n">
        <f>=IF(AND(ISBLANK(Q696), ISBLANK(U696)), "", "7 Günlük Fiyat")</f>
        <v>0.0</v>
      </c>
      <c r="S696" s="41" t="n">
        <f>=IF(OR(Q696="", R696=""), "-", IF(ISNUMBER(SEARCH("7 Günlük", R696)), IF(Q696&lt;=M696, O696, "-"), "-"))</f>
        <v>0.0</v>
      </c>
      <c r="T696" s="42" t="str">
        <f>=IF(ISBLANK(Q696), "", "Hayır")</f>
      </c>
      <c r="U696" s="43"/>
      <c r="V696" s="44" t="inlineStr">
        <is>
          <t>50461ed1-c2c8-4393-967e-55d58a3e2664</t>
        </is>
      </c>
    </row>
    <row r="697">
      <c r="A697" s="23" t="inlineStr">
        <is>
          <t>Rampalı Kıvırcık Paspas Iş Yeri Paspası Su Emici Kaymaz Paspas Kivircik Iş Yeri Paspas Apartman Ofis</t>
        </is>
      </c>
      <c r="B697" s="24" t="inlineStr">
        <is>
          <t>772451232</t>
        </is>
      </c>
      <c r="C697" s="25" t="inlineStr">
        <is>
          <t>KIVIRCIKRAMPALI-KR1-GRI-100x700</t>
        </is>
      </c>
      <c r="D697" s="26" t="inlineStr">
        <is>
          <t>KIVIRCIKRAMPALI-KR1-GRI-100x700</t>
        </is>
      </c>
      <c r="E697" s="27" t="inlineStr">
        <is>
          <t>100 x 700</t>
        </is>
      </c>
      <c r="F697" s="28" t="inlineStr">
        <is>
          <t>TYCSS3MAPN169778498328887</t>
        </is>
      </c>
      <c r="G697" s="29" t="inlineStr">
        <is>
          <t>Kapı Önü Paspası</t>
        </is>
      </c>
      <c r="H697" s="30" t="inlineStr">
        <is>
          <t>Paspas Yap</t>
        </is>
      </c>
      <c r="I697" s="31" t="n">
        <v>93.0</v>
      </c>
      <c r="J697" s="32" t="n">
        <v>13558.0</v>
      </c>
      <c r="K697" s="33" t="n">
        <v>12703.05</v>
      </c>
      <c r="L697" s="34" t="n">
        <v>22.0</v>
      </c>
      <c r="M697" s="35" t="n">
        <v>9458.87</v>
      </c>
      <c r="N697" s="36" t="inlineStr">
        <is>
          <t>25 Ağustos 08.00-1 Eylül 07.59</t>
        </is>
      </c>
      <c r="O697" s="37" t="n">
        <v>16.4</v>
      </c>
      <c r="P697" s="38" t="n">
        <v>12703.05</v>
      </c>
      <c r="Q697" s="39"/>
      <c r="R697" s="40" t="n">
        <f>=IF(AND(ISBLANK(Q697), ISBLANK(U697)), "", "7 Günlük Fiyat")</f>
        <v>0.0</v>
      </c>
      <c r="S697" s="41" t="n">
        <f>=IF(OR(Q697="", R697=""), "-", IF(ISNUMBER(SEARCH("7 Günlük", R697)), IF(Q697&lt;=M697, O697, "-"), "-"))</f>
        <v>0.0</v>
      </c>
      <c r="T697" s="42" t="str">
        <f>=IF(ISBLANK(Q697), "", "Hayır")</f>
      </c>
      <c r="U697" s="43"/>
      <c r="V697" s="44" t="inlineStr">
        <is>
          <t>50461ed1-c2c8-4393-967e-55d58a3e2664</t>
        </is>
      </c>
    </row>
    <row r="698">
      <c r="A698" s="23" t="inlineStr">
        <is>
          <t>Rampalı Kıvırcık Paspas Iş Yeri Paspası Su Emici Kaymaz Paspas Kivircik Iş Yeri Paspas Apartman Ofis</t>
        </is>
      </c>
      <c r="B698" s="24" t="inlineStr">
        <is>
          <t>772451232</t>
        </is>
      </c>
      <c r="C698" s="25" t="inlineStr">
        <is>
          <t>KIVIRCIKRAMPALI-KR1-GRI-100x1000</t>
        </is>
      </c>
      <c r="D698" s="26" t="inlineStr">
        <is>
          <t>KIVIRCIKRAMPALI-KR1-GRI-100x1000</t>
        </is>
      </c>
      <c r="E698" s="27" t="inlineStr">
        <is>
          <t>100 x 1000</t>
        </is>
      </c>
      <c r="F698" s="28" t="inlineStr">
        <is>
          <t>TYCSS3MAPN169778498328887</t>
        </is>
      </c>
      <c r="G698" s="29" t="inlineStr">
        <is>
          <t>Kapı Önü Paspası</t>
        </is>
      </c>
      <c r="H698" s="30" t="inlineStr">
        <is>
          <t>Paspas Yap</t>
        </is>
      </c>
      <c r="I698" s="31" t="n">
        <v>93.0</v>
      </c>
      <c r="J698" s="32" t="n">
        <v>18373.0</v>
      </c>
      <c r="K698" s="33" t="n">
        <v>15729.66</v>
      </c>
      <c r="L698" s="34" t="n">
        <v>22.0</v>
      </c>
      <c r="M698" s="35" t="n">
        <v>10794.75</v>
      </c>
      <c r="N698" s="36" t="inlineStr">
        <is>
          <t>25 Ağustos 08.00-1 Eylül 07.59</t>
        </is>
      </c>
      <c r="O698" s="37" t="n">
        <v>13.9</v>
      </c>
      <c r="P698" s="38" t="n">
        <v>15729.66</v>
      </c>
      <c r="Q698" s="39"/>
      <c r="R698" s="40" t="n">
        <f>=IF(AND(ISBLANK(Q698), ISBLANK(U698)), "", "7 Günlük Fiyat")</f>
        <v>0.0</v>
      </c>
      <c r="S698" s="41" t="n">
        <f>=IF(OR(Q698="", R698=""), "-", IF(ISNUMBER(SEARCH("7 Günlük", R698)), IF(Q698&lt;=M698, O698, "-"), "-"))</f>
        <v>0.0</v>
      </c>
      <c r="T698" s="42" t="str">
        <f>=IF(ISBLANK(Q698), "", "Hayır")</f>
      </c>
      <c r="U698" s="43"/>
      <c r="V698" s="44" t="inlineStr">
        <is>
          <t>50461ed1-c2c8-4393-967e-55d58a3e2664</t>
        </is>
      </c>
    </row>
    <row r="699">
      <c r="A699" s="23" t="inlineStr">
        <is>
          <t>Rampalı Kıvırcık Paspas Iş Yeri Paspası Su Emici Kaymaz Paspas Kivircik Iş Yeri Paspas Apartman Ofis</t>
        </is>
      </c>
      <c r="B699" s="24" t="inlineStr">
        <is>
          <t>772451232</t>
        </is>
      </c>
      <c r="C699" s="25" t="inlineStr">
        <is>
          <t>KIVIRCIKRAMPALI-KR1-GRI-80x120</t>
        </is>
      </c>
      <c r="D699" s="26" t="inlineStr">
        <is>
          <t>KIVIRCIKRAMPALI-KR1-GRI-80x120</t>
        </is>
      </c>
      <c r="E699" s="27" t="inlineStr">
        <is>
          <t>80 x 120</t>
        </is>
      </c>
      <c r="F699" s="28" t="inlineStr">
        <is>
          <t>TYCSS3MAPN169778498328887</t>
        </is>
      </c>
      <c r="G699" s="29" t="inlineStr">
        <is>
          <t>Kapı Önü Paspası</t>
        </is>
      </c>
      <c r="H699" s="30" t="inlineStr">
        <is>
          <t>Paspas Yap</t>
        </is>
      </c>
      <c r="I699" s="31" t="n">
        <v>93.0</v>
      </c>
      <c r="J699" s="32" t="n">
        <v>2332.0</v>
      </c>
      <c r="K699" s="33" t="n">
        <v>2332.0</v>
      </c>
      <c r="L699" s="34" t="n">
        <v>22.0</v>
      </c>
      <c r="M699" s="35" t="n">
        <v>1706.42</v>
      </c>
      <c r="N699" s="36" t="inlineStr">
        <is>
          <t>25 Ağustos 08.00-1 Eylül 07.59</t>
        </is>
      </c>
      <c r="O699" s="37" t="n">
        <v>16.9</v>
      </c>
      <c r="P699" s="38" t="n">
        <v>2332.0</v>
      </c>
      <c r="Q699" s="39"/>
      <c r="R699" s="40" t="n">
        <f>=IF(AND(ISBLANK(Q699), ISBLANK(U699)), "", "7 Günlük Fiyat")</f>
        <v>0.0</v>
      </c>
      <c r="S699" s="41" t="n">
        <f>=IF(OR(Q699="", R699=""), "-", IF(ISNUMBER(SEARCH("7 Günlük", R699)), IF(Q699&lt;=M699, O699, "-"), "-"))</f>
        <v>0.0</v>
      </c>
      <c r="T699" s="42" t="str">
        <f>=IF(ISBLANK(Q699), "", "Hayır")</f>
      </c>
      <c r="U699" s="43"/>
      <c r="V699" s="44" t="inlineStr">
        <is>
          <t>50461ed1-c2c8-4393-967e-55d58a3e2664</t>
        </is>
      </c>
    </row>
    <row r="700">
      <c r="A700" s="23" t="inlineStr">
        <is>
          <t>Rampalı Kıvırcık Paspas Iş Yeri Paspası Su Emici Kaymaz Paspas Kivircik Iş Yeri Paspas Apartman Ofis</t>
        </is>
      </c>
      <c r="B700" s="24" t="inlineStr">
        <is>
          <t>772451232</t>
        </is>
      </c>
      <c r="C700" s="25" t="inlineStr">
        <is>
          <t>KIVIRCIKRAMPALI-KR1-GRI-100x500</t>
        </is>
      </c>
      <c r="D700" s="26" t="inlineStr">
        <is>
          <t>KIVIRCIKRAMPALI-KR1-GRI-100x500</t>
        </is>
      </c>
      <c r="E700" s="27" t="inlineStr">
        <is>
          <t>100 x 500</t>
        </is>
      </c>
      <c r="F700" s="28" t="inlineStr">
        <is>
          <t>TYCSS3MAPN169778498328887</t>
        </is>
      </c>
      <c r="G700" s="29" t="inlineStr">
        <is>
          <t>Kapı Önü Paspası</t>
        </is>
      </c>
      <c r="H700" s="30" t="inlineStr">
        <is>
          <t>Paspas Yap</t>
        </is>
      </c>
      <c r="I700" s="31" t="n">
        <v>93.0</v>
      </c>
      <c r="J700" s="32" t="n">
        <v>9870.0</v>
      </c>
      <c r="K700" s="33" t="n">
        <v>9244.25</v>
      </c>
      <c r="L700" s="34" t="n">
        <v>22.0</v>
      </c>
      <c r="M700" s="35" t="n">
        <v>6658.88</v>
      </c>
      <c r="N700" s="36" t="inlineStr">
        <is>
          <t>25 Ağustos 08.00-1 Eylül 07.59</t>
        </is>
      </c>
      <c r="O700" s="37" t="n">
        <v>15.7</v>
      </c>
      <c r="P700" s="38" t="n">
        <v>9244.25</v>
      </c>
      <c r="Q700" s="39"/>
      <c r="R700" s="40" t="n">
        <f>=IF(AND(ISBLANK(Q700), ISBLANK(U700)), "", "7 Günlük Fiyat")</f>
        <v>0.0</v>
      </c>
      <c r="S700" s="41" t="n">
        <f>=IF(OR(Q700="", R700=""), "-", IF(ISNUMBER(SEARCH("7 Günlük", R700)), IF(Q700&lt;=M700, O700, "-"), "-"))</f>
        <v>0.0</v>
      </c>
      <c r="T700" s="42" t="str">
        <f>=IF(ISBLANK(Q700), "", "Hayır")</f>
      </c>
      <c r="U700" s="43"/>
      <c r="V700" s="44" t="inlineStr">
        <is>
          <t>50461ed1-c2c8-4393-967e-55d58a3e2664</t>
        </is>
      </c>
    </row>
    <row r="701">
      <c r="A701" s="23" t="inlineStr">
        <is>
          <t>Rampalı Kıvırcık Paspas Iş Yeri Paspası Su Emici Kaymaz Paspas Kivircik Iş Yeri Paspas Apartman Ofis</t>
        </is>
      </c>
      <c r="B701" s="24" t="inlineStr">
        <is>
          <t>772451232</t>
        </is>
      </c>
      <c r="C701" s="25" t="inlineStr">
        <is>
          <t>KIVIRCIKRAMPALI-KR1-GRI-100x800</t>
        </is>
      </c>
      <c r="D701" s="26" t="inlineStr">
        <is>
          <t>KIVIRCIKRAMPALI-KR1-GRI-100x800</t>
        </is>
      </c>
      <c r="E701" s="27" t="inlineStr">
        <is>
          <t>100 x 800</t>
        </is>
      </c>
      <c r="F701" s="28" t="inlineStr">
        <is>
          <t>TYCSS3MAPN169778498328887</t>
        </is>
      </c>
      <c r="G701" s="29" t="inlineStr">
        <is>
          <t>Kapı Önü Paspası</t>
        </is>
      </c>
      <c r="H701" s="30" t="inlineStr">
        <is>
          <t>Paspas Yap</t>
        </is>
      </c>
      <c r="I701" s="31" t="n">
        <v>93.0</v>
      </c>
      <c r="J701" s="32" t="n">
        <v>15030.0</v>
      </c>
      <c r="K701" s="33" t="n">
        <v>14076.57</v>
      </c>
      <c r="L701" s="34" t="n">
        <v>22.0</v>
      </c>
      <c r="M701" s="35" t="n">
        <v>10155.36</v>
      </c>
      <c r="N701" s="36" t="inlineStr">
        <is>
          <t>25 Ağustos 08.00-1 Eylül 07.59</t>
        </is>
      </c>
      <c r="O701" s="37" t="n">
        <v>15.7</v>
      </c>
      <c r="P701" s="38" t="n">
        <v>14076.57</v>
      </c>
      <c r="Q701" s="39"/>
      <c r="R701" s="40" t="n">
        <f>=IF(AND(ISBLANK(Q701), ISBLANK(U701)), "", "7 Günlük Fiyat")</f>
        <v>0.0</v>
      </c>
      <c r="S701" s="41" t="n">
        <f>=IF(OR(Q701="", R701=""), "-", IF(ISNUMBER(SEARCH("7 Günlük", R701)), IF(Q701&lt;=M701, O701, "-"), "-"))</f>
        <v>0.0</v>
      </c>
      <c r="T701" s="42" t="str">
        <f>=IF(ISBLANK(Q701), "", "Hayır")</f>
      </c>
      <c r="U701" s="43"/>
      <c r="V701" s="44" t="inlineStr">
        <is>
          <t>50461ed1-c2c8-4393-967e-55d58a3e2664</t>
        </is>
      </c>
    </row>
    <row r="702">
      <c r="A702" s="23" t="inlineStr">
        <is>
          <t>Rampalı Kıvırcık Paspas Iş Yeri Paspası Su Emici Kaymaz Paspas Kivircik Iş Yeri Paspas Apartman Ofis</t>
        </is>
      </c>
      <c r="B702" s="24" t="inlineStr">
        <is>
          <t>772451232</t>
        </is>
      </c>
      <c r="C702" s="25" t="inlineStr">
        <is>
          <t>KIVIRCIKRAMPALI-KR1-GRI-100x150</t>
        </is>
      </c>
      <c r="D702" s="26" t="inlineStr">
        <is>
          <t>KIVIRCIKRAMPALI-KR1-GRI-100x150</t>
        </is>
      </c>
      <c r="E702" s="27" t="inlineStr">
        <is>
          <t>100 x 150</t>
        </is>
      </c>
      <c r="F702" s="28" t="inlineStr">
        <is>
          <t>TYCSS3MAPN169778498328887</t>
        </is>
      </c>
      <c r="G702" s="29" t="inlineStr">
        <is>
          <t>Kapı Önü Paspası</t>
        </is>
      </c>
      <c r="H702" s="30" t="inlineStr">
        <is>
          <t>Paspas Yap</t>
        </is>
      </c>
      <c r="I702" s="31" t="n">
        <v>93.0</v>
      </c>
      <c r="J702" s="32" t="n">
        <v>3157.0</v>
      </c>
      <c r="K702" s="33" t="n">
        <v>3157.0</v>
      </c>
      <c r="L702" s="34" t="n">
        <v>22.0</v>
      </c>
      <c r="M702" s="35" t="n">
        <v>2289.82</v>
      </c>
      <c r="N702" s="36" t="inlineStr">
        <is>
          <t>25 Ağustos 08.00-1 Eylül 07.59</t>
        </is>
      </c>
      <c r="O702" s="37" t="n">
        <v>16.7</v>
      </c>
      <c r="P702" s="38" t="n">
        <v>3157.0</v>
      </c>
      <c r="Q702" s="39"/>
      <c r="R702" s="40" t="n">
        <f>=IF(AND(ISBLANK(Q702), ISBLANK(U702)), "", "7 Günlük Fiyat")</f>
        <v>0.0</v>
      </c>
      <c r="S702" s="41" t="n">
        <f>=IF(OR(Q702="", R702=""), "-", IF(ISNUMBER(SEARCH("7 Günlük", R702)), IF(Q702&lt;=M702, O702, "-"), "-"))</f>
        <v>0.0</v>
      </c>
      <c r="T702" s="42" t="str">
        <f>=IF(ISBLANK(Q702), "", "Hayır")</f>
      </c>
      <c r="U702" s="43"/>
      <c r="V702" s="44" t="inlineStr">
        <is>
          <t>50461ed1-c2c8-4393-967e-55d58a3e2664</t>
        </is>
      </c>
    </row>
    <row r="703">
      <c r="A703" s="23" t="inlineStr">
        <is>
          <t>Rampalı Kıvırcık Paspas Iş Yeri Paspası Su Emici Kaymaz Paspas Kivircik Iş Yeri Paspas Apartman Ofis</t>
        </is>
      </c>
      <c r="B703" s="24" t="inlineStr">
        <is>
          <t>772451232</t>
        </is>
      </c>
      <c r="C703" s="25" t="inlineStr">
        <is>
          <t>KIVIRCIKRAMPALI-KR1-GRI-50x90</t>
        </is>
      </c>
      <c r="D703" s="26" t="inlineStr">
        <is>
          <t>KIVIRCIKRAMPALI-KR1-GRI-50x90</t>
        </is>
      </c>
      <c r="E703" s="27" t="inlineStr">
        <is>
          <t>50 x 90</t>
        </is>
      </c>
      <c r="F703" s="28" t="inlineStr">
        <is>
          <t>TYCSS3MAPN169778498328887</t>
        </is>
      </c>
      <c r="G703" s="29" t="inlineStr">
        <is>
          <t>Kapı Önü Paspası</t>
        </is>
      </c>
      <c r="H703" s="30" t="inlineStr">
        <is>
          <t>Paspas Yap</t>
        </is>
      </c>
      <c r="I703" s="31" t="n">
        <v>92.0</v>
      </c>
      <c r="J703" s="32" t="n">
        <v>1374.0</v>
      </c>
      <c r="K703" s="33" t="n">
        <v>1110.13</v>
      </c>
      <c r="L703" s="34" t="n">
        <v>22.0</v>
      </c>
      <c r="M703" s="35" t="n">
        <v>819.46</v>
      </c>
      <c r="N703" s="36" t="inlineStr">
        <is>
          <t>25 Ağustos 08.00-1 Eylül 07.59</t>
        </is>
      </c>
      <c r="O703" s="37" t="n">
        <v>14.1</v>
      </c>
      <c r="P703" s="38" t="n">
        <v>1110.13</v>
      </c>
      <c r="Q703" s="39"/>
      <c r="R703" s="40" t="n">
        <f>=IF(AND(ISBLANK(Q703), ISBLANK(U703)), "", "7 Günlük Fiyat")</f>
        <v>0.0</v>
      </c>
      <c r="S703" s="41" t="n">
        <f>=IF(OR(Q703="", R703=""), "-", IF(ISNUMBER(SEARCH("7 Günlük", R703)), IF(Q703&lt;=M703, O703, "-"), "-"))</f>
        <v>0.0</v>
      </c>
      <c r="T703" s="42" t="str">
        <f>=IF(ISBLANK(Q703), "", "Hayır")</f>
      </c>
      <c r="U703" s="43"/>
      <c r="V703" s="44" t="inlineStr">
        <is>
          <t>50461ed1-c2c8-4393-967e-55d58a3e2664</t>
        </is>
      </c>
    </row>
    <row r="704">
      <c r="A704" s="23" t="inlineStr">
        <is>
          <t>Rampalı Kıvırcık Paspas Iş Yeri Paspası Su Emici Kaymaz Paspas Kivircik Iş Yeri Paspas Apartman Ofis</t>
        </is>
      </c>
      <c r="B704" s="24" t="inlineStr">
        <is>
          <t>772451232</t>
        </is>
      </c>
      <c r="C704" s="25" t="inlineStr">
        <is>
          <t>KIVIRCIKRAMPALI-KR1-GRI-40x70</t>
        </is>
      </c>
      <c r="D704" s="26" t="inlineStr">
        <is>
          <t>KIVIRCIKRAMPALI-KR1-GRI-40x70</t>
        </is>
      </c>
      <c r="E704" s="27" t="inlineStr">
        <is>
          <t>40 x 70</t>
        </is>
      </c>
      <c r="F704" s="28" t="inlineStr">
        <is>
          <t>TYCSS3MAPN169778498328887</t>
        </is>
      </c>
      <c r="G704" s="29" t="inlineStr">
        <is>
          <t>Kapı Önü Paspası</t>
        </is>
      </c>
      <c r="H704" s="30" t="inlineStr">
        <is>
          <t>Paspas Yap</t>
        </is>
      </c>
      <c r="I704" s="31" t="n">
        <v>93.0</v>
      </c>
      <c r="J704" s="32" t="n">
        <v>1062.0</v>
      </c>
      <c r="K704" s="33" t="n">
        <v>868.66</v>
      </c>
      <c r="L704" s="34" t="n">
        <v>22.0</v>
      </c>
      <c r="M704" s="35" t="n">
        <v>605.7</v>
      </c>
      <c r="N704" s="36" t="inlineStr">
        <is>
          <t>25 Ağustos 08.00-1 Eylül 07.59</t>
        </is>
      </c>
      <c r="O704" s="37" t="n">
        <v>13.0</v>
      </c>
      <c r="P704" s="38" t="n">
        <v>868.66</v>
      </c>
      <c r="Q704" s="39"/>
      <c r="R704" s="40" t="n">
        <f>=IF(AND(ISBLANK(Q704), ISBLANK(U704)), "", "7 Günlük Fiyat")</f>
        <v>0.0</v>
      </c>
      <c r="S704" s="41" t="n">
        <f>=IF(OR(Q704="", R704=""), "-", IF(ISNUMBER(SEARCH("7 Günlük", R704)), IF(Q704&lt;=M704, O704, "-"), "-"))</f>
        <v>0.0</v>
      </c>
      <c r="T704" s="42" t="str">
        <f>=IF(ISBLANK(Q704), "", "Hayır")</f>
      </c>
      <c r="U704" s="43"/>
      <c r="V704" s="44" t="inlineStr">
        <is>
          <t>50461ed1-c2c8-4393-967e-55d58a3e2664</t>
        </is>
      </c>
    </row>
    <row r="705">
      <c r="A705" s="23" t="inlineStr">
        <is>
          <t>Rampalı Kıvırcık Paspas Iş Yeri Paspası Su Emici Kaymaz Paspas Kivircik Iş Yeri Paspas Apartman Ofis</t>
        </is>
      </c>
      <c r="B705" s="24" t="inlineStr">
        <is>
          <t>772451232</t>
        </is>
      </c>
      <c r="C705" s="25" t="inlineStr">
        <is>
          <t>KIVIRCIKRAMPALI-KR1-GRI-100x300</t>
        </is>
      </c>
      <c r="D705" s="26" t="inlineStr">
        <is>
          <t>KIVIRCIKRAMPALI-KR1-GRI-100x300</t>
        </is>
      </c>
      <c r="E705" s="27" t="inlineStr">
        <is>
          <t>100 x 300</t>
        </is>
      </c>
      <c r="F705" s="28" t="inlineStr">
        <is>
          <t>TYCSS3MAPN169778498328887</t>
        </is>
      </c>
      <c r="G705" s="29" t="inlineStr">
        <is>
          <t>Kapı Önü Paspası</t>
        </is>
      </c>
      <c r="H705" s="30" t="inlineStr">
        <is>
          <t>Paspas Yap</t>
        </is>
      </c>
      <c r="I705" s="31" t="n">
        <v>93.0</v>
      </c>
      <c r="J705" s="32" t="n">
        <v>5459.0</v>
      </c>
      <c r="K705" s="33" t="n">
        <v>5078.93</v>
      </c>
      <c r="L705" s="34" t="n">
        <v>22.0</v>
      </c>
      <c r="M705" s="35" t="n">
        <v>3844.99</v>
      </c>
      <c r="N705" s="36" t="inlineStr">
        <is>
          <t>25 Ağustos 08.00-1 Eylül 07.59</t>
        </is>
      </c>
      <c r="O705" s="37" t="n">
        <v>16.5</v>
      </c>
      <c r="P705" s="38" t="n">
        <v>5078.93</v>
      </c>
      <c r="Q705" s="39"/>
      <c r="R705" s="40" t="n">
        <f>=IF(AND(ISBLANK(Q705), ISBLANK(U705)), "", "7 Günlük Fiyat")</f>
        <v>0.0</v>
      </c>
      <c r="S705" s="41" t="n">
        <f>=IF(OR(Q705="", R705=""), "-", IF(ISNUMBER(SEARCH("7 Günlük", R705)), IF(Q705&lt;=M705, O705, "-"), "-"))</f>
        <v>0.0</v>
      </c>
      <c r="T705" s="42" t="str">
        <f>=IF(ISBLANK(Q705), "", "Hayır")</f>
      </c>
      <c r="U705" s="43"/>
      <c r="V705" s="44" t="inlineStr">
        <is>
          <t>50461ed1-c2c8-4393-967e-55d58a3e2664</t>
        </is>
      </c>
    </row>
    <row r="706">
      <c r="A706" s="23" t="inlineStr">
        <is>
          <t>Rampalı Kıvırcık Paspas Iş Yeri Paspası Su Emici Kaymaz Paspas Kivircik Iş Yeri Paspas Apartman Ofis</t>
        </is>
      </c>
      <c r="B706" s="24" t="inlineStr">
        <is>
          <t>772451232</t>
        </is>
      </c>
      <c r="C706" s="25" t="inlineStr">
        <is>
          <t>KIVIRCIKRAMPALI-KR1-GRI-100x200</t>
        </is>
      </c>
      <c r="D706" s="26" t="inlineStr">
        <is>
          <t>KIVIRCIKRAMPALI-KR1-GRI-100x200</t>
        </is>
      </c>
      <c r="E706" s="27" t="inlineStr">
        <is>
          <t>100 x 200</t>
        </is>
      </c>
      <c r="F706" s="28" t="inlineStr">
        <is>
          <t>TYCSS3MAPN169778498328887</t>
        </is>
      </c>
      <c r="G706" s="29" t="inlineStr">
        <is>
          <t>Kapı Önü Paspası</t>
        </is>
      </c>
      <c r="H706" s="30" t="inlineStr">
        <is>
          <t>Paspas Yap</t>
        </is>
      </c>
      <c r="I706" s="31" t="n">
        <v>93.0</v>
      </c>
      <c r="J706" s="32" t="n">
        <v>3830.0</v>
      </c>
      <c r="K706" s="33" t="n">
        <v>3830.0</v>
      </c>
      <c r="L706" s="34" t="n">
        <v>22.0</v>
      </c>
      <c r="M706" s="35" t="n">
        <v>2750.54</v>
      </c>
      <c r="N706" s="36" t="inlineStr">
        <is>
          <t>25 Ağustos 08.00-1 Eylül 07.59</t>
        </is>
      </c>
      <c r="O706" s="37" t="n">
        <v>16.6</v>
      </c>
      <c r="P706" s="38" t="n">
        <v>3830.0</v>
      </c>
      <c r="Q706" s="39"/>
      <c r="R706" s="40" t="n">
        <f>=IF(AND(ISBLANK(Q706), ISBLANK(U706)), "", "7 Günlük Fiyat")</f>
        <v>0.0</v>
      </c>
      <c r="S706" s="41" t="n">
        <f>=IF(OR(Q706="", R706=""), "-", IF(ISNUMBER(SEARCH("7 Günlük", R706)), IF(Q706&lt;=M706, O706, "-"), "-"))</f>
        <v>0.0</v>
      </c>
      <c r="T706" s="42" t="str">
        <f>=IF(ISBLANK(Q706), "", "Hayır")</f>
      </c>
      <c r="U706" s="43"/>
      <c r="V706" s="44" t="inlineStr">
        <is>
          <t>50461ed1-c2c8-4393-967e-55d58a3e2664</t>
        </is>
      </c>
    </row>
    <row r="707">
      <c r="A707" s="23" t="inlineStr">
        <is>
          <t>Rampalı Kıvırcık Paspas Iş Yeri Paspası Su Emici Kaymaz Paspas Kivircik Iş Yeri Paspas Apartman Ofis</t>
        </is>
      </c>
      <c r="B707" s="24" t="inlineStr">
        <is>
          <t>772451232</t>
        </is>
      </c>
      <c r="C707" s="25" t="inlineStr">
        <is>
          <t>KIVIRCIKRAMPALI-KR1-GRI-120x180</t>
        </is>
      </c>
      <c r="D707" s="26" t="inlineStr">
        <is>
          <t>KIVIRCIKRAMPALI-KR1-GRI-120x180</t>
        </is>
      </c>
      <c r="E707" s="27" t="inlineStr">
        <is>
          <t>120 x 180</t>
        </is>
      </c>
      <c r="F707" s="28" t="inlineStr">
        <is>
          <t>TYCSS3MAPN169778498328887</t>
        </is>
      </c>
      <c r="G707" s="29" t="inlineStr">
        <is>
          <t>Kapı Önü Paspası</t>
        </is>
      </c>
      <c r="H707" s="30" t="inlineStr">
        <is>
          <t>Paspas Yap</t>
        </is>
      </c>
      <c r="I707" s="31" t="n">
        <v>93.0</v>
      </c>
      <c r="J707" s="32" t="n">
        <v>4232.0</v>
      </c>
      <c r="K707" s="33" t="n">
        <v>4232.0</v>
      </c>
      <c r="L707" s="34" t="n">
        <v>22.0</v>
      </c>
      <c r="M707" s="35" t="n">
        <v>2804.92</v>
      </c>
      <c r="N707" s="36" t="inlineStr">
        <is>
          <t>25 Ağustos 08.00-1 Eylül 07.59</t>
        </is>
      </c>
      <c r="O707" s="37" t="n">
        <v>15.4</v>
      </c>
      <c r="P707" s="38" t="n">
        <v>4232.0</v>
      </c>
      <c r="Q707" s="39"/>
      <c r="R707" s="40" t="n">
        <f>=IF(AND(ISBLANK(Q707), ISBLANK(U707)), "", "7 Günlük Fiyat")</f>
        <v>0.0</v>
      </c>
      <c r="S707" s="41" t="n">
        <f>=IF(OR(Q707="", R707=""), "-", IF(ISNUMBER(SEARCH("7 Günlük", R707)), IF(Q707&lt;=M707, O707, "-"), "-"))</f>
        <v>0.0</v>
      </c>
      <c r="T707" s="42" t="str">
        <f>=IF(ISBLANK(Q707), "", "Hayır")</f>
      </c>
      <c r="U707" s="43"/>
      <c r="V707" s="44" t="inlineStr">
        <is>
          <t>50461ed1-c2c8-4393-967e-55d58a3e2664</t>
        </is>
      </c>
    </row>
    <row r="708">
      <c r="A708" s="23" t="inlineStr">
        <is>
          <t>Toz Ve Nem Alıcı Yolluk Paspas Iş Yeri Paspası Iç Ve Dış Mekan Paspası Rampalı Toz Alıcı Paspas</t>
        </is>
      </c>
      <c r="B708" s="24" t="inlineStr">
        <is>
          <t>770010757</t>
        </is>
      </c>
      <c r="C708" s="25" t="inlineStr">
        <is>
          <t>TOZKONTROL-YP1-KIRMIZI-80300</t>
        </is>
      </c>
      <c r="D708" s="26" t="inlineStr">
        <is>
          <t>TOZKONTROL-YP1-KIRMIZI-80300</t>
        </is>
      </c>
      <c r="E708" s="27" t="inlineStr">
        <is>
          <t>80 x 300</t>
        </is>
      </c>
      <c r="F708" s="28" t="inlineStr">
        <is>
          <t>TOZKONTROL-YP1</t>
        </is>
      </c>
      <c r="G708" s="29" t="inlineStr">
        <is>
          <t>Kapı Önü Paspası</t>
        </is>
      </c>
      <c r="H708" s="30" t="inlineStr">
        <is>
          <t>Paspas Yap</t>
        </is>
      </c>
      <c r="I708" s="31" t="n">
        <v>93.0</v>
      </c>
      <c r="J708" s="32" t="n">
        <v>4496.0</v>
      </c>
      <c r="K708" s="33" t="n">
        <v>4124.31</v>
      </c>
      <c r="L708" s="34" t="n">
        <v>22.0</v>
      </c>
      <c r="M708" s="35" t="n">
        <v>3052.16</v>
      </c>
      <c r="N708" s="36" t="inlineStr">
        <is>
          <t>25 Ağustos 08.00-1 Eylül 07.59</t>
        </is>
      </c>
      <c r="O708" s="37" t="n">
        <v>16.0</v>
      </c>
      <c r="P708" s="38" t="n">
        <v>4124.31</v>
      </c>
      <c r="Q708" s="39"/>
      <c r="R708" s="40" t="n">
        <f>=IF(AND(ISBLANK(Q708), ISBLANK(U708)), "", "7 Günlük Fiyat")</f>
        <v>0.0</v>
      </c>
      <c r="S708" s="41" t="n">
        <f>=IF(OR(Q708="", R708=""), "-", IF(ISNUMBER(SEARCH("7 Günlük", R708)), IF(Q708&lt;=M708, O708, "-"), "-"))</f>
        <v>0.0</v>
      </c>
      <c r="T708" s="42" t="str">
        <f>=IF(ISBLANK(Q708), "", "Hayır")</f>
      </c>
      <c r="U708" s="43"/>
      <c r="V708" s="44" t="inlineStr">
        <is>
          <t>50461ed1-c2c8-4393-967e-55d58a3e2664</t>
        </is>
      </c>
    </row>
    <row r="709">
      <c r="A709" s="23" t="inlineStr">
        <is>
          <t>Toz Ve Nem Alıcı Yolluk Paspas Iş Yeri Paspası Iç Ve Dış Mekan Paspası Rampalı Toz Alıcı Paspas</t>
        </is>
      </c>
      <c r="B709" s="24" t="inlineStr">
        <is>
          <t>770010757</t>
        </is>
      </c>
      <c r="C709" s="25" t="inlineStr">
        <is>
          <t>TOZKONTROL-YP1-KIRMIZI-100700</t>
        </is>
      </c>
      <c r="D709" s="26" t="inlineStr">
        <is>
          <t>TOZKONTROL-YP1-KIRMIZI-100700</t>
        </is>
      </c>
      <c r="E709" s="27" t="inlineStr">
        <is>
          <t>100 x 700</t>
        </is>
      </c>
      <c r="F709" s="28" t="inlineStr">
        <is>
          <t>TOZKONTROL-YP1</t>
        </is>
      </c>
      <c r="G709" s="29" t="inlineStr">
        <is>
          <t>Kapı Önü Paspası</t>
        </is>
      </c>
      <c r="H709" s="30" t="inlineStr">
        <is>
          <t>Paspas Yap</t>
        </is>
      </c>
      <c r="I709" s="31" t="n">
        <v>93.0</v>
      </c>
      <c r="J709" s="32" t="n">
        <v>12074.0</v>
      </c>
      <c r="K709" s="33" t="n">
        <v>10566.34</v>
      </c>
      <c r="L709" s="34" t="n">
        <v>22.0</v>
      </c>
      <c r="M709" s="35" t="n">
        <v>6341.87</v>
      </c>
      <c r="N709" s="36" t="inlineStr">
        <is>
          <t>25 Ağustos 08.00-1 Eylül 07.59</t>
        </is>
      </c>
      <c r="O709" s="37" t="n">
        <v>11.6</v>
      </c>
      <c r="P709" s="38" t="n">
        <v>10566.34</v>
      </c>
      <c r="Q709" s="39"/>
      <c r="R709" s="40" t="n">
        <f>=IF(AND(ISBLANK(Q709), ISBLANK(U709)), "", "7 Günlük Fiyat")</f>
        <v>0.0</v>
      </c>
      <c r="S709" s="41" t="n">
        <f>=IF(OR(Q709="", R709=""), "-", IF(ISNUMBER(SEARCH("7 Günlük", R709)), IF(Q709&lt;=M709, O709, "-"), "-"))</f>
        <v>0.0</v>
      </c>
      <c r="T709" s="42" t="str">
        <f>=IF(ISBLANK(Q709), "", "Hayır")</f>
      </c>
      <c r="U709" s="43"/>
      <c r="V709" s="44" t="inlineStr">
        <is>
          <t>50461ed1-c2c8-4393-967e-55d58a3e2664</t>
        </is>
      </c>
    </row>
    <row r="710">
      <c r="A710" s="23" t="inlineStr">
        <is>
          <t>Toz Ve Nem Alıcı Yolluk Paspas Iş Yeri Paspası Iç Ve Dış Mekan Paspası Rampalı Toz Alıcı Paspas</t>
        </is>
      </c>
      <c r="B710" s="24" t="inlineStr">
        <is>
          <t>770010757</t>
        </is>
      </c>
      <c r="C710" s="25" t="inlineStr">
        <is>
          <t>TOZKONTROL-YP1-KIRMIZI-4070</t>
        </is>
      </c>
      <c r="D710" s="26" t="inlineStr">
        <is>
          <t>TOZKONTROL-YP1-KIRMIZI-4070</t>
        </is>
      </c>
      <c r="E710" s="27" t="inlineStr">
        <is>
          <t>40 x 70</t>
        </is>
      </c>
      <c r="F710" s="28" t="inlineStr">
        <is>
          <t>TOZKONTROL-YP1</t>
        </is>
      </c>
      <c r="G710" s="29" t="inlineStr">
        <is>
          <t>Kapı Önü Paspası</t>
        </is>
      </c>
      <c r="H710" s="30" t="inlineStr">
        <is>
          <t>Paspas Yap</t>
        </is>
      </c>
      <c r="I710" s="31" t="n">
        <v>93.0</v>
      </c>
      <c r="J710" s="32" t="n">
        <v>799.0</v>
      </c>
      <c r="K710" s="33" t="n">
        <v>799.0</v>
      </c>
      <c r="L710" s="34" t="n">
        <v>22.0</v>
      </c>
      <c r="M710" s="35" t="n">
        <v>632.63</v>
      </c>
      <c r="N710" s="36" t="inlineStr">
        <is>
          <t>25 Ağustos 08.00-1 Eylül 07.59</t>
        </is>
      </c>
      <c r="O710" s="37" t="n">
        <v>17.7</v>
      </c>
      <c r="P710" s="38" t="n">
        <v>799.0</v>
      </c>
      <c r="Q710" s="39"/>
      <c r="R710" s="40" t="n">
        <f>=IF(AND(ISBLANK(Q710), ISBLANK(U710)), "", "7 Günlük Fiyat")</f>
        <v>0.0</v>
      </c>
      <c r="S710" s="41" t="n">
        <f>=IF(OR(Q710="", R710=""), "-", IF(ISNUMBER(SEARCH("7 Günlük", R710)), IF(Q710&lt;=M710, O710, "-"), "-"))</f>
        <v>0.0</v>
      </c>
      <c r="T710" s="42" t="str">
        <f>=IF(ISBLANK(Q710), "", "Hayır")</f>
      </c>
      <c r="U710" s="43"/>
      <c r="V710" s="44" t="inlineStr">
        <is>
          <t>50461ed1-c2c8-4393-967e-55d58a3e2664</t>
        </is>
      </c>
    </row>
    <row r="711">
      <c r="A711" s="23" t="inlineStr">
        <is>
          <t>Toz Ve Nem Alıcı Yolluk Paspas Iş Yeri Paspası Iç Ve Dış Mekan Paspası Rampalı Toz Alıcı Paspas</t>
        </is>
      </c>
      <c r="B711" s="24" t="inlineStr">
        <is>
          <t>770010757</t>
        </is>
      </c>
      <c r="C711" s="25" t="inlineStr">
        <is>
          <t>TOZKONTROL-YP1-KIRMIZI-80550</t>
        </is>
      </c>
      <c r="D711" s="26" t="inlineStr">
        <is>
          <t>TOZKONTROL-YP1-KIRMIZI-80550</t>
        </is>
      </c>
      <c r="E711" s="27" t="inlineStr">
        <is>
          <t>80 x 550</t>
        </is>
      </c>
      <c r="F711" s="28" t="inlineStr">
        <is>
          <t>TOZKONTROL-YP1</t>
        </is>
      </c>
      <c r="G711" s="29" t="inlineStr">
        <is>
          <t>Kapı Önü Paspası</t>
        </is>
      </c>
      <c r="H711" s="30" t="inlineStr">
        <is>
          <t>Paspas Yap</t>
        </is>
      </c>
      <c r="I711" s="31" t="n">
        <v>93.0</v>
      </c>
      <c r="J711" s="32" t="n">
        <v>7711.0</v>
      </c>
      <c r="K711" s="33" t="n">
        <v>6580.88</v>
      </c>
      <c r="L711" s="34" t="n">
        <v>22.0</v>
      </c>
      <c r="M711" s="35" t="n">
        <v>4555.73</v>
      </c>
      <c r="N711" s="36" t="inlineStr">
        <is>
          <t>25 Ağustos 08.00-1 Eylül 07.59</t>
        </is>
      </c>
      <c r="O711" s="37" t="n">
        <v>14.4</v>
      </c>
      <c r="P711" s="38" t="n">
        <v>6580.88</v>
      </c>
      <c r="Q711" s="39"/>
      <c r="R711" s="40" t="n">
        <f>=IF(AND(ISBLANK(Q711), ISBLANK(U711)), "", "7 Günlük Fiyat")</f>
        <v>0.0</v>
      </c>
      <c r="S711" s="41" t="n">
        <f>=IF(OR(Q711="", R711=""), "-", IF(ISNUMBER(SEARCH("7 Günlük", R711)), IF(Q711&lt;=M711, O711, "-"), "-"))</f>
        <v>0.0</v>
      </c>
      <c r="T711" s="42" t="str">
        <f>=IF(ISBLANK(Q711), "", "Hayır")</f>
      </c>
      <c r="U711" s="43"/>
      <c r="V711" s="44" t="inlineStr">
        <is>
          <t>50461ed1-c2c8-4393-967e-55d58a3e2664</t>
        </is>
      </c>
    </row>
    <row r="712">
      <c r="A712" s="23" t="inlineStr">
        <is>
          <t>Toz Ve Nem Alıcı Yolluk Paspas Iş Yeri Paspası Iç Ve Dış Mekan Paspası Rampalı Toz Alıcı Paspas</t>
        </is>
      </c>
      <c r="B712" s="24" t="inlineStr">
        <is>
          <t>770010757</t>
        </is>
      </c>
      <c r="C712" s="25" t="inlineStr">
        <is>
          <t>TOZKONTROL-YP1-KIRMIZI-120700</t>
        </is>
      </c>
      <c r="D712" s="26" t="inlineStr">
        <is>
          <t>TOZKONTROL-YP1-KIRMIZI-120700</t>
        </is>
      </c>
      <c r="E712" s="27" t="inlineStr">
        <is>
          <t>120 x 700</t>
        </is>
      </c>
      <c r="F712" s="28" t="inlineStr">
        <is>
          <t>TOZKONTROL-YP1</t>
        </is>
      </c>
      <c r="G712" s="29" t="inlineStr">
        <is>
          <t>Kapı Önü Paspası</t>
        </is>
      </c>
      <c r="H712" s="30" t="inlineStr">
        <is>
          <t>Paspas Yap</t>
        </is>
      </c>
      <c r="I712" s="31" t="n">
        <v>93.0</v>
      </c>
      <c r="J712" s="32" t="n">
        <v>14351.0</v>
      </c>
      <c r="K712" s="33" t="n">
        <v>12792.61</v>
      </c>
      <c r="L712" s="34" t="n">
        <v>22.0</v>
      </c>
      <c r="M712" s="35" t="n">
        <v>8639.5</v>
      </c>
      <c r="N712" s="36" t="inlineStr">
        <is>
          <t>25 Ağustos 08.00-1 Eylül 07.59</t>
        </is>
      </c>
      <c r="O712" s="37" t="n">
        <v>14.1</v>
      </c>
      <c r="P712" s="38" t="n">
        <v>12792.61</v>
      </c>
      <c r="Q712" s="39"/>
      <c r="R712" s="40" t="n">
        <f>=IF(AND(ISBLANK(Q712), ISBLANK(U712)), "", "7 Günlük Fiyat")</f>
        <v>0.0</v>
      </c>
      <c r="S712" s="41" t="n">
        <f>=IF(OR(Q712="", R712=""), "-", IF(ISNUMBER(SEARCH("7 Günlük", R712)), IF(Q712&lt;=M712, O712, "-"), "-"))</f>
        <v>0.0</v>
      </c>
      <c r="T712" s="42" t="str">
        <f>=IF(ISBLANK(Q712), "", "Hayır")</f>
      </c>
      <c r="U712" s="43"/>
      <c r="V712" s="44" t="inlineStr">
        <is>
          <t>50461ed1-c2c8-4393-967e-55d58a3e2664</t>
        </is>
      </c>
    </row>
    <row r="713">
      <c r="A713" s="23" t="inlineStr">
        <is>
          <t>Toz Ve Nem Alıcı Yolluk Paspas Iş Yeri Paspası Iç Ve Dış Mekan Paspası Rampalı Toz Alıcı Paspas</t>
        </is>
      </c>
      <c r="B713" s="24" t="inlineStr">
        <is>
          <t>770010757</t>
        </is>
      </c>
      <c r="C713" s="25" t="inlineStr">
        <is>
          <t>TOZKONTROL-YP1-KIRMIZI-100300</t>
        </is>
      </c>
      <c r="D713" s="26" t="inlineStr">
        <is>
          <t>TOZKONTROL-YP1-KIRMIZI-100300</t>
        </is>
      </c>
      <c r="E713" s="27" t="inlineStr">
        <is>
          <t>100 x 300</t>
        </is>
      </c>
      <c r="F713" s="28" t="inlineStr">
        <is>
          <t>TOZKONTROL-YP1</t>
        </is>
      </c>
      <c r="G713" s="29" t="inlineStr">
        <is>
          <t>Kapı Önü Paspası</t>
        </is>
      </c>
      <c r="H713" s="30" t="inlineStr">
        <is>
          <t>Paspas Yap</t>
        </is>
      </c>
      <c r="I713" s="31" t="n">
        <v>93.0</v>
      </c>
      <c r="J713" s="32" t="n">
        <v>5278.0</v>
      </c>
      <c r="K713" s="33" t="n">
        <v>4764.28</v>
      </c>
      <c r="L713" s="34" t="n">
        <v>22.0</v>
      </c>
      <c r="M713" s="35" t="n">
        <v>3480.73</v>
      </c>
      <c r="N713" s="36" t="inlineStr">
        <is>
          <t>25 Ağustos 08.00-1 Eylül 07.59</t>
        </is>
      </c>
      <c r="O713" s="37" t="n">
        <v>15.5</v>
      </c>
      <c r="P713" s="38" t="n">
        <v>4764.28</v>
      </c>
      <c r="Q713" s="39"/>
      <c r="R713" s="40" t="n">
        <f>=IF(AND(ISBLANK(Q713), ISBLANK(U713)), "", "7 Günlük Fiyat")</f>
        <v>0.0</v>
      </c>
      <c r="S713" s="41" t="n">
        <f>=IF(OR(Q713="", R713=""), "-", IF(ISNUMBER(SEARCH("7 Günlük", R713)), IF(Q713&lt;=M713, O713, "-"), "-"))</f>
        <v>0.0</v>
      </c>
      <c r="T713" s="42" t="str">
        <f>=IF(ISBLANK(Q713), "", "Hayır")</f>
      </c>
      <c r="U713" s="43"/>
      <c r="V713" s="44" t="inlineStr">
        <is>
          <t>50461ed1-c2c8-4393-967e-55d58a3e2664</t>
        </is>
      </c>
    </row>
    <row r="714">
      <c r="A714" s="23" t="inlineStr">
        <is>
          <t>Toz Ve Nem Alıcı Yolluk Paspas Iş Yeri Paspası Iç Ve Dış Mekan Paspası Rampalı Toz Alıcı Paspas</t>
        </is>
      </c>
      <c r="B714" s="24" t="inlineStr">
        <is>
          <t>770010757</t>
        </is>
      </c>
      <c r="C714" s="25" t="inlineStr">
        <is>
          <t>TOZKONTROL-YP1-KIRMIZI-1001500</t>
        </is>
      </c>
      <c r="D714" s="26" t="inlineStr">
        <is>
          <t>TOZKONTROL-YP1-KIRMIZI-1001500</t>
        </is>
      </c>
      <c r="E714" s="27" t="inlineStr">
        <is>
          <t>100 x 1500</t>
        </is>
      </c>
      <c r="F714" s="28" t="inlineStr">
        <is>
          <t>TOZKONTROL-YP1</t>
        </is>
      </c>
      <c r="G714" s="29" t="inlineStr">
        <is>
          <t>Kapı Önü Paspası</t>
        </is>
      </c>
      <c r="H714" s="30" t="inlineStr">
        <is>
          <t>Paspas Yap</t>
        </is>
      </c>
      <c r="I714" s="31" t="n">
        <v>93.0</v>
      </c>
      <c r="J714" s="32" t="n">
        <v>26967.0</v>
      </c>
      <c r="K714" s="33" t="n">
        <v>22687.41</v>
      </c>
      <c r="L714" s="34" t="n">
        <v>22.0</v>
      </c>
      <c r="M714" s="35" t="n">
        <v>14332.27</v>
      </c>
      <c r="N714" s="36" t="inlineStr">
        <is>
          <t>25 Ağustos 08.00-1 Eylül 07.59</t>
        </is>
      </c>
      <c r="O714" s="37" t="n">
        <v>12.5</v>
      </c>
      <c r="P714" s="38" t="n">
        <v>22687.41</v>
      </c>
      <c r="Q714" s="39"/>
      <c r="R714" s="40" t="n">
        <f>=IF(AND(ISBLANK(Q714), ISBLANK(U714)), "", "7 Günlük Fiyat")</f>
        <v>0.0</v>
      </c>
      <c r="S714" s="41" t="n">
        <f>=IF(OR(Q714="", R714=""), "-", IF(ISNUMBER(SEARCH("7 Günlük", R714)), IF(Q714&lt;=M714, O714, "-"), "-"))</f>
        <v>0.0</v>
      </c>
      <c r="T714" s="42" t="str">
        <f>=IF(ISBLANK(Q714), "", "Hayır")</f>
      </c>
      <c r="U714" s="43"/>
      <c r="V714" s="44" t="inlineStr">
        <is>
          <t>50461ed1-c2c8-4393-967e-55d58a3e2664</t>
        </is>
      </c>
    </row>
    <row r="715">
      <c r="A715" s="23" t="inlineStr">
        <is>
          <t>Toz Ve Nem Alıcı Yolluk Paspas Iş Yeri Paspası Iç Ve Dış Mekan Paspası Rampalı Toz Alıcı Paspas</t>
        </is>
      </c>
      <c r="B715" s="24" t="inlineStr">
        <is>
          <t>770010757</t>
        </is>
      </c>
      <c r="C715" s="25" t="inlineStr">
        <is>
          <t>TOZKONTROL-YP1-KIRMIZI-1001450</t>
        </is>
      </c>
      <c r="D715" s="26" t="inlineStr">
        <is>
          <t>TOZKONTROL-YP1-KIRMIZI-1001450</t>
        </is>
      </c>
      <c r="E715" s="27" t="inlineStr">
        <is>
          <t>100 x 1450</t>
        </is>
      </c>
      <c r="F715" s="28" t="inlineStr">
        <is>
          <t>TOZKONTROL-YP1</t>
        </is>
      </c>
      <c r="G715" s="29" t="inlineStr">
        <is>
          <t>Kapı Önü Paspası</t>
        </is>
      </c>
      <c r="H715" s="30" t="inlineStr">
        <is>
          <t>Paspas Yap</t>
        </is>
      </c>
      <c r="I715" s="31" t="n">
        <v>93.0</v>
      </c>
      <c r="J715" s="32" t="n">
        <v>26229.0</v>
      </c>
      <c r="K715" s="33" t="n">
        <v>22177.46</v>
      </c>
      <c r="L715" s="34" t="n">
        <v>22.0</v>
      </c>
      <c r="M715" s="35" t="n">
        <v>14134.96</v>
      </c>
      <c r="N715" s="36" t="inlineStr">
        <is>
          <t>25 Ağustos 08.00-1 Eylül 07.59</t>
        </is>
      </c>
      <c r="O715" s="37" t="n">
        <v>12.7</v>
      </c>
      <c r="P715" s="38" t="n">
        <v>22177.46</v>
      </c>
      <c r="Q715" s="39"/>
      <c r="R715" s="40" t="n">
        <f>=IF(AND(ISBLANK(Q715), ISBLANK(U715)), "", "7 Günlük Fiyat")</f>
        <v>0.0</v>
      </c>
      <c r="S715" s="41" t="n">
        <f>=IF(OR(Q715="", R715=""), "-", IF(ISNUMBER(SEARCH("7 Günlük", R715)), IF(Q715&lt;=M715, O715, "-"), "-"))</f>
        <v>0.0</v>
      </c>
      <c r="T715" s="42" t="str">
        <f>=IF(ISBLANK(Q715), "", "Hayır")</f>
      </c>
      <c r="U715" s="43"/>
      <c r="V715" s="44" t="inlineStr">
        <is>
          <t>50461ed1-c2c8-4393-967e-55d58a3e2664</t>
        </is>
      </c>
    </row>
    <row r="716">
      <c r="A716" s="23" t="inlineStr">
        <is>
          <t>Toz Ve Nem Alıcı Yolluk Paspas Iş Yeri Paspası Iç Ve Dış Mekan Paspası Rampalı Toz Alıcı Paspas</t>
        </is>
      </c>
      <c r="B716" s="24" t="inlineStr">
        <is>
          <t>770010757</t>
        </is>
      </c>
      <c r="C716" s="25" t="inlineStr">
        <is>
          <t>TOZKONTROL-YP1-KIRMIZI-80800</t>
        </is>
      </c>
      <c r="D716" s="26" t="inlineStr">
        <is>
          <t>TOZKONTROL-YP1-KIRMIZI-80800</t>
        </is>
      </c>
      <c r="E716" s="27" t="inlineStr">
        <is>
          <t>80 x 800</t>
        </is>
      </c>
      <c r="F716" s="28" t="inlineStr">
        <is>
          <t>TOZKONTROL-YP1</t>
        </is>
      </c>
      <c r="G716" s="29" t="inlineStr">
        <is>
          <t>Kapı Önü Paspası</t>
        </is>
      </c>
      <c r="H716" s="30" t="inlineStr">
        <is>
          <t>Paspas Yap</t>
        </is>
      </c>
      <c r="I716" s="31" t="n">
        <v>93.0</v>
      </c>
      <c r="J716" s="32" t="n">
        <v>11335.0</v>
      </c>
      <c r="K716" s="33" t="n">
        <v>10545.48</v>
      </c>
      <c r="L716" s="34" t="n">
        <v>22.0</v>
      </c>
      <c r="M716" s="35" t="n">
        <v>7460.4</v>
      </c>
      <c r="N716" s="36" t="inlineStr">
        <is>
          <t>25 Ağustos 08.00-1 Eylül 07.59</t>
        </is>
      </c>
      <c r="O716" s="37" t="n">
        <v>15.5</v>
      </c>
      <c r="P716" s="38" t="n">
        <v>10545.48</v>
      </c>
      <c r="Q716" s="39"/>
      <c r="R716" s="40" t="n">
        <f>=IF(AND(ISBLANK(Q716), ISBLANK(U716)), "", "7 Günlük Fiyat")</f>
        <v>0.0</v>
      </c>
      <c r="S716" s="41" t="n">
        <f>=IF(OR(Q716="", R716=""), "-", IF(ISNUMBER(SEARCH("7 Günlük", R716)), IF(Q716&lt;=M716, O716, "-"), "-"))</f>
        <v>0.0</v>
      </c>
      <c r="T716" s="42" t="str">
        <f>=IF(ISBLANK(Q716), "", "Hayır")</f>
      </c>
      <c r="U716" s="43"/>
      <c r="V716" s="44" t="inlineStr">
        <is>
          <t>50461ed1-c2c8-4393-967e-55d58a3e2664</t>
        </is>
      </c>
    </row>
    <row r="717">
      <c r="A717" s="23" t="inlineStr">
        <is>
          <t>Toz Ve Nem Alıcı Yolluk Paspas Iş Yeri Paspası Iç Ve Dış Mekan Paspası Rampalı Toz Alıcı Paspas</t>
        </is>
      </c>
      <c r="B717" s="24" t="inlineStr">
        <is>
          <t>770010757</t>
        </is>
      </c>
      <c r="C717" s="25" t="inlineStr">
        <is>
          <t>TOZKONTROL-YP1-KIRMIZI-120x1150</t>
        </is>
      </c>
      <c r="D717" s="26" t="inlineStr">
        <is>
          <t>TOZKONTROL-YP1-KIRMIZI-120x1150</t>
        </is>
      </c>
      <c r="E717" s="27" t="inlineStr">
        <is>
          <t>120 x 1150</t>
        </is>
      </c>
      <c r="F717" s="28" t="inlineStr">
        <is>
          <t>TOZKONTROL-YP1</t>
        </is>
      </c>
      <c r="G717" s="29" t="inlineStr">
        <is>
          <t>Kapı Önü Paspası</t>
        </is>
      </c>
      <c r="H717" s="30" t="inlineStr">
        <is>
          <t>Paspas Yap</t>
        </is>
      </c>
      <c r="I717" s="31" t="n">
        <v>93.0</v>
      </c>
      <c r="J717" s="32" t="n">
        <v>24976.0</v>
      </c>
      <c r="K717" s="33" t="n">
        <v>21026.92</v>
      </c>
      <c r="L717" s="34" t="n">
        <v>22.0</v>
      </c>
      <c r="M717" s="35" t="n">
        <v>13695.62</v>
      </c>
      <c r="N717" s="36" t="inlineStr">
        <is>
          <t>25 Ağustos 08.00-1 Eylül 07.59</t>
        </is>
      </c>
      <c r="O717" s="37" t="n">
        <v>13.1</v>
      </c>
      <c r="P717" s="38" t="n">
        <v>21026.92</v>
      </c>
      <c r="Q717" s="39"/>
      <c r="R717" s="40" t="n">
        <f>=IF(AND(ISBLANK(Q717), ISBLANK(U717)), "", "7 Günlük Fiyat")</f>
        <v>0.0</v>
      </c>
      <c r="S717" s="41" t="n">
        <f>=IF(OR(Q717="", R717=""), "-", IF(ISNUMBER(SEARCH("7 Günlük", R717)), IF(Q717&lt;=M717, O717, "-"), "-"))</f>
        <v>0.0</v>
      </c>
      <c r="T717" s="42" t="str">
        <f>=IF(ISBLANK(Q717), "", "Hayır")</f>
      </c>
      <c r="U717" s="43"/>
      <c r="V717" s="44" t="inlineStr">
        <is>
          <t>50461ed1-c2c8-4393-967e-55d58a3e2664</t>
        </is>
      </c>
    </row>
    <row r="718">
      <c r="A718" s="23" t="inlineStr">
        <is>
          <t>Toz Ve Nem Alıcı Yolluk Paspas Iş Yeri Paspası Iç Ve Dış Mekan Paspası Rampalı Toz Alıcı Paspas</t>
        </is>
      </c>
      <c r="B718" s="24" t="inlineStr">
        <is>
          <t>770010757</t>
        </is>
      </c>
      <c r="C718" s="25" t="inlineStr">
        <is>
          <t>TOZKONTROL-YP1-KIRMIZI-100650</t>
        </is>
      </c>
      <c r="D718" s="26" t="inlineStr">
        <is>
          <t>TOZKONTROL-YP1-KIRMIZI-100650</t>
        </is>
      </c>
      <c r="E718" s="27" t="inlineStr">
        <is>
          <t>100 x 650</t>
        </is>
      </c>
      <c r="F718" s="28" t="inlineStr">
        <is>
          <t>TOZKONTROL-YP1</t>
        </is>
      </c>
      <c r="G718" s="29" t="inlineStr">
        <is>
          <t>Kapı Önü Paspası</t>
        </is>
      </c>
      <c r="H718" s="30" t="inlineStr">
        <is>
          <t>Paspas Yap</t>
        </is>
      </c>
      <c r="I718" s="31" t="n">
        <v>93.0</v>
      </c>
      <c r="J718" s="32" t="n">
        <v>11146.0</v>
      </c>
      <c r="K718" s="33" t="n">
        <v>10381.64</v>
      </c>
      <c r="L718" s="34" t="n">
        <v>22.0</v>
      </c>
      <c r="M718" s="35" t="n">
        <v>7348.53</v>
      </c>
      <c r="N718" s="36" t="inlineStr">
        <is>
          <t>25 Ağustos 08.00-1 Eylül 07.59</t>
        </is>
      </c>
      <c r="O718" s="37" t="n">
        <v>15.5</v>
      </c>
      <c r="P718" s="38" t="n">
        <v>10381.64</v>
      </c>
      <c r="Q718" s="39"/>
      <c r="R718" s="40" t="n">
        <f>=IF(AND(ISBLANK(Q718), ISBLANK(U718)), "", "7 Günlük Fiyat")</f>
        <v>0.0</v>
      </c>
      <c r="S718" s="41" t="n">
        <f>=IF(OR(Q718="", R718=""), "-", IF(ISNUMBER(SEARCH("7 Günlük", R718)), IF(Q718&lt;=M718, O718, "-"), "-"))</f>
        <v>0.0</v>
      </c>
      <c r="T718" s="42" t="str">
        <f>=IF(ISBLANK(Q718), "", "Hayır")</f>
      </c>
      <c r="U718" s="43"/>
      <c r="V718" s="44" t="inlineStr">
        <is>
          <t>50461ed1-c2c8-4393-967e-55d58a3e2664</t>
        </is>
      </c>
    </row>
    <row r="719">
      <c r="A719" s="23" t="inlineStr">
        <is>
          <t>Toz Ve Nem Alıcı Yolluk Paspas Iş Yeri Paspası Iç Ve Dış Mekan Paspası Rampalı Toz Alıcı Paspas</t>
        </is>
      </c>
      <c r="B719" s="24" t="inlineStr">
        <is>
          <t>770010757</t>
        </is>
      </c>
      <c r="C719" s="25" t="inlineStr">
        <is>
          <t>TOZKONTROL-YP1-KIRMIZI-80250</t>
        </is>
      </c>
      <c r="D719" s="26" t="inlineStr">
        <is>
          <t>TOZKONTROL-YP1-KIRMIZI-80250</t>
        </is>
      </c>
      <c r="E719" s="27" t="inlineStr">
        <is>
          <t>80 x 250</t>
        </is>
      </c>
      <c r="F719" s="28" t="inlineStr">
        <is>
          <t>TOZKONTROL-YP1</t>
        </is>
      </c>
      <c r="G719" s="29" t="inlineStr">
        <is>
          <t>Kapı Önü Paspası</t>
        </is>
      </c>
      <c r="H719" s="30" t="inlineStr">
        <is>
          <t>Paspas Yap</t>
        </is>
      </c>
      <c r="I719" s="31" t="n">
        <v>93.0</v>
      </c>
      <c r="J719" s="32" t="n">
        <v>3729.0</v>
      </c>
      <c r="K719" s="33" t="n">
        <v>3375.39</v>
      </c>
      <c r="L719" s="34" t="n">
        <v>22.0</v>
      </c>
      <c r="M719" s="35" t="n">
        <v>2342.83</v>
      </c>
      <c r="N719" s="36" t="inlineStr">
        <is>
          <t>25 Ağustos 08.00-1 Eylül 07.59</t>
        </is>
      </c>
      <c r="O719" s="37" t="n">
        <v>14.8</v>
      </c>
      <c r="P719" s="38" t="n">
        <v>3375.39</v>
      </c>
      <c r="Q719" s="39"/>
      <c r="R719" s="40" t="n">
        <f>=IF(AND(ISBLANK(Q719), ISBLANK(U719)), "", "7 Günlük Fiyat")</f>
        <v>0.0</v>
      </c>
      <c r="S719" s="41" t="n">
        <f>=IF(OR(Q719="", R719=""), "-", IF(ISNUMBER(SEARCH("7 Günlük", R719)), IF(Q719&lt;=M719, O719, "-"), "-"))</f>
        <v>0.0</v>
      </c>
      <c r="T719" s="42" t="str">
        <f>=IF(ISBLANK(Q719), "", "Hayır")</f>
      </c>
      <c r="U719" s="43"/>
      <c r="V719" s="44" t="inlineStr">
        <is>
          <t>50461ed1-c2c8-4393-967e-55d58a3e2664</t>
        </is>
      </c>
    </row>
    <row r="720">
      <c r="A720" s="23" t="inlineStr">
        <is>
          <t>Toz Ve Nem Alıcı Yolluk Paspas Iş Yeri Paspası Iç Ve Dış Mekan Paspası Rampalı Toz Alıcı Paspas</t>
        </is>
      </c>
      <c r="B720" s="24" t="inlineStr">
        <is>
          <t>770010757</t>
        </is>
      </c>
      <c r="C720" s="25" t="inlineStr">
        <is>
          <t>TOZKONTROL-YP1-KIRMIZI-120x1050</t>
        </is>
      </c>
      <c r="D720" s="26" t="inlineStr">
        <is>
          <t>TOZKONTROL-YP1-KIRMIZI-120x1050</t>
        </is>
      </c>
      <c r="E720" s="27" t="inlineStr">
        <is>
          <t>120 x 1050</t>
        </is>
      </c>
      <c r="F720" s="28" t="inlineStr">
        <is>
          <t>TOZKONTROL-YP1</t>
        </is>
      </c>
      <c r="G720" s="29" t="inlineStr">
        <is>
          <t>Kapı Önü Paspası</t>
        </is>
      </c>
      <c r="H720" s="30" t="inlineStr">
        <is>
          <t>Paspas Yap</t>
        </is>
      </c>
      <c r="I720" s="31" t="n">
        <v>93.0</v>
      </c>
      <c r="J720" s="32" t="n">
        <v>23280.0</v>
      </c>
      <c r="K720" s="33" t="n">
        <v>21530.04</v>
      </c>
      <c r="L720" s="34" t="n">
        <v>22.0</v>
      </c>
      <c r="M720" s="35" t="n">
        <v>14416.94</v>
      </c>
      <c r="N720" s="36" t="inlineStr">
        <is>
          <t>25 Ağustos 08.00-1 Eylül 07.59</t>
        </is>
      </c>
      <c r="O720" s="37" t="n">
        <v>14.4</v>
      </c>
      <c r="P720" s="38" t="n">
        <v>21530.04</v>
      </c>
      <c r="Q720" s="39"/>
      <c r="R720" s="40" t="n">
        <f>=IF(AND(ISBLANK(Q720), ISBLANK(U720)), "", "7 Günlük Fiyat")</f>
        <v>0.0</v>
      </c>
      <c r="S720" s="41" t="n">
        <f>=IF(OR(Q720="", R720=""), "-", IF(ISNUMBER(SEARCH("7 Günlük", R720)), IF(Q720&lt;=M720, O720, "-"), "-"))</f>
        <v>0.0</v>
      </c>
      <c r="T720" s="42" t="str">
        <f>=IF(ISBLANK(Q720), "", "Hayır")</f>
      </c>
      <c r="U720" s="43"/>
      <c r="V720" s="44" t="inlineStr">
        <is>
          <t>50461ed1-c2c8-4393-967e-55d58a3e2664</t>
        </is>
      </c>
    </row>
    <row r="721">
      <c r="A721" s="23" t="inlineStr">
        <is>
          <t>Toz Ve Nem Alıcı Yolluk Paspas Iş Yeri Paspası Iç Ve Dış Mekan Paspası Rampalı Toz Alıcı Paspas</t>
        </is>
      </c>
      <c r="B721" s="24" t="inlineStr">
        <is>
          <t>770010757</t>
        </is>
      </c>
      <c r="C721" s="25" t="inlineStr">
        <is>
          <t>TOZKONTROL-YP1-KIRMIZI-100850</t>
        </is>
      </c>
      <c r="D721" s="26" t="inlineStr">
        <is>
          <t>TOZKONTROL-YP1-KIRMIZI-100850</t>
        </is>
      </c>
      <c r="E721" s="27" t="inlineStr">
        <is>
          <t>100 x 850</t>
        </is>
      </c>
      <c r="F721" s="28" t="inlineStr">
        <is>
          <t>TOZKONTROL-YP1</t>
        </is>
      </c>
      <c r="G721" s="29" t="inlineStr">
        <is>
          <t>Kapı Önü Paspası</t>
        </is>
      </c>
      <c r="H721" s="30" t="inlineStr">
        <is>
          <t>Paspas Yap</t>
        </is>
      </c>
      <c r="I721" s="31" t="n">
        <v>93.0</v>
      </c>
      <c r="J721" s="32" t="n">
        <v>14478.0</v>
      </c>
      <c r="K721" s="33" t="n">
        <v>13478.35</v>
      </c>
      <c r="L721" s="34" t="n">
        <v>22.0</v>
      </c>
      <c r="M721" s="35" t="n">
        <v>9405.36</v>
      </c>
      <c r="N721" s="36" t="inlineStr">
        <is>
          <t>25 Ağustos 08.00-1 Eylül 07.59</t>
        </is>
      </c>
      <c r="O721" s="37" t="n">
        <v>15.3</v>
      </c>
      <c r="P721" s="38" t="n">
        <v>13478.35</v>
      </c>
      <c r="Q721" s="39"/>
      <c r="R721" s="40" t="n">
        <f>=IF(AND(ISBLANK(Q721), ISBLANK(U721)), "", "7 Günlük Fiyat")</f>
        <v>0.0</v>
      </c>
      <c r="S721" s="41" t="n">
        <f>=IF(OR(Q721="", R721=""), "-", IF(ISNUMBER(SEARCH("7 Günlük", R721)), IF(Q721&lt;=M721, O721, "-"), "-"))</f>
        <v>0.0</v>
      </c>
      <c r="T721" s="42" t="str">
        <f>=IF(ISBLANK(Q721), "", "Hayır")</f>
      </c>
      <c r="U721" s="43"/>
      <c r="V721" s="44" t="inlineStr">
        <is>
          <t>50461ed1-c2c8-4393-967e-55d58a3e2664</t>
        </is>
      </c>
    </row>
    <row r="722">
      <c r="A722" s="23" t="inlineStr">
        <is>
          <t>Toz Ve Nem Alıcı Yolluk Paspas Iş Yeri Paspası Iç Ve Dış Mekan Paspası Rampalı Toz Alıcı Paspas</t>
        </is>
      </c>
      <c r="B722" s="24" t="inlineStr">
        <is>
          <t>770010757</t>
        </is>
      </c>
      <c r="C722" s="25" t="inlineStr">
        <is>
          <t>TOZKONTROL-YP1-KIRMIZI-80400</t>
        </is>
      </c>
      <c r="D722" s="26" t="inlineStr">
        <is>
          <t>TOZKONTROL-YP1-KIRMIZI-80400</t>
        </is>
      </c>
      <c r="E722" s="27" t="inlineStr">
        <is>
          <t>80 x 400</t>
        </is>
      </c>
      <c r="F722" s="28" t="inlineStr">
        <is>
          <t>TOZKONTROL-YP1</t>
        </is>
      </c>
      <c r="G722" s="29" t="inlineStr">
        <is>
          <t>Kapı Önü Paspası</t>
        </is>
      </c>
      <c r="H722" s="30" t="inlineStr">
        <is>
          <t>Paspas Yap</t>
        </is>
      </c>
      <c r="I722" s="31" t="n">
        <v>93.0</v>
      </c>
      <c r="J722" s="32" t="n">
        <v>5963.0</v>
      </c>
      <c r="K722" s="33" t="n">
        <v>5526.17</v>
      </c>
      <c r="L722" s="34" t="n">
        <v>22.0</v>
      </c>
      <c r="M722" s="35" t="n">
        <v>4215.85</v>
      </c>
      <c r="N722" s="36" t="inlineStr">
        <is>
          <t>25 Ağustos 08.00-1 Eylül 07.59</t>
        </is>
      </c>
      <c r="O722" s="37" t="n">
        <v>16.7</v>
      </c>
      <c r="P722" s="38" t="n">
        <v>5526.17</v>
      </c>
      <c r="Q722" s="39"/>
      <c r="R722" s="40" t="n">
        <f>=IF(AND(ISBLANK(Q722), ISBLANK(U722)), "", "7 Günlük Fiyat")</f>
        <v>0.0</v>
      </c>
      <c r="S722" s="41" t="n">
        <f>=IF(OR(Q722="", R722=""), "-", IF(ISNUMBER(SEARCH("7 Günlük", R722)), IF(Q722&lt;=M722, O722, "-"), "-"))</f>
        <v>0.0</v>
      </c>
      <c r="T722" s="42" t="str">
        <f>=IF(ISBLANK(Q722), "", "Hayır")</f>
      </c>
      <c r="U722" s="43"/>
      <c r="V722" s="44" t="inlineStr">
        <is>
          <t>50461ed1-c2c8-4393-967e-55d58a3e2664</t>
        </is>
      </c>
    </row>
    <row r="723">
      <c r="A723" s="23" t="inlineStr">
        <is>
          <t>Toz Ve Nem Alıcı Yolluk Paspas Iş Yeri Paspası Iç Ve Dış Mekan Paspası Rampalı Toz Alıcı Paspas</t>
        </is>
      </c>
      <c r="B723" s="24" t="inlineStr">
        <is>
          <t>770010757</t>
        </is>
      </c>
      <c r="C723" s="25" t="inlineStr">
        <is>
          <t>TOZKONTROL-YP1-KIRMIZI-80650</t>
        </is>
      </c>
      <c r="D723" s="26" t="inlineStr">
        <is>
          <t>TOZKONTROL-YP1-KIRMIZI-80650</t>
        </is>
      </c>
      <c r="E723" s="27" t="inlineStr">
        <is>
          <t>80 x 650</t>
        </is>
      </c>
      <c r="F723" s="28" t="inlineStr">
        <is>
          <t>TOZKONTROL-YP1</t>
        </is>
      </c>
      <c r="G723" s="29" t="inlineStr">
        <is>
          <t>Kapı Önü Paspası</t>
        </is>
      </c>
      <c r="H723" s="30" t="inlineStr">
        <is>
          <t>Paspas Yap</t>
        </is>
      </c>
      <c r="I723" s="31" t="n">
        <v>93.0</v>
      </c>
      <c r="J723" s="32" t="n">
        <v>9409.0</v>
      </c>
      <c r="K723" s="33" t="n">
        <v>8680.71</v>
      </c>
      <c r="L723" s="34" t="n">
        <v>22.0</v>
      </c>
      <c r="M723" s="35" t="n">
        <v>6123.33</v>
      </c>
      <c r="N723" s="36" t="inlineStr">
        <is>
          <t>25 Ağustos 08.00-1 Eylül 07.59</t>
        </is>
      </c>
      <c r="O723" s="37" t="n">
        <v>15.4</v>
      </c>
      <c r="P723" s="38" t="n">
        <v>8680.71</v>
      </c>
      <c r="Q723" s="39"/>
      <c r="R723" s="40" t="n">
        <f>=IF(AND(ISBLANK(Q723), ISBLANK(U723)), "", "7 Günlük Fiyat")</f>
        <v>0.0</v>
      </c>
      <c r="S723" s="41" t="n">
        <f>=IF(OR(Q723="", R723=""), "-", IF(ISNUMBER(SEARCH("7 Günlük", R723)), IF(Q723&lt;=M723, O723, "-"), "-"))</f>
        <v>0.0</v>
      </c>
      <c r="T723" s="42" t="str">
        <f>=IF(ISBLANK(Q723), "", "Hayır")</f>
      </c>
      <c r="U723" s="43"/>
      <c r="V723" s="44" t="inlineStr">
        <is>
          <t>50461ed1-c2c8-4393-967e-55d58a3e2664</t>
        </is>
      </c>
    </row>
    <row r="724">
      <c r="A724" s="23" t="inlineStr">
        <is>
          <t>Toz Ve Nem Alıcı Yolluk Paspas Iş Yeri Paspası Iç Ve Dış Mekan Paspası Rampalı Toz Alıcı Paspas</t>
        </is>
      </c>
      <c r="B724" s="24" t="inlineStr">
        <is>
          <t>770010757</t>
        </is>
      </c>
      <c r="C724" s="25" t="inlineStr">
        <is>
          <t>TOZKONTROL-YP1-KIRMIZI-1201400</t>
        </is>
      </c>
      <c r="D724" s="26" t="inlineStr">
        <is>
          <t>TOZKONTROL-YP1-KIRMIZI-1201400</t>
        </is>
      </c>
      <c r="E724" s="27" t="inlineStr">
        <is>
          <t>120 x 1400</t>
        </is>
      </c>
      <c r="F724" s="28" t="inlineStr">
        <is>
          <t>TOZKONTROL-YP1</t>
        </is>
      </c>
      <c r="G724" s="29" t="inlineStr">
        <is>
          <t>Kapı Önü Paspası</t>
        </is>
      </c>
      <c r="H724" s="30" t="inlineStr">
        <is>
          <t>Paspas Yap</t>
        </is>
      </c>
      <c r="I724" s="31" t="n">
        <v>93.0</v>
      </c>
      <c r="J724" s="32" t="n">
        <v>29420.0</v>
      </c>
      <c r="K724" s="33" t="n">
        <v>24598.73</v>
      </c>
      <c r="L724" s="34" t="n">
        <v>22.0</v>
      </c>
      <c r="M724" s="35" t="n">
        <v>15372.75</v>
      </c>
      <c r="N724" s="36" t="inlineStr">
        <is>
          <t>25 Ağustos 08.00-1 Eylül 07.59</t>
        </is>
      </c>
      <c r="O724" s="37" t="n">
        <v>12.2</v>
      </c>
      <c r="P724" s="38" t="n">
        <v>24598.73</v>
      </c>
      <c r="Q724" s="39"/>
      <c r="R724" s="40" t="n">
        <f>=IF(AND(ISBLANK(Q724), ISBLANK(U724)), "", "7 Günlük Fiyat")</f>
        <v>0.0</v>
      </c>
      <c r="S724" s="41" t="n">
        <f>=IF(OR(Q724="", R724=""), "-", IF(ISNUMBER(SEARCH("7 Günlük", R724)), IF(Q724&lt;=M724, O724, "-"), "-"))</f>
        <v>0.0</v>
      </c>
      <c r="T724" s="42" t="str">
        <f>=IF(ISBLANK(Q724), "", "Hayır")</f>
      </c>
      <c r="U724" s="43"/>
      <c r="V724" s="44" t="inlineStr">
        <is>
          <t>50461ed1-c2c8-4393-967e-55d58a3e2664</t>
        </is>
      </c>
    </row>
    <row r="725">
      <c r="A725" s="23" t="inlineStr">
        <is>
          <t>Toz Ve Nem Alıcı Yolluk Paspas Iş Yeri Paspası Iç Ve Dış Mekan Paspası Rampalı Toz Alıcı Paspas</t>
        </is>
      </c>
      <c r="B725" s="24" t="inlineStr">
        <is>
          <t>770010757</t>
        </is>
      </c>
      <c r="C725" s="25" t="inlineStr">
        <is>
          <t>TOZKONTROL-YP1-KIRMIZI-80x1450</t>
        </is>
      </c>
      <c r="D725" s="26" t="inlineStr">
        <is>
          <t>TOZKONTROL-YP1-KIRMIZI-80x1450</t>
        </is>
      </c>
      <c r="E725" s="27" t="inlineStr">
        <is>
          <t>80 x 1450</t>
        </is>
      </c>
      <c r="F725" s="28" t="inlineStr">
        <is>
          <t>TOZKONTROL-YP1</t>
        </is>
      </c>
      <c r="G725" s="29" t="inlineStr">
        <is>
          <t>Kapı Önü Paspası</t>
        </is>
      </c>
      <c r="H725" s="30" t="inlineStr">
        <is>
          <t>Paspas Yap</t>
        </is>
      </c>
      <c r="I725" s="31" t="n">
        <v>93.0</v>
      </c>
      <c r="J725" s="32" t="n">
        <v>22087.0</v>
      </c>
      <c r="K725" s="33" t="n">
        <v>20239.52</v>
      </c>
      <c r="L725" s="34" t="n">
        <v>22.0</v>
      </c>
      <c r="M725" s="35" t="n">
        <v>13317.69</v>
      </c>
      <c r="N725" s="36" t="inlineStr">
        <is>
          <t>25 Ağustos 08.00-1 Eylül 07.59</t>
        </is>
      </c>
      <c r="O725" s="37" t="n">
        <v>14.0</v>
      </c>
      <c r="P725" s="38" t="n">
        <v>20239.52</v>
      </c>
      <c r="Q725" s="39"/>
      <c r="R725" s="40" t="n">
        <f>=IF(AND(ISBLANK(Q725), ISBLANK(U725)), "", "7 Günlük Fiyat")</f>
        <v>0.0</v>
      </c>
      <c r="S725" s="41" t="n">
        <f>=IF(OR(Q725="", R725=""), "-", IF(ISNUMBER(SEARCH("7 Günlük", R725)), IF(Q725&lt;=M725, O725, "-"), "-"))</f>
        <v>0.0</v>
      </c>
      <c r="T725" s="42" t="str">
        <f>=IF(ISBLANK(Q725), "", "Hayır")</f>
      </c>
      <c r="U725" s="43"/>
      <c r="V725" s="44" t="inlineStr">
        <is>
          <t>50461ed1-c2c8-4393-967e-55d58a3e2664</t>
        </is>
      </c>
    </row>
    <row r="726">
      <c r="A726" s="23" t="inlineStr">
        <is>
          <t>Toz Ve Nem Alıcı Yolluk Paspas Iş Yeri Paspası Iç Ve Dış Mekan Paspası Rampalı Toz Alıcı Paspas</t>
        </is>
      </c>
      <c r="B726" s="24" t="inlineStr">
        <is>
          <t>770010757</t>
        </is>
      </c>
      <c r="C726" s="25" t="inlineStr">
        <is>
          <t>TOZKONTROL-YP1-KIRMIZI-80150</t>
        </is>
      </c>
      <c r="D726" s="26" t="inlineStr">
        <is>
          <t>TOZKONTROL-YP1-KIRMIZI-80150</t>
        </is>
      </c>
      <c r="E726" s="27" t="inlineStr">
        <is>
          <t>80 x 150</t>
        </is>
      </c>
      <c r="F726" s="28" t="inlineStr">
        <is>
          <t>TOZKONTROL-YP1</t>
        </is>
      </c>
      <c r="G726" s="29" t="inlineStr">
        <is>
          <t>Kapı Önü Paspası</t>
        </is>
      </c>
      <c r="H726" s="30" t="inlineStr">
        <is>
          <t>Paspas Yap</t>
        </is>
      </c>
      <c r="I726" s="31" t="n">
        <v>93.0</v>
      </c>
      <c r="J726" s="32" t="n">
        <v>2759.0</v>
      </c>
      <c r="K726" s="33" t="n">
        <v>2428.38</v>
      </c>
      <c r="L726" s="34" t="n">
        <v>22.0</v>
      </c>
      <c r="M726" s="35" t="n">
        <v>1709.26</v>
      </c>
      <c r="N726" s="36" t="inlineStr">
        <is>
          <t>25 Ağustos 08.00-1 Eylül 07.59</t>
        </is>
      </c>
      <c r="O726" s="37" t="n">
        <v>14.9</v>
      </c>
      <c r="P726" s="38" t="n">
        <v>2428.38</v>
      </c>
      <c r="Q726" s="39"/>
      <c r="R726" s="40" t="n">
        <f>=IF(AND(ISBLANK(Q726), ISBLANK(U726)), "", "7 Günlük Fiyat")</f>
        <v>0.0</v>
      </c>
      <c r="S726" s="41" t="n">
        <f>=IF(OR(Q726="", R726=""), "-", IF(ISNUMBER(SEARCH("7 Günlük", R726)), IF(Q726&lt;=M726, O726, "-"), "-"))</f>
        <v>0.0</v>
      </c>
      <c r="T726" s="42" t="str">
        <f>=IF(ISBLANK(Q726), "", "Hayır")</f>
      </c>
      <c r="U726" s="43"/>
      <c r="V726" s="44" t="inlineStr">
        <is>
          <t>50461ed1-c2c8-4393-967e-55d58a3e2664</t>
        </is>
      </c>
    </row>
    <row r="727">
      <c r="A727" s="23" t="inlineStr">
        <is>
          <t>Toz Ve Nem Alıcı Yolluk Paspas Iş Yeri Paspası Iç Ve Dış Mekan Paspası Rampalı Toz Alıcı Paspas</t>
        </is>
      </c>
      <c r="B727" s="24" t="inlineStr">
        <is>
          <t>770010757</t>
        </is>
      </c>
      <c r="C727" s="25" t="inlineStr">
        <is>
          <t>TOZKONTROL-YP1-KIRMIZI-1201200</t>
        </is>
      </c>
      <c r="D727" s="26" t="inlineStr">
        <is>
          <t>TOZKONTROL-YP1-KIRMIZI-1201200</t>
        </is>
      </c>
      <c r="E727" s="27" t="inlineStr">
        <is>
          <t>120 x 1200</t>
        </is>
      </c>
      <c r="F727" s="28" t="inlineStr">
        <is>
          <t>TOZKONTROL-YP1</t>
        </is>
      </c>
      <c r="G727" s="29" t="inlineStr">
        <is>
          <t>Kapı Önü Paspası</t>
        </is>
      </c>
      <c r="H727" s="30" t="inlineStr">
        <is>
          <t>Paspas Yap</t>
        </is>
      </c>
      <c r="I727" s="31" t="n">
        <v>93.0</v>
      </c>
      <c r="J727" s="32" t="n">
        <v>25926.0</v>
      </c>
      <c r="K727" s="33" t="n">
        <v>21762.36</v>
      </c>
      <c r="L727" s="34" t="n">
        <v>22.0</v>
      </c>
      <c r="M727" s="35" t="n">
        <v>13846.81</v>
      </c>
      <c r="N727" s="36" t="inlineStr">
        <is>
          <t>25 Ağustos 08.00-1 Eylül 07.59</t>
        </is>
      </c>
      <c r="O727" s="37" t="n">
        <v>12.6</v>
      </c>
      <c r="P727" s="38" t="n">
        <v>21762.36</v>
      </c>
      <c r="Q727" s="39"/>
      <c r="R727" s="40" t="n">
        <f>=IF(AND(ISBLANK(Q727), ISBLANK(U727)), "", "7 Günlük Fiyat")</f>
        <v>0.0</v>
      </c>
      <c r="S727" s="41" t="n">
        <f>=IF(OR(Q727="", R727=""), "-", IF(ISNUMBER(SEARCH("7 Günlük", R727)), IF(Q727&lt;=M727, O727, "-"), "-"))</f>
        <v>0.0</v>
      </c>
      <c r="T727" s="42" t="str">
        <f>=IF(ISBLANK(Q727), "", "Hayır")</f>
      </c>
      <c r="U727" s="43"/>
      <c r="V727" s="44" t="inlineStr">
        <is>
          <t>50461ed1-c2c8-4393-967e-55d58a3e2664</t>
        </is>
      </c>
    </row>
    <row r="728">
      <c r="A728" s="23" t="inlineStr">
        <is>
          <t>Toz Ve Nem Alıcı Yolluk Paspas Iş Yeri Paspası Iç Ve Dış Mekan Paspası Rampalı Toz Alıcı Paspas</t>
        </is>
      </c>
      <c r="B728" s="24" t="inlineStr">
        <is>
          <t>770010757</t>
        </is>
      </c>
      <c r="C728" s="25" t="inlineStr">
        <is>
          <t>TOZKONTROL-YP1-KIRMIZI-120650</t>
        </is>
      </c>
      <c r="D728" s="26" t="inlineStr">
        <is>
          <t>TOZKONTROL-YP1-KIRMIZI-120650</t>
        </is>
      </c>
      <c r="E728" s="27" t="inlineStr">
        <is>
          <t>120 x 650</t>
        </is>
      </c>
      <c r="F728" s="28" t="inlineStr">
        <is>
          <t>TOZKONTROL-YP1</t>
        </is>
      </c>
      <c r="G728" s="29" t="inlineStr">
        <is>
          <t>Kapı Önü Paspası</t>
        </is>
      </c>
      <c r="H728" s="30" t="inlineStr">
        <is>
          <t>Paspas Yap</t>
        </is>
      </c>
      <c r="I728" s="31" t="n">
        <v>93.0</v>
      </c>
      <c r="J728" s="32" t="n">
        <v>12997.0</v>
      </c>
      <c r="K728" s="33" t="n">
        <v>12126.69</v>
      </c>
      <c r="L728" s="34" t="n">
        <v>22.0</v>
      </c>
      <c r="M728" s="35" t="n">
        <v>8590.44</v>
      </c>
      <c r="N728" s="36" t="inlineStr">
        <is>
          <t>25 Ağustos 08.00-1 Eylül 07.59</t>
        </is>
      </c>
      <c r="O728" s="37" t="n">
        <v>15.6</v>
      </c>
      <c r="P728" s="38" t="n">
        <v>12126.69</v>
      </c>
      <c r="Q728" s="39"/>
      <c r="R728" s="40" t="n">
        <f>=IF(AND(ISBLANK(Q728), ISBLANK(U728)), "", "7 Günlük Fiyat")</f>
        <v>0.0</v>
      </c>
      <c r="S728" s="41" t="n">
        <f>=IF(OR(Q728="", R728=""), "-", IF(ISNUMBER(SEARCH("7 Günlük", R728)), IF(Q728&lt;=M728, O728, "-"), "-"))</f>
        <v>0.0</v>
      </c>
      <c r="T728" s="42" t="str">
        <f>=IF(ISBLANK(Q728), "", "Hayır")</f>
      </c>
      <c r="U728" s="43"/>
      <c r="V728" s="44" t="inlineStr">
        <is>
          <t>50461ed1-c2c8-4393-967e-55d58a3e2664</t>
        </is>
      </c>
    </row>
    <row r="729">
      <c r="A729" s="23" t="inlineStr">
        <is>
          <t>Toz Ve Nem Alıcı Yolluk Paspas Iş Yeri Paspası Iç Ve Dış Mekan Paspası Rampalı Toz Alıcı Paspas</t>
        </is>
      </c>
      <c r="B729" s="24" t="inlineStr">
        <is>
          <t>770010757</t>
        </is>
      </c>
      <c r="C729" s="25" t="inlineStr">
        <is>
          <t>TOZKONTROL-YP1-KIRMIZI-120x1450</t>
        </is>
      </c>
      <c r="D729" s="26" t="inlineStr">
        <is>
          <t>TOZKONTROL-YP1-KIRMIZI-120x1450</t>
        </is>
      </c>
      <c r="E729" s="27" t="inlineStr">
        <is>
          <t>120 x 1450</t>
        </is>
      </c>
      <c r="F729" s="28" t="inlineStr">
        <is>
          <t>TOZKONTROL-YP1</t>
        </is>
      </c>
      <c r="G729" s="29" t="inlineStr">
        <is>
          <t>Kapı Önü Paspası</t>
        </is>
      </c>
      <c r="H729" s="30" t="inlineStr">
        <is>
          <t>Paspas Yap</t>
        </is>
      </c>
      <c r="I729" s="31" t="n">
        <v>93.0</v>
      </c>
      <c r="J729" s="32" t="n">
        <v>30370.0</v>
      </c>
      <c r="K729" s="33" t="n">
        <v>23426.16</v>
      </c>
      <c r="L729" s="34" t="n">
        <v>22.0</v>
      </c>
      <c r="M729" s="35" t="n">
        <v>14635.54</v>
      </c>
      <c r="N729" s="36" t="inlineStr">
        <is>
          <t>25 Ağustos 08.00-1 Eylül 07.59</t>
        </is>
      </c>
      <c r="O729" s="37" t="n">
        <v>11.5</v>
      </c>
      <c r="P729" s="38" t="n">
        <v>23426.16</v>
      </c>
      <c r="Q729" s="39"/>
      <c r="R729" s="40" t="n">
        <f>=IF(AND(ISBLANK(Q729), ISBLANK(U729)), "", "7 Günlük Fiyat")</f>
        <v>0.0</v>
      </c>
      <c r="S729" s="41" t="n">
        <f>=IF(OR(Q729="", R729=""), "-", IF(ISNUMBER(SEARCH("7 Günlük", R729)), IF(Q729&lt;=M729, O729, "-"), "-"))</f>
        <v>0.0</v>
      </c>
      <c r="T729" s="42" t="str">
        <f>=IF(ISBLANK(Q729), "", "Hayır")</f>
      </c>
      <c r="U729" s="43"/>
      <c r="V729" s="44" t="inlineStr">
        <is>
          <t>50461ed1-c2c8-4393-967e-55d58a3e2664</t>
        </is>
      </c>
    </row>
    <row r="730">
      <c r="A730" s="23" t="inlineStr">
        <is>
          <t>Toz Ve Nem Alıcı Yolluk Paspas Iş Yeri Paspası Iç Ve Dış Mekan Paspası Rampalı Toz Alıcı Paspas</t>
        </is>
      </c>
      <c r="B730" s="24" t="inlineStr">
        <is>
          <t>770010757</t>
        </is>
      </c>
      <c r="C730" s="25" t="inlineStr">
        <is>
          <t>TOZKONTROL-YP1-KIRMIZI-80x1350</t>
        </is>
      </c>
      <c r="D730" s="26" t="inlineStr">
        <is>
          <t>TOZKONTROL-YP1-KIRMIZI-80x1350</t>
        </is>
      </c>
      <c r="E730" s="27" t="inlineStr">
        <is>
          <t>80 x 1350</t>
        </is>
      </c>
      <c r="F730" s="28" t="inlineStr">
        <is>
          <t>TOZKONTROL-YP1</t>
        </is>
      </c>
      <c r="G730" s="29" t="inlineStr">
        <is>
          <t>Kapı Önü Paspası</t>
        </is>
      </c>
      <c r="H730" s="30" t="inlineStr">
        <is>
          <t>Paspas Yap</t>
        </is>
      </c>
      <c r="I730" s="31" t="n">
        <v>93.0</v>
      </c>
      <c r="J730" s="32" t="n">
        <v>20833.0</v>
      </c>
      <c r="K730" s="33" t="n">
        <v>19102.95</v>
      </c>
      <c r="L730" s="34" t="n">
        <v>22.0</v>
      </c>
      <c r="M730" s="35" t="n">
        <v>12486.31</v>
      </c>
      <c r="N730" s="36" t="inlineStr">
        <is>
          <t>25 Ağustos 08.00-1 Eylül 07.59</t>
        </is>
      </c>
      <c r="O730" s="37" t="n">
        <v>13.9</v>
      </c>
      <c r="P730" s="38" t="n">
        <v>19102.95</v>
      </c>
      <c r="Q730" s="39"/>
      <c r="R730" s="40" t="n">
        <f>=IF(AND(ISBLANK(Q730), ISBLANK(U730)), "", "7 Günlük Fiyat")</f>
        <v>0.0</v>
      </c>
      <c r="S730" s="41" t="n">
        <f>=IF(OR(Q730="", R730=""), "-", IF(ISNUMBER(SEARCH("7 Günlük", R730)), IF(Q730&lt;=M730, O730, "-"), "-"))</f>
        <v>0.0</v>
      </c>
      <c r="T730" s="42" t="str">
        <f>=IF(ISBLANK(Q730), "", "Hayır")</f>
      </c>
      <c r="U730" s="43"/>
      <c r="V730" s="44" t="inlineStr">
        <is>
          <t>50461ed1-c2c8-4393-967e-55d58a3e2664</t>
        </is>
      </c>
    </row>
    <row r="731">
      <c r="A731" s="23" t="inlineStr">
        <is>
          <t>Toz Ve Nem Alıcı Yolluk Paspas Iş Yeri Paspası Iç Ve Dış Mekan Paspası Rampalı Toz Alıcı Paspas</t>
        </is>
      </c>
      <c r="B731" s="24" t="inlineStr">
        <is>
          <t>770010757</t>
        </is>
      </c>
      <c r="C731" s="25" t="inlineStr">
        <is>
          <t>TOZKONTROL-YP1-KIRMIZI-120500</t>
        </is>
      </c>
      <c r="D731" s="26" t="inlineStr">
        <is>
          <t>TOZKONTROL-YP1-KIRMIZI-120500</t>
        </is>
      </c>
      <c r="E731" s="27" t="inlineStr">
        <is>
          <t>120 x 500</t>
        </is>
      </c>
      <c r="F731" s="28" t="inlineStr">
        <is>
          <t>TOZKONTROL-YP1</t>
        </is>
      </c>
      <c r="G731" s="29" t="inlineStr">
        <is>
          <t>Kapı Önü Paspası</t>
        </is>
      </c>
      <c r="H731" s="30" t="inlineStr">
        <is>
          <t>Paspas Yap</t>
        </is>
      </c>
      <c r="I731" s="31" t="n">
        <v>93.0</v>
      </c>
      <c r="J731" s="32" t="n">
        <v>10655.0</v>
      </c>
      <c r="K731" s="33" t="n">
        <v>9498.94</v>
      </c>
      <c r="L731" s="34" t="n">
        <v>22.0</v>
      </c>
      <c r="M731" s="35" t="n">
        <v>6482.91</v>
      </c>
      <c r="N731" s="36" t="inlineStr">
        <is>
          <t>25 Ağustos 08.00-1 Eylül 07.59</t>
        </is>
      </c>
      <c r="O731" s="37" t="n">
        <v>14.3</v>
      </c>
      <c r="P731" s="38" t="n">
        <v>9498.94</v>
      </c>
      <c r="Q731" s="39"/>
      <c r="R731" s="40" t="n">
        <f>=IF(AND(ISBLANK(Q731), ISBLANK(U731)), "", "7 Günlük Fiyat")</f>
        <v>0.0</v>
      </c>
      <c r="S731" s="41" t="n">
        <f>=IF(OR(Q731="", R731=""), "-", IF(ISNUMBER(SEARCH("7 Günlük", R731)), IF(Q731&lt;=M731, O731, "-"), "-"))</f>
        <v>0.0</v>
      </c>
      <c r="T731" s="42" t="str">
        <f>=IF(ISBLANK(Q731), "", "Hayır")</f>
      </c>
      <c r="U731" s="43"/>
      <c r="V731" s="44" t="inlineStr">
        <is>
          <t>50461ed1-c2c8-4393-967e-55d58a3e2664</t>
        </is>
      </c>
    </row>
    <row r="732">
      <c r="A732" s="23" t="inlineStr">
        <is>
          <t>Toz Ve Nem Alıcı Yolluk Paspas Iş Yeri Paspası Iç Ve Dış Mekan Paspası Rampalı Toz Alıcı Paspas</t>
        </is>
      </c>
      <c r="B732" s="24" t="inlineStr">
        <is>
          <t>770010757</t>
        </is>
      </c>
      <c r="C732" s="25" t="inlineStr">
        <is>
          <t>TOZKONTROL-YP1-KIRMIZI-50100</t>
        </is>
      </c>
      <c r="D732" s="26" t="inlineStr">
        <is>
          <t>TOZKONTROL-YP1-KIRMIZI-50100</t>
        </is>
      </c>
      <c r="E732" s="27" t="inlineStr">
        <is>
          <t>50 x 100</t>
        </is>
      </c>
      <c r="F732" s="28" t="inlineStr">
        <is>
          <t>TOZKONTROL-YP1</t>
        </is>
      </c>
      <c r="G732" s="29" t="inlineStr">
        <is>
          <t>Kapı Önü Paspası</t>
        </is>
      </c>
      <c r="H732" s="30" t="inlineStr">
        <is>
          <t>Paspas Yap</t>
        </is>
      </c>
      <c r="I732" s="31" t="n">
        <v>93.0</v>
      </c>
      <c r="J732" s="32" t="n">
        <v>1264.0</v>
      </c>
      <c r="K732" s="33" t="n">
        <v>1088.85</v>
      </c>
      <c r="L732" s="34" t="n">
        <v>22.0</v>
      </c>
      <c r="M732" s="35" t="n">
        <v>803.51</v>
      </c>
      <c r="N732" s="36" t="inlineStr">
        <is>
          <t>25 Ağustos 08.00-1 Eylül 07.59</t>
        </is>
      </c>
      <c r="O732" s="37" t="n">
        <v>15.7</v>
      </c>
      <c r="P732" s="38" t="n">
        <v>1088.85</v>
      </c>
      <c r="Q732" s="39"/>
      <c r="R732" s="40" t="n">
        <f>=IF(AND(ISBLANK(Q732), ISBLANK(U732)), "", "7 Günlük Fiyat")</f>
        <v>0.0</v>
      </c>
      <c r="S732" s="41" t="n">
        <f>=IF(OR(Q732="", R732=""), "-", IF(ISNUMBER(SEARCH("7 Günlük", R732)), IF(Q732&lt;=M732, O732, "-"), "-"))</f>
        <v>0.0</v>
      </c>
      <c r="T732" s="42" t="str">
        <f>=IF(ISBLANK(Q732), "", "Hayır")</f>
      </c>
      <c r="U732" s="43"/>
      <c r="V732" s="44" t="inlineStr">
        <is>
          <t>50461ed1-c2c8-4393-967e-55d58a3e2664</t>
        </is>
      </c>
    </row>
    <row r="733">
      <c r="A733" s="23" t="inlineStr">
        <is>
          <t>Toz Ve Nem Alıcı Yolluk Paspas Iş Yeri Paspası Iç Ve Dış Mekan Paspası Rampalı Toz Alıcı Paspas</t>
        </is>
      </c>
      <c r="B733" s="24" t="inlineStr">
        <is>
          <t>770010757</t>
        </is>
      </c>
      <c r="C733" s="25" t="inlineStr">
        <is>
          <t>TOZKONTROL-YP1-KIRMIZI-100950</t>
        </is>
      </c>
      <c r="D733" s="26" t="inlineStr">
        <is>
          <t>TOZKONTROL-YP1-KIRMIZI-100950</t>
        </is>
      </c>
      <c r="E733" s="27" t="inlineStr">
        <is>
          <t>100 x 950</t>
        </is>
      </c>
      <c r="F733" s="28" t="inlineStr">
        <is>
          <t>TOZKONTROL-YP1</t>
        </is>
      </c>
      <c r="G733" s="29" t="inlineStr">
        <is>
          <t>Kapı Önü Paspası</t>
        </is>
      </c>
      <c r="H733" s="30" t="inlineStr">
        <is>
          <t>Paspas Yap</t>
        </is>
      </c>
      <c r="I733" s="31" t="n">
        <v>93.0</v>
      </c>
      <c r="J733" s="32" t="n">
        <v>15908.0</v>
      </c>
      <c r="K733" s="33" t="n">
        <v>14744.31</v>
      </c>
      <c r="L733" s="34" t="n">
        <v>22.0</v>
      </c>
      <c r="M733" s="35" t="n">
        <v>10278.33</v>
      </c>
      <c r="N733" s="36" t="inlineStr">
        <is>
          <t>25 Ağustos 08.00-1 Eylül 07.59</t>
        </is>
      </c>
      <c r="O733" s="37" t="n">
        <v>15.2</v>
      </c>
      <c r="P733" s="38" t="n">
        <v>14744.31</v>
      </c>
      <c r="Q733" s="39"/>
      <c r="R733" s="40" t="n">
        <f>=IF(AND(ISBLANK(Q733), ISBLANK(U733)), "", "7 Günlük Fiyat")</f>
        <v>0.0</v>
      </c>
      <c r="S733" s="41" t="n">
        <f>=IF(OR(Q733="", R733=""), "-", IF(ISNUMBER(SEARCH("7 Günlük", R733)), IF(Q733&lt;=M733, O733, "-"), "-"))</f>
        <v>0.0</v>
      </c>
      <c r="T733" s="42" t="str">
        <f>=IF(ISBLANK(Q733), "", "Hayır")</f>
      </c>
      <c r="U733" s="43"/>
      <c r="V733" s="44" t="inlineStr">
        <is>
          <t>50461ed1-c2c8-4393-967e-55d58a3e2664</t>
        </is>
      </c>
    </row>
    <row r="734">
      <c r="A734" s="23" t="inlineStr">
        <is>
          <t>Toz Ve Nem Alıcı Yolluk Paspas Iş Yeri Paspası Iç Ve Dış Mekan Paspası Rampalı Toz Alıcı Paspas</t>
        </is>
      </c>
      <c r="B734" s="24" t="inlineStr">
        <is>
          <t>770010757</t>
        </is>
      </c>
      <c r="C734" s="25" t="inlineStr">
        <is>
          <t>TOZKONTROL-YP1-KIRMIZI-120200</t>
        </is>
      </c>
      <c r="D734" s="26" t="inlineStr">
        <is>
          <t>TOZKONTROL-YP1-KIRMIZI-120200</t>
        </is>
      </c>
      <c r="E734" s="27" t="inlineStr">
        <is>
          <t>120 x 200</t>
        </is>
      </c>
      <c r="F734" s="28" t="inlineStr">
        <is>
          <t>TOZKONTROL-YP1</t>
        </is>
      </c>
      <c r="G734" s="29" t="inlineStr">
        <is>
          <t>Kapı Önü Paspası</t>
        </is>
      </c>
      <c r="H734" s="30" t="inlineStr">
        <is>
          <t>Paspas Yap</t>
        </is>
      </c>
      <c r="I734" s="31" t="n">
        <v>93.0</v>
      </c>
      <c r="J734" s="32" t="n">
        <v>4496.0</v>
      </c>
      <c r="K734" s="33" t="n">
        <v>3825.94</v>
      </c>
      <c r="L734" s="34" t="n">
        <v>22.0</v>
      </c>
      <c r="M734" s="35" t="n">
        <v>2671.67</v>
      </c>
      <c r="N734" s="36" t="inlineStr">
        <is>
          <t>25 Ağustos 08.00-1 Eylül 07.59</t>
        </is>
      </c>
      <c r="O734" s="37" t="n">
        <v>14.2</v>
      </c>
      <c r="P734" s="38" t="n">
        <v>3825.94</v>
      </c>
      <c r="Q734" s="39"/>
      <c r="R734" s="40" t="n">
        <f>=IF(AND(ISBLANK(Q734), ISBLANK(U734)), "", "7 Günlük Fiyat")</f>
        <v>0.0</v>
      </c>
      <c r="S734" s="41" t="n">
        <f>=IF(OR(Q734="", R734=""), "-", IF(ISNUMBER(SEARCH("7 Günlük", R734)), IF(Q734&lt;=M734, O734, "-"), "-"))</f>
        <v>0.0</v>
      </c>
      <c r="T734" s="42" t="str">
        <f>=IF(ISBLANK(Q734), "", "Hayır")</f>
      </c>
      <c r="U734" s="43"/>
      <c r="V734" s="44" t="inlineStr">
        <is>
          <t>50461ed1-c2c8-4393-967e-55d58a3e2664</t>
        </is>
      </c>
    </row>
    <row r="735">
      <c r="A735" s="23" t="inlineStr">
        <is>
          <t>Toz Ve Nem Alıcı Yolluk Paspas Iş Yeri Paspası Iç Ve Dış Mekan Paspası Rampalı Toz Alıcı Paspas</t>
        </is>
      </c>
      <c r="B735" s="24" t="inlineStr">
        <is>
          <t>770010757</t>
        </is>
      </c>
      <c r="C735" s="25" t="inlineStr">
        <is>
          <t>TOZKONTROL-YP1-KIRMIZI-100x1000</t>
        </is>
      </c>
      <c r="D735" s="26" t="inlineStr">
        <is>
          <t>TOZKONTROL-YP1-KIRMIZI-100x1000</t>
        </is>
      </c>
      <c r="E735" s="27" t="inlineStr">
        <is>
          <t>100 x 1000</t>
        </is>
      </c>
      <c r="F735" s="28" t="inlineStr">
        <is>
          <t>TOZKONTROL-YP1</t>
        </is>
      </c>
      <c r="G735" s="29" t="inlineStr">
        <is>
          <t>Kapı Önü Paspası</t>
        </is>
      </c>
      <c r="H735" s="30" t="inlineStr">
        <is>
          <t>Paspas Yap</t>
        </is>
      </c>
      <c r="I735" s="31" t="n">
        <v>93.0</v>
      </c>
      <c r="J735" s="32" t="n">
        <v>16738.0</v>
      </c>
      <c r="K735" s="33" t="n">
        <v>14144.77</v>
      </c>
      <c r="L735" s="34" t="n">
        <v>22.0</v>
      </c>
      <c r="M735" s="35" t="n">
        <v>9500.2</v>
      </c>
      <c r="N735" s="36" t="inlineStr">
        <is>
          <t>25 Ağustos 08.00-1 Eylül 07.59</t>
        </is>
      </c>
      <c r="O735" s="37" t="n">
        <v>13.8</v>
      </c>
      <c r="P735" s="38" t="n">
        <v>14144.77</v>
      </c>
      <c r="Q735" s="39"/>
      <c r="R735" s="40" t="n">
        <f>=IF(AND(ISBLANK(Q735), ISBLANK(U735)), "", "7 Günlük Fiyat")</f>
        <v>0.0</v>
      </c>
      <c r="S735" s="41" t="n">
        <f>=IF(OR(Q735="", R735=""), "-", IF(ISNUMBER(SEARCH("7 Günlük", R735)), IF(Q735&lt;=M735, O735, "-"), "-"))</f>
        <v>0.0</v>
      </c>
      <c r="T735" s="42" t="str">
        <f>=IF(ISBLANK(Q735), "", "Hayır")</f>
      </c>
      <c r="U735" s="43"/>
      <c r="V735" s="44" t="inlineStr">
        <is>
          <t>50461ed1-c2c8-4393-967e-55d58a3e2664</t>
        </is>
      </c>
    </row>
    <row r="736">
      <c r="A736" s="23" t="inlineStr">
        <is>
          <t>Toz Ve Nem Alıcı Yolluk Paspas Iş Yeri Paspası Iç Ve Dış Mekan Paspası Rampalı Toz Alıcı Paspas</t>
        </is>
      </c>
      <c r="B736" s="24" t="inlineStr">
        <is>
          <t>770010757</t>
        </is>
      </c>
      <c r="C736" s="25" t="inlineStr">
        <is>
          <t>TOZKONTROL-YP1-KIRMIZI-100150</t>
        </is>
      </c>
      <c r="D736" s="26" t="inlineStr">
        <is>
          <t>TOZKONTROL-YP1-KIRMIZI-100150</t>
        </is>
      </c>
      <c r="E736" s="27" t="inlineStr">
        <is>
          <t>100 x 150</t>
        </is>
      </c>
      <c r="F736" s="28" t="inlineStr">
        <is>
          <t>TOZKONTROL-YP1</t>
        </is>
      </c>
      <c r="G736" s="29" t="inlineStr">
        <is>
          <t>Kapı Önü Paspası</t>
        </is>
      </c>
      <c r="H736" s="30" t="inlineStr">
        <is>
          <t>Paspas Yap</t>
        </is>
      </c>
      <c r="I736" s="31" t="n">
        <v>93.0</v>
      </c>
      <c r="J736" s="32" t="n">
        <v>2980.0</v>
      </c>
      <c r="K736" s="33" t="n">
        <v>2691.51</v>
      </c>
      <c r="L736" s="34" t="n">
        <v>22.0</v>
      </c>
      <c r="M736" s="35" t="n">
        <v>2029.52</v>
      </c>
      <c r="N736" s="36" t="inlineStr">
        <is>
          <t>25 Ağustos 08.00-1 Eylül 07.59</t>
        </is>
      </c>
      <c r="O736" s="37" t="n">
        <v>16.2</v>
      </c>
      <c r="P736" s="38" t="n">
        <v>2691.51</v>
      </c>
      <c r="Q736" s="39"/>
      <c r="R736" s="40" t="n">
        <f>=IF(AND(ISBLANK(Q736), ISBLANK(U736)), "", "7 Günlük Fiyat")</f>
        <v>0.0</v>
      </c>
      <c r="S736" s="41" t="n">
        <f>=IF(OR(Q736="", R736=""), "-", IF(ISNUMBER(SEARCH("7 Günlük", R736)), IF(Q736&lt;=M736, O736, "-"), "-"))</f>
        <v>0.0</v>
      </c>
      <c r="T736" s="42" t="str">
        <f>=IF(ISBLANK(Q736), "", "Hayır")</f>
      </c>
      <c r="U736" s="43"/>
      <c r="V736" s="44" t="inlineStr">
        <is>
          <t>50461ed1-c2c8-4393-967e-55d58a3e2664</t>
        </is>
      </c>
    </row>
    <row r="737">
      <c r="A737" s="23" t="inlineStr">
        <is>
          <t>Toz Ve Nem Alıcı Yolluk Paspas Iş Yeri Paspası Iç Ve Dış Mekan Paspası Rampalı Toz Alıcı Paspas</t>
        </is>
      </c>
      <c r="B737" s="24" t="inlineStr">
        <is>
          <t>770010757</t>
        </is>
      </c>
      <c r="C737" s="25" t="inlineStr">
        <is>
          <t>TOZKONTROL-YP1-KIRMIZI-80500</t>
        </is>
      </c>
      <c r="D737" s="26" t="inlineStr">
        <is>
          <t>TOZKONTROL-YP1-KIRMIZI-80500</t>
        </is>
      </c>
      <c r="E737" s="27" t="inlineStr">
        <is>
          <t>80 x 500</t>
        </is>
      </c>
      <c r="F737" s="28" t="inlineStr">
        <is>
          <t>TOZKONTROL-YP1</t>
        </is>
      </c>
      <c r="G737" s="29" t="inlineStr">
        <is>
          <t>Kapı Önü Paspası</t>
        </is>
      </c>
      <c r="H737" s="30" t="inlineStr">
        <is>
          <t>Paspas Yap</t>
        </is>
      </c>
      <c r="I737" s="31" t="n">
        <v>93.0</v>
      </c>
      <c r="J737" s="32" t="n">
        <v>7139.0</v>
      </c>
      <c r="K737" s="33" t="n">
        <v>6552.18</v>
      </c>
      <c r="L737" s="34" t="n">
        <v>22.0</v>
      </c>
      <c r="M737" s="35" t="n">
        <v>4581.5</v>
      </c>
      <c r="N737" s="36" t="inlineStr">
        <is>
          <t>25 Ağustos 08.00-1 Eylül 07.59</t>
        </is>
      </c>
      <c r="O737" s="37" t="n">
        <v>15.1</v>
      </c>
      <c r="P737" s="38" t="n">
        <v>6552.18</v>
      </c>
      <c r="Q737" s="39"/>
      <c r="R737" s="40" t="n">
        <f>=IF(AND(ISBLANK(Q737), ISBLANK(U737)), "", "7 Günlük Fiyat")</f>
        <v>0.0</v>
      </c>
      <c r="S737" s="41" t="n">
        <f>=IF(OR(Q737="", R737=""), "-", IF(ISNUMBER(SEARCH("7 Günlük", R737)), IF(Q737&lt;=M737, O737, "-"), "-"))</f>
        <v>0.0</v>
      </c>
      <c r="T737" s="42" t="str">
        <f>=IF(ISBLANK(Q737), "", "Hayır")</f>
      </c>
      <c r="U737" s="43"/>
      <c r="V737" s="44" t="inlineStr">
        <is>
          <t>50461ed1-c2c8-4393-967e-55d58a3e2664</t>
        </is>
      </c>
    </row>
    <row r="738">
      <c r="A738" s="23" t="inlineStr">
        <is>
          <t>Toz Ve Nem Alıcı Yolluk Paspas Iş Yeri Paspası Iç Ve Dış Mekan Paspası Rampalı Toz Alıcı Paspas</t>
        </is>
      </c>
      <c r="B738" s="24" t="inlineStr">
        <is>
          <t>770010757</t>
        </is>
      </c>
      <c r="C738" s="25" t="inlineStr">
        <is>
          <t>TOZKONTROL-YP1-KIRMIZI-120x1350</t>
        </is>
      </c>
      <c r="D738" s="26" t="inlineStr">
        <is>
          <t>TOZKONTROL-YP1-KIRMIZI-120x1350</t>
        </is>
      </c>
      <c r="E738" s="27" t="inlineStr">
        <is>
          <t>120 x 1350</t>
        </is>
      </c>
      <c r="F738" s="28" t="inlineStr">
        <is>
          <t>TOZKONTROL-YP1</t>
        </is>
      </c>
      <c r="G738" s="29" t="inlineStr">
        <is>
          <t>Kapı Önü Paspası</t>
        </is>
      </c>
      <c r="H738" s="30" t="inlineStr">
        <is>
          <t>Paspas Yap</t>
        </is>
      </c>
      <c r="I738" s="31" t="n">
        <v>93.0</v>
      </c>
      <c r="J738" s="32" t="n">
        <v>28572.0</v>
      </c>
      <c r="K738" s="33" t="n">
        <v>23857.43</v>
      </c>
      <c r="L738" s="34" t="n">
        <v>22.0</v>
      </c>
      <c r="M738" s="35" t="n">
        <v>14981.57</v>
      </c>
      <c r="N738" s="36" t="inlineStr">
        <is>
          <t>25 Ağustos 08.00-1 Eylül 07.59</t>
        </is>
      </c>
      <c r="O738" s="37" t="n">
        <v>12.3</v>
      </c>
      <c r="P738" s="38" t="n">
        <v>23857.43</v>
      </c>
      <c r="Q738" s="39"/>
      <c r="R738" s="40" t="n">
        <f>=IF(AND(ISBLANK(Q738), ISBLANK(U738)), "", "7 Günlük Fiyat")</f>
        <v>0.0</v>
      </c>
      <c r="S738" s="41" t="n">
        <f>=IF(OR(Q738="", R738=""), "-", IF(ISNUMBER(SEARCH("7 Günlük", R738)), IF(Q738&lt;=M738, O738, "-"), "-"))</f>
        <v>0.0</v>
      </c>
      <c r="T738" s="42" t="str">
        <f>=IF(ISBLANK(Q738), "", "Hayır")</f>
      </c>
      <c r="U738" s="43"/>
      <c r="V738" s="44" t="inlineStr">
        <is>
          <t>50461ed1-c2c8-4393-967e-55d58a3e2664</t>
        </is>
      </c>
    </row>
    <row r="739">
      <c r="A739" s="23" t="inlineStr">
        <is>
          <t>Toz Ve Nem Alıcı Yolluk Paspas Iş Yeri Paspası Iç Ve Dış Mekan Paspası Rampalı Toz Alıcı Paspas</t>
        </is>
      </c>
      <c r="B739" s="24" t="inlineStr">
        <is>
          <t>770010757</t>
        </is>
      </c>
      <c r="C739" s="25" t="inlineStr">
        <is>
          <t>TOZKONTROL-YP1-KIRMIZI-1001300</t>
        </is>
      </c>
      <c r="D739" s="26" t="inlineStr">
        <is>
          <t>TOZKONTROL-YP1-KIRMIZI-1001300</t>
        </is>
      </c>
      <c r="E739" s="27" t="inlineStr">
        <is>
          <t>100 x 1300</t>
        </is>
      </c>
      <c r="F739" s="28" t="inlineStr">
        <is>
          <t>TOZKONTROL-YP1</t>
        </is>
      </c>
      <c r="G739" s="29" t="inlineStr">
        <is>
          <t>Kapı Önü Paspası</t>
        </is>
      </c>
      <c r="H739" s="30" t="inlineStr">
        <is>
          <t>Paspas Yap</t>
        </is>
      </c>
      <c r="I739" s="31" t="n">
        <v>93.0</v>
      </c>
      <c r="J739" s="32" t="n">
        <v>23914.0</v>
      </c>
      <c r="K739" s="33" t="n">
        <v>22042.22</v>
      </c>
      <c r="L739" s="34" t="n">
        <v>22.0</v>
      </c>
      <c r="M739" s="35" t="n">
        <v>14674.9</v>
      </c>
      <c r="N739" s="36" t="inlineStr">
        <is>
          <t>25 Ağustos 08.00-1 Eylül 07.59</t>
        </is>
      </c>
      <c r="O739" s="37" t="n">
        <v>14.3</v>
      </c>
      <c r="P739" s="38" t="n">
        <v>22042.22</v>
      </c>
      <c r="Q739" s="39"/>
      <c r="R739" s="40" t="n">
        <f>=IF(AND(ISBLANK(Q739), ISBLANK(U739)), "", "7 Günlük Fiyat")</f>
        <v>0.0</v>
      </c>
      <c r="S739" s="41" t="n">
        <f>=IF(OR(Q739="", R739=""), "-", IF(ISNUMBER(SEARCH("7 Günlük", R739)), IF(Q739&lt;=M739, O739, "-"), "-"))</f>
        <v>0.0</v>
      </c>
      <c r="T739" s="42" t="str">
        <f>=IF(ISBLANK(Q739), "", "Hayır")</f>
      </c>
      <c r="U739" s="43"/>
      <c r="V739" s="44" t="inlineStr">
        <is>
          <t>50461ed1-c2c8-4393-967e-55d58a3e2664</t>
        </is>
      </c>
    </row>
    <row r="740">
      <c r="A740" s="23" t="inlineStr">
        <is>
          <t>Toz Ve Nem Alıcı Yolluk Paspas Iş Yeri Paspası Iç Ve Dış Mekan Paspası Rampalı Toz Alıcı Paspas</t>
        </is>
      </c>
      <c r="B740" s="24" t="inlineStr">
        <is>
          <t>770010757</t>
        </is>
      </c>
      <c r="C740" s="25" t="inlineStr">
        <is>
          <t>TOZKONTROL-YP1-KIRMIZI-120350</t>
        </is>
      </c>
      <c r="D740" s="26" t="inlineStr">
        <is>
          <t>TOZKONTROL-YP1-KIRMIZI-120350</t>
        </is>
      </c>
      <c r="E740" s="27" t="inlineStr">
        <is>
          <t>120 x 350</t>
        </is>
      </c>
      <c r="F740" s="28" t="inlineStr">
        <is>
          <t>TOZKONTROL-YP1</t>
        </is>
      </c>
      <c r="G740" s="29" t="inlineStr">
        <is>
          <t>Kapı Önü Paspası</t>
        </is>
      </c>
      <c r="H740" s="30" t="inlineStr">
        <is>
          <t>Paspas Yap</t>
        </is>
      </c>
      <c r="I740" s="31" t="n">
        <v>93.0</v>
      </c>
      <c r="J740" s="32" t="n">
        <v>7217.0</v>
      </c>
      <c r="K740" s="33" t="n">
        <v>6446.35</v>
      </c>
      <c r="L740" s="34" t="n">
        <v>22.0</v>
      </c>
      <c r="M740" s="35" t="n">
        <v>4480.17</v>
      </c>
      <c r="N740" s="36" t="inlineStr">
        <is>
          <t>25 Ağustos 08.00-1 Eylül 07.59</t>
        </is>
      </c>
      <c r="O740" s="37" t="n">
        <v>14.7</v>
      </c>
      <c r="P740" s="38" t="n">
        <v>6446.35</v>
      </c>
      <c r="Q740" s="39"/>
      <c r="R740" s="40" t="n">
        <f>=IF(AND(ISBLANK(Q740), ISBLANK(U740)), "", "7 Günlük Fiyat")</f>
        <v>0.0</v>
      </c>
      <c r="S740" s="41" t="n">
        <f>=IF(OR(Q740="", R740=""), "-", IF(ISNUMBER(SEARCH("7 Günlük", R740)), IF(Q740&lt;=M740, O740, "-"), "-"))</f>
        <v>0.0</v>
      </c>
      <c r="T740" s="42" t="str">
        <f>=IF(ISBLANK(Q740), "", "Hayır")</f>
      </c>
      <c r="U740" s="43"/>
      <c r="V740" s="44" t="inlineStr">
        <is>
          <t>50461ed1-c2c8-4393-967e-55d58a3e2664</t>
        </is>
      </c>
    </row>
    <row r="741">
      <c r="A741" s="23" t="inlineStr">
        <is>
          <t>Toz Ve Nem Alıcı Yolluk Paspas Iş Yeri Paspası Iç Ve Dış Mekan Paspası Rampalı Toz Alıcı Paspas</t>
        </is>
      </c>
      <c r="B741" s="24" t="inlineStr">
        <is>
          <t>770010757</t>
        </is>
      </c>
      <c r="C741" s="25" t="inlineStr">
        <is>
          <t>TOZKONTROL-YP1-KIRMIZI-1201100</t>
        </is>
      </c>
      <c r="D741" s="26" t="inlineStr">
        <is>
          <t>TOZKONTROL-YP1-KIRMIZI-1201100</t>
        </is>
      </c>
      <c r="E741" s="27" t="inlineStr">
        <is>
          <t>120 x 1100</t>
        </is>
      </c>
      <c r="F741" s="28" t="inlineStr">
        <is>
          <t>TOZKONTROL-YP1</t>
        </is>
      </c>
      <c r="G741" s="29" t="inlineStr">
        <is>
          <t>Kapı Önü Paspası</t>
        </is>
      </c>
      <c r="H741" s="30" t="inlineStr">
        <is>
          <t>Paspas Yap</t>
        </is>
      </c>
      <c r="I741" s="31" t="n">
        <v>93.0</v>
      </c>
      <c r="J741" s="32" t="n">
        <v>24129.0</v>
      </c>
      <c r="K741" s="33" t="n">
        <v>20381.38</v>
      </c>
      <c r="L741" s="34" t="n">
        <v>22.0</v>
      </c>
      <c r="M741" s="35" t="n">
        <v>12974.01</v>
      </c>
      <c r="N741" s="36" t="inlineStr">
        <is>
          <t>25 Ağustos 08.00-1 Eylül 07.59</t>
        </is>
      </c>
      <c r="O741" s="37" t="n">
        <v>12.6</v>
      </c>
      <c r="P741" s="38" t="n">
        <v>20381.38</v>
      </c>
      <c r="Q741" s="39"/>
      <c r="R741" s="40" t="n">
        <f>=IF(AND(ISBLANK(Q741), ISBLANK(U741)), "", "7 Günlük Fiyat")</f>
        <v>0.0</v>
      </c>
      <c r="S741" s="41" t="n">
        <f>=IF(OR(Q741="", R741=""), "-", IF(ISNUMBER(SEARCH("7 Günlük", R741)), IF(Q741&lt;=M741, O741, "-"), "-"))</f>
        <v>0.0</v>
      </c>
      <c r="T741" s="42" t="str">
        <f>=IF(ISBLANK(Q741), "", "Hayır")</f>
      </c>
      <c r="U741" s="43"/>
      <c r="V741" s="44" t="inlineStr">
        <is>
          <t>50461ed1-c2c8-4393-967e-55d58a3e2664</t>
        </is>
      </c>
    </row>
    <row r="742">
      <c r="A742" s="23" t="inlineStr">
        <is>
          <t>Toz Ve Nem Alıcı Yolluk Paspas Iş Yeri Paspası Iç Ve Dış Mekan Paspası Rampalı Toz Alıcı Paspas</t>
        </is>
      </c>
      <c r="B742" s="24" t="inlineStr">
        <is>
          <t>770010757</t>
        </is>
      </c>
      <c r="C742" s="25" t="inlineStr">
        <is>
          <t>TOZKONTROL-YP1-KIRMIZI-1001400</t>
        </is>
      </c>
      <c r="D742" s="26" t="inlineStr">
        <is>
          <t>TOZKONTROL-YP1-KIRMIZI-1001400</t>
        </is>
      </c>
      <c r="E742" s="27" t="inlineStr">
        <is>
          <t>100 x 1400</t>
        </is>
      </c>
      <c r="F742" s="28" t="inlineStr">
        <is>
          <t>TOZKONTROL-YP1</t>
        </is>
      </c>
      <c r="G742" s="29" t="inlineStr">
        <is>
          <t>Kapı Önü Paspası</t>
        </is>
      </c>
      <c r="H742" s="30" t="inlineStr">
        <is>
          <t>Paspas Yap</t>
        </is>
      </c>
      <c r="I742" s="31" t="n">
        <v>93.0</v>
      </c>
      <c r="J742" s="32" t="n">
        <v>25490.0</v>
      </c>
      <c r="K742" s="33" t="n">
        <v>23272.78</v>
      </c>
      <c r="L742" s="34" t="n">
        <v>22.0</v>
      </c>
      <c r="M742" s="35" t="n">
        <v>14745.05</v>
      </c>
      <c r="N742" s="36" t="inlineStr">
        <is>
          <t>25 Ağustos 08.00-1 Eylül 07.59</t>
        </is>
      </c>
      <c r="O742" s="37" t="n">
        <v>13.1</v>
      </c>
      <c r="P742" s="38" t="n">
        <v>23272.78</v>
      </c>
      <c r="Q742" s="39"/>
      <c r="R742" s="40" t="n">
        <f>=IF(AND(ISBLANK(Q742), ISBLANK(U742)), "", "7 Günlük Fiyat")</f>
        <v>0.0</v>
      </c>
      <c r="S742" s="41" t="n">
        <f>=IF(OR(Q742="", R742=""), "-", IF(ISNUMBER(SEARCH("7 Günlük", R742)), IF(Q742&lt;=M742, O742, "-"), "-"))</f>
        <v>0.0</v>
      </c>
      <c r="T742" s="42" t="str">
        <f>=IF(ISBLANK(Q742), "", "Hayır")</f>
      </c>
      <c r="U742" s="43"/>
      <c r="V742" s="44" t="inlineStr">
        <is>
          <t>50461ed1-c2c8-4393-967e-55d58a3e2664</t>
        </is>
      </c>
    </row>
    <row r="743">
      <c r="A743" s="23" t="inlineStr">
        <is>
          <t>Toz Ve Nem Alıcı Yolluk Paspas Iş Yeri Paspası Iç Ve Dış Mekan Paspası Rampalı Toz Alıcı Paspas</t>
        </is>
      </c>
      <c r="B743" s="24" t="inlineStr">
        <is>
          <t>770010757</t>
        </is>
      </c>
      <c r="C743" s="25" t="inlineStr">
        <is>
          <t>TOZKONTROL-YP1-KIRMIZI-80x1500</t>
        </is>
      </c>
      <c r="D743" s="26" t="inlineStr">
        <is>
          <t>TOZKONTROL-YP1-KIRMIZI-80x1500</t>
        </is>
      </c>
      <c r="E743" s="27" t="inlineStr">
        <is>
          <t>80 x 1500</t>
        </is>
      </c>
      <c r="F743" s="28" t="inlineStr">
        <is>
          <t>TOZKONTROL-YP1</t>
        </is>
      </c>
      <c r="G743" s="29" t="inlineStr">
        <is>
          <t>Kapı Önü Paspası</t>
        </is>
      </c>
      <c r="H743" s="30" t="inlineStr">
        <is>
          <t>Paspas Yap</t>
        </is>
      </c>
      <c r="I743" s="31" t="n">
        <v>93.0</v>
      </c>
      <c r="J743" s="32" t="n">
        <v>22715.0</v>
      </c>
      <c r="K743" s="33" t="n">
        <v>20839.92</v>
      </c>
      <c r="L743" s="34" t="n">
        <v>22.0</v>
      </c>
      <c r="M743" s="35" t="n">
        <v>13693.45</v>
      </c>
      <c r="N743" s="36" t="inlineStr">
        <is>
          <t>25 Ağustos 08.00-1 Eylül 07.59</t>
        </is>
      </c>
      <c r="O743" s="37" t="n">
        <v>14.1</v>
      </c>
      <c r="P743" s="38" t="n">
        <v>20839.92</v>
      </c>
      <c r="Q743" s="39"/>
      <c r="R743" s="40" t="n">
        <f>=IF(AND(ISBLANK(Q743), ISBLANK(U743)), "", "7 Günlük Fiyat")</f>
        <v>0.0</v>
      </c>
      <c r="S743" s="41" t="n">
        <f>=IF(OR(Q743="", R743=""), "-", IF(ISNUMBER(SEARCH("7 Günlük", R743)), IF(Q743&lt;=M743, O743, "-"), "-"))</f>
        <v>0.0</v>
      </c>
      <c r="T743" s="42" t="str">
        <f>=IF(ISBLANK(Q743), "", "Hayır")</f>
      </c>
      <c r="U743" s="43"/>
      <c r="V743" s="44" t="inlineStr">
        <is>
          <t>50461ed1-c2c8-4393-967e-55d58a3e2664</t>
        </is>
      </c>
    </row>
    <row r="744">
      <c r="A744" s="23" t="inlineStr">
        <is>
          <t>Toz Ve Nem Alıcı Yolluk Paspas Iş Yeri Paspası Iç Ve Dış Mekan Paspası Rampalı Toz Alıcı Paspas</t>
        </is>
      </c>
      <c r="B744" s="24" t="inlineStr">
        <is>
          <t>770010757</t>
        </is>
      </c>
      <c r="C744" s="25" t="inlineStr">
        <is>
          <t>TOZKONTROL-YP1-KIRMIZI-80120</t>
        </is>
      </c>
      <c r="D744" s="26" t="inlineStr">
        <is>
          <t>TOZKONTROL-YP1-KIRMIZI-80120</t>
        </is>
      </c>
      <c r="E744" s="27" t="inlineStr">
        <is>
          <t>80 x 120</t>
        </is>
      </c>
      <c r="F744" s="28" t="inlineStr">
        <is>
          <t>TOZKONTROL-YP1</t>
        </is>
      </c>
      <c r="G744" s="29" t="inlineStr">
        <is>
          <t>Kapı Önü Paspası</t>
        </is>
      </c>
      <c r="H744" s="30" t="inlineStr">
        <is>
          <t>Paspas Yap</t>
        </is>
      </c>
      <c r="I744" s="31" t="n">
        <v>93.0</v>
      </c>
      <c r="J744" s="32" t="n">
        <v>2128.0</v>
      </c>
      <c r="K744" s="33" t="n">
        <v>1967.68</v>
      </c>
      <c r="L744" s="34" t="n">
        <v>22.0</v>
      </c>
      <c r="M744" s="35" t="n">
        <v>1461.95</v>
      </c>
      <c r="N744" s="36" t="inlineStr">
        <is>
          <t>25 Ağustos 08.00-1 Eylül 07.59</t>
        </is>
      </c>
      <c r="O744" s="37" t="n">
        <v>16.5</v>
      </c>
      <c r="P744" s="38" t="n">
        <v>1967.68</v>
      </c>
      <c r="Q744" s="39"/>
      <c r="R744" s="40" t="n">
        <f>=IF(AND(ISBLANK(Q744), ISBLANK(U744)), "", "7 Günlük Fiyat")</f>
        <v>0.0</v>
      </c>
      <c r="S744" s="41" t="n">
        <f>=IF(OR(Q744="", R744=""), "-", IF(ISNUMBER(SEARCH("7 Günlük", R744)), IF(Q744&lt;=M744, O744, "-"), "-"))</f>
        <v>0.0</v>
      </c>
      <c r="T744" s="42" t="str">
        <f>=IF(ISBLANK(Q744), "", "Hayır")</f>
      </c>
      <c r="U744" s="43"/>
      <c r="V744" s="44" t="inlineStr">
        <is>
          <t>50461ed1-c2c8-4393-967e-55d58a3e2664</t>
        </is>
      </c>
    </row>
    <row r="745">
      <c r="A745" s="23" t="inlineStr">
        <is>
          <t>Toz Ve Nem Alıcı Yolluk Paspas Iş Yeri Paspası Iç Ve Dış Mekan Paspası Rampalı Toz Alıcı Paspas</t>
        </is>
      </c>
      <c r="B745" s="24" t="inlineStr">
        <is>
          <t>770010757</t>
        </is>
      </c>
      <c r="C745" s="25" t="inlineStr">
        <is>
          <t>TOZKONTROL-YP1-KIRMIZI-80x1050</t>
        </is>
      </c>
      <c r="D745" s="26" t="inlineStr">
        <is>
          <t>TOZKONTROL-YP1-KIRMIZI-80x1050</t>
        </is>
      </c>
      <c r="E745" s="27" t="inlineStr">
        <is>
          <t>80 x 1050</t>
        </is>
      </c>
      <c r="F745" s="28" t="inlineStr">
        <is>
          <t>TOZKONTROL-YP1</t>
        </is>
      </c>
      <c r="G745" s="29" t="inlineStr">
        <is>
          <t>Kapı Önü Paspası</t>
        </is>
      </c>
      <c r="H745" s="30" t="inlineStr">
        <is>
          <t>Paspas Yap</t>
        </is>
      </c>
      <c r="I745" s="31" t="n">
        <v>93.0</v>
      </c>
      <c r="J745" s="32" t="n">
        <v>14351.0</v>
      </c>
      <c r="K745" s="33" t="n">
        <v>13296.53</v>
      </c>
      <c r="L745" s="34" t="n">
        <v>22.0</v>
      </c>
      <c r="M745" s="35" t="n">
        <v>9323.33</v>
      </c>
      <c r="N745" s="36" t="inlineStr">
        <is>
          <t>25 Ağustos 08.00-1 Eylül 07.59</t>
        </is>
      </c>
      <c r="O745" s="37" t="n">
        <v>15.3</v>
      </c>
      <c r="P745" s="38" t="n">
        <v>13296.53</v>
      </c>
      <c r="Q745" s="39"/>
      <c r="R745" s="40" t="n">
        <f>=IF(AND(ISBLANK(Q745), ISBLANK(U745)), "", "7 Günlük Fiyat")</f>
        <v>0.0</v>
      </c>
      <c r="S745" s="41" t="n">
        <f>=IF(OR(Q745="", R745=""), "-", IF(ISNUMBER(SEARCH("7 Günlük", R745)), IF(Q745&lt;=M745, O745, "-"), "-"))</f>
        <v>0.0</v>
      </c>
      <c r="T745" s="42" t="str">
        <f>=IF(ISBLANK(Q745), "", "Hayır")</f>
      </c>
      <c r="U745" s="43"/>
      <c r="V745" s="44" t="inlineStr">
        <is>
          <t>50461ed1-c2c8-4393-967e-55d58a3e2664</t>
        </is>
      </c>
    </row>
    <row r="746">
      <c r="A746" s="23" t="inlineStr">
        <is>
          <t>Toz Ve Nem Alıcı Yolluk Paspas Iş Yeri Paspası Iç Ve Dış Mekan Paspası Rampalı Toz Alıcı Paspas</t>
        </is>
      </c>
      <c r="B746" s="24" t="inlineStr">
        <is>
          <t>770010757</t>
        </is>
      </c>
      <c r="C746" s="25" t="inlineStr">
        <is>
          <t>TOZKONTROL-YP1-KIRMIZI-100350</t>
        </is>
      </c>
      <c r="D746" s="26" t="inlineStr">
        <is>
          <t>TOZKONTROL-YP1-KIRMIZI-100350</t>
        </is>
      </c>
      <c r="E746" s="27" t="inlineStr">
        <is>
          <t>100 x 350</t>
        </is>
      </c>
      <c r="F746" s="28" t="inlineStr">
        <is>
          <t>TOZKONTROL-YP1</t>
        </is>
      </c>
      <c r="G746" s="29" t="inlineStr">
        <is>
          <t>Kapı Önü Paspası</t>
        </is>
      </c>
      <c r="H746" s="30" t="inlineStr">
        <is>
          <t>Paspas Yap</t>
        </is>
      </c>
      <c r="I746" s="31" t="n">
        <v>93.0</v>
      </c>
      <c r="J746" s="32" t="n">
        <v>6309.0</v>
      </c>
      <c r="K746" s="33" t="n">
        <v>5848.18</v>
      </c>
      <c r="L746" s="34" t="n">
        <v>22.0</v>
      </c>
      <c r="M746" s="35" t="n">
        <v>4198.29</v>
      </c>
      <c r="N746" s="36" t="inlineStr">
        <is>
          <t>25 Ağustos 08.00-1 Eylül 07.59</t>
        </is>
      </c>
      <c r="O746" s="37" t="n">
        <v>15.7</v>
      </c>
      <c r="P746" s="38" t="n">
        <v>5848.18</v>
      </c>
      <c r="Q746" s="39"/>
      <c r="R746" s="40" t="n">
        <f>=IF(AND(ISBLANK(Q746), ISBLANK(U746)), "", "7 Günlük Fiyat")</f>
        <v>0.0</v>
      </c>
      <c r="S746" s="41" t="n">
        <f>=IF(OR(Q746="", R746=""), "-", IF(ISNUMBER(SEARCH("7 Günlük", R746)), IF(Q746&lt;=M746, O746, "-"), "-"))</f>
        <v>0.0</v>
      </c>
      <c r="T746" s="42" t="str">
        <f>=IF(ISBLANK(Q746), "", "Hayır")</f>
      </c>
      <c r="U746" s="43"/>
      <c r="V746" s="44" t="inlineStr">
        <is>
          <t>50461ed1-c2c8-4393-967e-55d58a3e2664</t>
        </is>
      </c>
    </row>
    <row r="747">
      <c r="A747" s="23" t="inlineStr">
        <is>
          <t>Toz Ve Nem Alıcı Yolluk Paspas Iş Yeri Paspası Iç Ve Dış Mekan Paspası Rampalı Toz Alıcı Paspas</t>
        </is>
      </c>
      <c r="B747" s="24" t="inlineStr">
        <is>
          <t>770010757</t>
        </is>
      </c>
      <c r="C747" s="25" t="inlineStr">
        <is>
          <t>TOZKONTROL-YP1-KIRMIZI-120800</t>
        </is>
      </c>
      <c r="D747" s="26" t="inlineStr">
        <is>
          <t>TOZKONTROL-YP1-KIRMIZI-120800</t>
        </is>
      </c>
      <c r="E747" s="27" t="inlineStr">
        <is>
          <t>120 x 800</t>
        </is>
      </c>
      <c r="F747" s="28" t="inlineStr">
        <is>
          <t>TOZKONTROL-YP1</t>
        </is>
      </c>
      <c r="G747" s="29" t="inlineStr">
        <is>
          <t>Kapı Önü Paspası</t>
        </is>
      </c>
      <c r="H747" s="30" t="inlineStr">
        <is>
          <t>Paspas Yap</t>
        </is>
      </c>
      <c r="I747" s="31" t="n">
        <v>93.0</v>
      </c>
      <c r="J747" s="32" t="n">
        <v>16099.0</v>
      </c>
      <c r="K747" s="33" t="n">
        <v>14909.1</v>
      </c>
      <c r="L747" s="34" t="n">
        <v>22.0</v>
      </c>
      <c r="M747" s="35" t="n">
        <v>10293.33</v>
      </c>
      <c r="N747" s="36" t="inlineStr">
        <is>
          <t>25 Ağustos 08.00-1 Eylül 07.59</t>
        </is>
      </c>
      <c r="O747" s="37" t="n">
        <v>15.0</v>
      </c>
      <c r="P747" s="38" t="n">
        <v>14909.1</v>
      </c>
      <c r="Q747" s="39"/>
      <c r="R747" s="40" t="n">
        <f>=IF(AND(ISBLANK(Q747), ISBLANK(U747)), "", "7 Günlük Fiyat")</f>
        <v>0.0</v>
      </c>
      <c r="S747" s="41" t="n">
        <f>=IF(OR(Q747="", R747=""), "-", IF(ISNUMBER(SEARCH("7 Günlük", R747)), IF(Q747&lt;=M747, O747, "-"), "-"))</f>
        <v>0.0</v>
      </c>
      <c r="T747" s="42" t="str">
        <f>=IF(ISBLANK(Q747), "", "Hayır")</f>
      </c>
      <c r="U747" s="43"/>
      <c r="V747" s="44" t="inlineStr">
        <is>
          <t>50461ed1-c2c8-4393-967e-55d58a3e2664</t>
        </is>
      </c>
    </row>
    <row r="748">
      <c r="A748" s="23" t="inlineStr">
        <is>
          <t>Toz Ve Nem Alıcı Yolluk Paspas Iş Yeri Paspası Iç Ve Dış Mekan Paspası Rampalı Toz Alıcı Paspas</t>
        </is>
      </c>
      <c r="B748" s="24" t="inlineStr">
        <is>
          <t>770010757</t>
        </is>
      </c>
      <c r="C748" s="25" t="inlineStr">
        <is>
          <t>TOZKONTROL-YP1-KIRMIZI-80x1400</t>
        </is>
      </c>
      <c r="D748" s="26" t="inlineStr">
        <is>
          <t>TOZKONTROL-YP1-KIRMIZI-80x1400</t>
        </is>
      </c>
      <c r="E748" s="27" t="inlineStr">
        <is>
          <t>80 x 1400</t>
        </is>
      </c>
      <c r="F748" s="28" t="inlineStr">
        <is>
          <t>TOZKONTROL-YP1</t>
        </is>
      </c>
      <c r="G748" s="29" t="inlineStr">
        <is>
          <t>Kapı Önü Paspası</t>
        </is>
      </c>
      <c r="H748" s="30" t="inlineStr">
        <is>
          <t>Paspas Yap</t>
        </is>
      </c>
      <c r="I748" s="31" t="n">
        <v>93.0</v>
      </c>
      <c r="J748" s="32" t="n">
        <v>21459.0</v>
      </c>
      <c r="K748" s="33" t="n">
        <v>19666.88</v>
      </c>
      <c r="L748" s="34" t="n">
        <v>22.0</v>
      </c>
      <c r="M748" s="35" t="n">
        <v>12844.12</v>
      </c>
      <c r="N748" s="36" t="inlineStr">
        <is>
          <t>25 Ağustos 08.00-1 Eylül 07.59</t>
        </is>
      </c>
      <c r="O748" s="37" t="n">
        <v>13.8</v>
      </c>
      <c r="P748" s="38" t="n">
        <v>19666.88</v>
      </c>
      <c r="Q748" s="39"/>
      <c r="R748" s="40" t="n">
        <f>=IF(AND(ISBLANK(Q748), ISBLANK(U748)), "", "7 Günlük Fiyat")</f>
        <v>0.0</v>
      </c>
      <c r="S748" s="41" t="n">
        <f>=IF(OR(Q748="", R748=""), "-", IF(ISNUMBER(SEARCH("7 Günlük", R748)), IF(Q748&lt;=M748, O748, "-"), "-"))</f>
        <v>0.0</v>
      </c>
      <c r="T748" s="42" t="str">
        <f>=IF(ISBLANK(Q748), "", "Hayır")</f>
      </c>
      <c r="U748" s="43"/>
      <c r="V748" s="44" t="inlineStr">
        <is>
          <t>50461ed1-c2c8-4393-967e-55d58a3e2664</t>
        </is>
      </c>
    </row>
    <row r="749">
      <c r="A749" s="23" t="inlineStr">
        <is>
          <t>Toz Ve Nem Alıcı Yolluk Paspas Iş Yeri Paspası Iç Ve Dış Mekan Paspası Rampalı Toz Alıcı Paspas</t>
        </is>
      </c>
      <c r="B749" s="24" t="inlineStr">
        <is>
          <t>770010757</t>
        </is>
      </c>
      <c r="C749" s="25" t="inlineStr">
        <is>
          <t>TOZKONTROL-YP1-KIRMIZI-3360</t>
        </is>
      </c>
      <c r="D749" s="26" t="inlineStr">
        <is>
          <t>TOZKONTROL-YP1-KIRMIZI-3360</t>
        </is>
      </c>
      <c r="E749" s="27" t="inlineStr">
        <is>
          <t>33 x 60</t>
        </is>
      </c>
      <c r="F749" s="28" t="inlineStr">
        <is>
          <t>TOZKONTROL-YP1</t>
        </is>
      </c>
      <c r="G749" s="29" t="inlineStr">
        <is>
          <t>Kapı Önü Paspası</t>
        </is>
      </c>
      <c r="H749" s="30" t="inlineStr">
        <is>
          <t>Paspas Yap</t>
        </is>
      </c>
      <c r="I749" s="31" t="n">
        <v>93.0</v>
      </c>
      <c r="J749" s="32" t="n">
        <v>599.0</v>
      </c>
      <c r="K749" s="33" t="n">
        <v>599.0</v>
      </c>
      <c r="L749" s="34" t="n">
        <v>22.0</v>
      </c>
      <c r="M749" s="35" t="n">
        <v>434.94</v>
      </c>
      <c r="N749" s="36" t="inlineStr">
        <is>
          <t>25 Ağustos 08.00-1 Eylül 07.59</t>
        </is>
      </c>
      <c r="O749" s="37" t="n">
        <v>15.8</v>
      </c>
      <c r="P749" s="38" t="n">
        <v>599.0</v>
      </c>
      <c r="Q749" s="39"/>
      <c r="R749" s="40" t="n">
        <f>=IF(AND(ISBLANK(Q749), ISBLANK(U749)), "", "7 Günlük Fiyat")</f>
        <v>0.0</v>
      </c>
      <c r="S749" s="41" t="n">
        <f>=IF(OR(Q749="", R749=""), "-", IF(ISNUMBER(SEARCH("7 Günlük", R749)), IF(Q749&lt;=M749, O749, "-"), "-"))</f>
        <v>0.0</v>
      </c>
      <c r="T749" s="42" t="str">
        <f>=IF(ISBLANK(Q749), "", "Hayır")</f>
      </c>
      <c r="U749" s="43"/>
      <c r="V749" s="44" t="inlineStr">
        <is>
          <t>50461ed1-c2c8-4393-967e-55d58a3e2664</t>
        </is>
      </c>
    </row>
    <row r="750">
      <c r="A750" s="23" t="inlineStr">
        <is>
          <t>Toz Ve Nem Alıcı Yolluk Paspas Iş Yeri Paspası Iç Ve Dış Mekan Paspası Rampalı Toz Alıcı Paspas</t>
        </is>
      </c>
      <c r="B750" s="24" t="inlineStr">
        <is>
          <t>770010757</t>
        </is>
      </c>
      <c r="C750" s="25" t="inlineStr">
        <is>
          <t>TOZKONTROL-YP1-KIRMIZI-80x1150</t>
        </is>
      </c>
      <c r="D750" s="26" t="inlineStr">
        <is>
          <t>TOZKONTROL-YP1-KIRMIZI-80x1150</t>
        </is>
      </c>
      <c r="E750" s="27" t="inlineStr">
        <is>
          <t>80 x 1150</t>
        </is>
      </c>
      <c r="F750" s="28" t="inlineStr">
        <is>
          <t>TOZKONTROL-YP1</t>
        </is>
      </c>
      <c r="G750" s="29" t="inlineStr">
        <is>
          <t>Kapı Önü Paspası</t>
        </is>
      </c>
      <c r="H750" s="30" t="inlineStr">
        <is>
          <t>Paspas Yap</t>
        </is>
      </c>
      <c r="I750" s="31" t="n">
        <v>93.0</v>
      </c>
      <c r="J750" s="32" t="n">
        <v>15482.0</v>
      </c>
      <c r="K750" s="33" t="n">
        <v>14378.66</v>
      </c>
      <c r="L750" s="34" t="n">
        <v>22.0</v>
      </c>
      <c r="M750" s="35" t="n">
        <v>10167.42</v>
      </c>
      <c r="N750" s="36" t="inlineStr">
        <is>
          <t>25 Ağustos 08.00-1 Eylül 07.59</t>
        </is>
      </c>
      <c r="O750" s="37" t="n">
        <v>15.6</v>
      </c>
      <c r="P750" s="38" t="n">
        <v>14378.66</v>
      </c>
      <c r="Q750" s="39"/>
      <c r="R750" s="40" t="n">
        <f>=IF(AND(ISBLANK(Q750), ISBLANK(U750)), "", "7 Günlük Fiyat")</f>
        <v>0.0</v>
      </c>
      <c r="S750" s="41" t="n">
        <f>=IF(OR(Q750="", R750=""), "-", IF(ISNUMBER(SEARCH("7 Günlük", R750)), IF(Q750&lt;=M750, O750, "-"), "-"))</f>
        <v>0.0</v>
      </c>
      <c r="T750" s="42" t="str">
        <f>=IF(ISBLANK(Q750), "", "Hayır")</f>
      </c>
      <c r="U750" s="43"/>
      <c r="V750" s="44" t="inlineStr">
        <is>
          <t>50461ed1-c2c8-4393-967e-55d58a3e2664</t>
        </is>
      </c>
    </row>
    <row r="751">
      <c r="A751" s="23" t="inlineStr">
        <is>
          <t>Toz Ve Nem Alıcı Yolluk Paspas Iş Yeri Paspası Iç Ve Dış Mekan Paspası Rampalı Toz Alıcı Paspas</t>
        </is>
      </c>
      <c r="B751" s="24" t="inlineStr">
        <is>
          <t>770010757</t>
        </is>
      </c>
      <c r="C751" s="25" t="inlineStr">
        <is>
          <t>TOZKONTROL-YP1-KIRMIZI-50120</t>
        </is>
      </c>
      <c r="D751" s="26" t="inlineStr">
        <is>
          <t>TOZKONTROL-YP1-KIRMIZI-50120</t>
        </is>
      </c>
      <c r="E751" s="27" t="inlineStr">
        <is>
          <t>50 x 120</t>
        </is>
      </c>
      <c r="F751" s="28" t="inlineStr">
        <is>
          <t>TOZKONTROL-YP1</t>
        </is>
      </c>
      <c r="G751" s="29" t="inlineStr">
        <is>
          <t>Kapı Önü Paspası</t>
        </is>
      </c>
      <c r="H751" s="30" t="inlineStr">
        <is>
          <t>Paspas Yap</t>
        </is>
      </c>
      <c r="I751" s="31" t="n">
        <v>93.0</v>
      </c>
      <c r="J751" s="32" t="n">
        <v>1599.0</v>
      </c>
      <c r="K751" s="33" t="n">
        <v>1382.91</v>
      </c>
      <c r="L751" s="34" t="n">
        <v>22.0</v>
      </c>
      <c r="M751" s="35" t="n">
        <v>1084.07</v>
      </c>
      <c r="N751" s="36" t="inlineStr">
        <is>
          <t>25 Ağustos 08.00-1 Eylül 07.59</t>
        </is>
      </c>
      <c r="O751" s="37" t="n">
        <v>16.4</v>
      </c>
      <c r="P751" s="38" t="n">
        <v>1382.91</v>
      </c>
      <c r="Q751" s="39"/>
      <c r="R751" s="40" t="n">
        <f>=IF(AND(ISBLANK(Q751), ISBLANK(U751)), "", "7 Günlük Fiyat")</f>
        <v>0.0</v>
      </c>
      <c r="S751" s="41" t="n">
        <f>=IF(OR(Q751="", R751=""), "-", IF(ISNUMBER(SEARCH("7 Günlük", R751)), IF(Q751&lt;=M751, O751, "-"), "-"))</f>
        <v>0.0</v>
      </c>
      <c r="T751" s="42" t="str">
        <f>=IF(ISBLANK(Q751), "", "Hayır")</f>
      </c>
      <c r="U751" s="43"/>
      <c r="V751" s="44" t="inlineStr">
        <is>
          <t>50461ed1-c2c8-4393-967e-55d58a3e2664</t>
        </is>
      </c>
    </row>
    <row r="752">
      <c r="A752" s="23" t="inlineStr">
        <is>
          <t>Toz Ve Nem Alıcı Yolluk Paspas Iş Yeri Paspası Iç Ve Dış Mekan Paspası Rampalı Toz Alıcı Paspas</t>
        </is>
      </c>
      <c r="B752" s="24" t="inlineStr">
        <is>
          <t>770010757</t>
        </is>
      </c>
      <c r="C752" s="25" t="inlineStr">
        <is>
          <t>TOZKONTROL-YP1-KIRMIZI-80350</t>
        </is>
      </c>
      <c r="D752" s="26" t="inlineStr">
        <is>
          <t>TOZKONTROL-YP1-KIRMIZI-80350</t>
        </is>
      </c>
      <c r="E752" s="27" t="inlineStr">
        <is>
          <t>80 x 350</t>
        </is>
      </c>
      <c r="F752" s="28" t="inlineStr">
        <is>
          <t>TOZKONTROL-YP1</t>
        </is>
      </c>
      <c r="G752" s="29" t="inlineStr">
        <is>
          <t>Kapı Önü Paspası</t>
        </is>
      </c>
      <c r="H752" s="30" t="inlineStr">
        <is>
          <t>Paspas Yap</t>
        </is>
      </c>
      <c r="I752" s="31" t="n">
        <v>93.0</v>
      </c>
      <c r="J752" s="32" t="n">
        <v>5078.0</v>
      </c>
      <c r="K752" s="33" t="n">
        <v>4650.94</v>
      </c>
      <c r="L752" s="34" t="n">
        <v>22.0</v>
      </c>
      <c r="M752" s="35" t="n">
        <v>3419.31</v>
      </c>
      <c r="N752" s="36" t="inlineStr">
        <is>
          <t>25 Ağustos 08.00-1 Eylül 07.59</t>
        </is>
      </c>
      <c r="O752" s="37" t="n">
        <v>15.9</v>
      </c>
      <c r="P752" s="38" t="n">
        <v>4650.94</v>
      </c>
      <c r="Q752" s="39"/>
      <c r="R752" s="40" t="n">
        <f>=IF(AND(ISBLANK(Q752), ISBLANK(U752)), "", "7 Günlük Fiyat")</f>
        <v>0.0</v>
      </c>
      <c r="S752" s="41" t="n">
        <f>=IF(OR(Q752="", R752=""), "-", IF(ISNUMBER(SEARCH("7 Günlük", R752)), IF(Q752&lt;=M752, O752, "-"), "-"))</f>
        <v>0.0</v>
      </c>
      <c r="T752" s="42" t="str">
        <f>=IF(ISBLANK(Q752), "", "Hayır")</f>
      </c>
      <c r="U752" s="43"/>
      <c r="V752" s="44" t="inlineStr">
        <is>
          <t>50461ed1-c2c8-4393-967e-55d58a3e2664</t>
        </is>
      </c>
    </row>
    <row r="753">
      <c r="A753" s="23" t="inlineStr">
        <is>
          <t>Toz Ve Nem Alıcı Yolluk Paspas Iş Yeri Paspası Iç Ve Dış Mekan Paspası Rampalı Toz Alıcı Paspas</t>
        </is>
      </c>
      <c r="B753" s="24" t="inlineStr">
        <is>
          <t>770010757</t>
        </is>
      </c>
      <c r="C753" s="25" t="inlineStr">
        <is>
          <t>TOZKONTROL-YP1-KIRMIZI-100600</t>
        </is>
      </c>
      <c r="D753" s="26" t="inlineStr">
        <is>
          <t>TOZKONTROL-YP1-KIRMIZI-100600</t>
        </is>
      </c>
      <c r="E753" s="27" t="inlineStr">
        <is>
          <t>100 x 600</t>
        </is>
      </c>
      <c r="F753" s="28" t="inlineStr">
        <is>
          <t>TOZKONTROL-YP1</t>
        </is>
      </c>
      <c r="G753" s="29" t="inlineStr">
        <is>
          <t>Kapı Önü Paspası</t>
        </is>
      </c>
      <c r="H753" s="30" t="inlineStr">
        <is>
          <t>Paspas Yap</t>
        </is>
      </c>
      <c r="I753" s="31" t="n">
        <v>93.0</v>
      </c>
      <c r="J753" s="32" t="n">
        <v>10655.0</v>
      </c>
      <c r="K753" s="33" t="n">
        <v>9839.56</v>
      </c>
      <c r="L753" s="34" t="n">
        <v>22.0</v>
      </c>
      <c r="M753" s="35" t="n">
        <v>6962.93</v>
      </c>
      <c r="N753" s="36" t="inlineStr">
        <is>
          <t>25 Ağustos 08.00-1 Eylül 07.59</t>
        </is>
      </c>
      <c r="O753" s="37" t="n">
        <v>15.5</v>
      </c>
      <c r="P753" s="38" t="n">
        <v>9839.56</v>
      </c>
      <c r="Q753" s="39"/>
      <c r="R753" s="40" t="n">
        <f>=IF(AND(ISBLANK(Q753), ISBLANK(U753)), "", "7 Günlük Fiyat")</f>
        <v>0.0</v>
      </c>
      <c r="S753" s="41" t="n">
        <f>=IF(OR(Q753="", R753=""), "-", IF(ISNUMBER(SEARCH("7 Günlük", R753)), IF(Q753&lt;=M753, O753, "-"), "-"))</f>
        <v>0.0</v>
      </c>
      <c r="T753" s="42" t="str">
        <f>=IF(ISBLANK(Q753), "", "Hayır")</f>
      </c>
      <c r="U753" s="43"/>
      <c r="V753" s="44" t="inlineStr">
        <is>
          <t>50461ed1-c2c8-4393-967e-55d58a3e2664</t>
        </is>
      </c>
    </row>
    <row r="754">
      <c r="A754" s="23" t="inlineStr">
        <is>
          <t>Toz Ve Nem Alıcı Yolluk Paspas Iş Yeri Paspası Iç Ve Dış Mekan Paspası Rampalı Toz Alıcı Paspas</t>
        </is>
      </c>
      <c r="B754" s="24" t="inlineStr">
        <is>
          <t>770010757</t>
        </is>
      </c>
      <c r="C754" s="25" t="inlineStr">
        <is>
          <t>TOZKONTROL-YP1-KIRMIZI-1001150</t>
        </is>
      </c>
      <c r="D754" s="26" t="inlineStr">
        <is>
          <t>TOZKONTROL-YP1-KIRMIZI-1001150</t>
        </is>
      </c>
      <c r="E754" s="27" t="inlineStr">
        <is>
          <t>100 x 1150</t>
        </is>
      </c>
      <c r="F754" s="28" t="inlineStr">
        <is>
          <t>TOZKONTROL-YP1</t>
        </is>
      </c>
      <c r="G754" s="29" t="inlineStr">
        <is>
          <t>Kapı Önü Paspası</t>
        </is>
      </c>
      <c r="H754" s="30" t="inlineStr">
        <is>
          <t>Paspas Yap</t>
        </is>
      </c>
      <c r="I754" s="31" t="n">
        <v>93.0</v>
      </c>
      <c r="J754" s="32" t="n">
        <v>21700.0</v>
      </c>
      <c r="K754" s="33" t="n">
        <v>18448.98</v>
      </c>
      <c r="L754" s="34" t="n">
        <v>22.0</v>
      </c>
      <c r="M754" s="35" t="n">
        <v>11927.3</v>
      </c>
      <c r="N754" s="36" t="inlineStr">
        <is>
          <t>25 Ağustos 08.00-1 Eylül 07.59</t>
        </is>
      </c>
      <c r="O754" s="37" t="n">
        <v>12.9</v>
      </c>
      <c r="P754" s="38" t="n">
        <v>18448.98</v>
      </c>
      <c r="Q754" s="39"/>
      <c r="R754" s="40" t="n">
        <f>=IF(AND(ISBLANK(Q754), ISBLANK(U754)), "", "7 Günlük Fiyat")</f>
        <v>0.0</v>
      </c>
      <c r="S754" s="41" t="n">
        <f>=IF(OR(Q754="", R754=""), "-", IF(ISNUMBER(SEARCH("7 Günlük", R754)), IF(Q754&lt;=M754, O754, "-"), "-"))</f>
        <v>0.0</v>
      </c>
      <c r="T754" s="42" t="str">
        <f>=IF(ISBLANK(Q754), "", "Hayır")</f>
      </c>
      <c r="U754" s="43"/>
      <c r="V754" s="44" t="inlineStr">
        <is>
          <t>50461ed1-c2c8-4393-967e-55d58a3e2664</t>
        </is>
      </c>
    </row>
    <row r="755">
      <c r="A755" s="23" t="inlineStr">
        <is>
          <t>Toz Ve Nem Alıcı Yolluk Paspas Iş Yeri Paspası Iç Ve Dış Mekan Paspası Rampalı Toz Alıcı Paspas</t>
        </is>
      </c>
      <c r="B755" s="24" t="inlineStr">
        <is>
          <t>770010757</t>
        </is>
      </c>
      <c r="C755" s="25" t="inlineStr">
        <is>
          <t>TOZKONTROL-YP1-KIRMIZI-120950</t>
        </is>
      </c>
      <c r="D755" s="26" t="inlineStr">
        <is>
          <t>TOZKONTROL-YP1-KIRMIZI-120950</t>
        </is>
      </c>
      <c r="E755" s="27" t="inlineStr">
        <is>
          <t>120 x 950</t>
        </is>
      </c>
      <c r="F755" s="28" t="inlineStr">
        <is>
          <t>TOZKONTROL-YP1</t>
        </is>
      </c>
      <c r="G755" s="29" t="inlineStr">
        <is>
          <t>Kapı Önü Paspası</t>
        </is>
      </c>
      <c r="H755" s="30" t="inlineStr">
        <is>
          <t>Paspas Yap</t>
        </is>
      </c>
      <c r="I755" s="31" t="n">
        <v>93.0</v>
      </c>
      <c r="J755" s="32" t="n">
        <v>21482.0</v>
      </c>
      <c r="K755" s="33" t="n">
        <v>19769.06</v>
      </c>
      <c r="L755" s="34" t="n">
        <v>22.0</v>
      </c>
      <c r="M755" s="35" t="n">
        <v>13157.92</v>
      </c>
      <c r="N755" s="36" t="inlineStr">
        <is>
          <t>25 Ağustos 08.00-1 Eylül 07.59</t>
        </is>
      </c>
      <c r="O755" s="37" t="n">
        <v>14.3</v>
      </c>
      <c r="P755" s="38" t="n">
        <v>19769.06</v>
      </c>
      <c r="Q755" s="39"/>
      <c r="R755" s="40" t="n">
        <f>=IF(AND(ISBLANK(Q755), ISBLANK(U755)), "", "7 Günlük Fiyat")</f>
        <v>0.0</v>
      </c>
      <c r="S755" s="41" t="n">
        <f>=IF(OR(Q755="", R755=""), "-", IF(ISNUMBER(SEARCH("7 Günlük", R755)), IF(Q755&lt;=M755, O755, "-"), "-"))</f>
        <v>0.0</v>
      </c>
      <c r="T755" s="42" t="str">
        <f>=IF(ISBLANK(Q755), "", "Hayır")</f>
      </c>
      <c r="U755" s="43"/>
      <c r="V755" s="44" t="inlineStr">
        <is>
          <t>50461ed1-c2c8-4393-967e-55d58a3e2664</t>
        </is>
      </c>
    </row>
    <row r="756">
      <c r="A756" s="23" t="inlineStr">
        <is>
          <t>Toz Ve Nem Alıcı Yolluk Paspas Iş Yeri Paspası Iç Ve Dış Mekan Paspası Rampalı Toz Alıcı Paspas</t>
        </is>
      </c>
      <c r="B756" s="24" t="inlineStr">
        <is>
          <t>770010757</t>
        </is>
      </c>
      <c r="C756" s="25" t="inlineStr">
        <is>
          <t>TOZKONTROL-YP1-KIRMIZI-120400</t>
        </is>
      </c>
      <c r="D756" s="26" t="inlineStr">
        <is>
          <t>TOZKONTROL-YP1-KIRMIZI-120400</t>
        </is>
      </c>
      <c r="E756" s="27" t="inlineStr">
        <is>
          <t>120 x 400</t>
        </is>
      </c>
      <c r="F756" s="28" t="inlineStr">
        <is>
          <t>TOZKONTROL-YP1</t>
        </is>
      </c>
      <c r="G756" s="29" t="inlineStr">
        <is>
          <t>Kapı Önü Paspası</t>
        </is>
      </c>
      <c r="H756" s="30" t="inlineStr">
        <is>
          <t>Paspas Yap</t>
        </is>
      </c>
      <c r="I756" s="31" t="n">
        <v>93.0</v>
      </c>
      <c r="J756" s="32" t="n">
        <v>8238.0</v>
      </c>
      <c r="K756" s="33" t="n">
        <v>7361.55</v>
      </c>
      <c r="L756" s="34" t="n">
        <v>22.0</v>
      </c>
      <c r="M756" s="35" t="n">
        <v>5124.48</v>
      </c>
      <c r="N756" s="36" t="inlineStr">
        <is>
          <t>25 Ağustos 08.00-1 Eylül 07.59</t>
        </is>
      </c>
      <c r="O756" s="37" t="n">
        <v>14.7</v>
      </c>
      <c r="P756" s="38" t="n">
        <v>7361.55</v>
      </c>
      <c r="Q756" s="39"/>
      <c r="R756" s="40" t="n">
        <f>=IF(AND(ISBLANK(Q756), ISBLANK(U756)), "", "7 Günlük Fiyat")</f>
        <v>0.0</v>
      </c>
      <c r="S756" s="41" t="n">
        <f>=IF(OR(Q756="", R756=""), "-", IF(ISNUMBER(SEARCH("7 Günlük", R756)), IF(Q756&lt;=M756, O756, "-"), "-"))</f>
        <v>0.0</v>
      </c>
      <c r="T756" s="42" t="str">
        <f>=IF(ISBLANK(Q756), "", "Hayır")</f>
      </c>
      <c r="U756" s="43"/>
      <c r="V756" s="44" t="inlineStr">
        <is>
          <t>50461ed1-c2c8-4393-967e-55d58a3e2664</t>
        </is>
      </c>
    </row>
    <row r="757">
      <c r="A757" s="23" t="inlineStr">
        <is>
          <t>Toz Ve Nem Alıcı Yolluk Paspas Iş Yeri Paspası Iç Ve Dış Mekan Paspası Rampalı Toz Alıcı Paspas</t>
        </is>
      </c>
      <c r="B757" s="24" t="inlineStr">
        <is>
          <t>770010757</t>
        </is>
      </c>
      <c r="C757" s="25" t="inlineStr">
        <is>
          <t>TOZKONTROL-YP1-KIRMIZI-100900</t>
        </is>
      </c>
      <c r="D757" s="26" t="inlineStr">
        <is>
          <t>TOZKONTROL-YP1-KIRMIZI-100900</t>
        </is>
      </c>
      <c r="E757" s="27" t="inlineStr">
        <is>
          <t>100 x 900</t>
        </is>
      </c>
      <c r="F757" s="28" t="inlineStr">
        <is>
          <t>TOZKONTROL-YP1</t>
        </is>
      </c>
      <c r="G757" s="29" t="inlineStr">
        <is>
          <t>Kapı Önü Paspası</t>
        </is>
      </c>
      <c r="H757" s="30" t="inlineStr">
        <is>
          <t>Paspas Yap</t>
        </is>
      </c>
      <c r="I757" s="31" t="n">
        <v>93.0</v>
      </c>
      <c r="J757" s="32" t="n">
        <v>15170.0</v>
      </c>
      <c r="K757" s="33" t="n">
        <v>14062.47</v>
      </c>
      <c r="L757" s="34" t="n">
        <v>22.0</v>
      </c>
      <c r="M757" s="35" t="n">
        <v>9814.84</v>
      </c>
      <c r="N757" s="36" t="inlineStr">
        <is>
          <t>25 Ağustos 08.00-1 Eylül 07.59</t>
        </is>
      </c>
      <c r="O757" s="37" t="n">
        <v>15.2</v>
      </c>
      <c r="P757" s="38" t="n">
        <v>14062.47</v>
      </c>
      <c r="Q757" s="39"/>
      <c r="R757" s="40" t="n">
        <f>=IF(AND(ISBLANK(Q757), ISBLANK(U757)), "", "7 Günlük Fiyat")</f>
        <v>0.0</v>
      </c>
      <c r="S757" s="41" t="n">
        <f>=IF(OR(Q757="", R757=""), "-", IF(ISNUMBER(SEARCH("7 Günlük", R757)), IF(Q757&lt;=M757, O757, "-"), "-"))</f>
        <v>0.0</v>
      </c>
      <c r="T757" s="42" t="str">
        <f>=IF(ISBLANK(Q757), "", "Hayır")</f>
      </c>
      <c r="U757" s="43"/>
      <c r="V757" s="44" t="inlineStr">
        <is>
          <t>50461ed1-c2c8-4393-967e-55d58a3e2664</t>
        </is>
      </c>
    </row>
    <row r="758">
      <c r="A758" s="23" t="inlineStr">
        <is>
          <t>Toz Ve Nem Alıcı Yolluk Paspas Iş Yeri Paspası Iç Ve Dış Mekan Paspası Rampalı Toz Alıcı Paspas</t>
        </is>
      </c>
      <c r="B758" s="24" t="inlineStr">
        <is>
          <t>770010757</t>
        </is>
      </c>
      <c r="C758" s="25" t="inlineStr">
        <is>
          <t>TOZKONTROL-YP1-KIRMIZI-80600</t>
        </is>
      </c>
      <c r="D758" s="26" t="inlineStr">
        <is>
          <t>TOZKONTROL-YP1-KIRMIZI-80600</t>
        </is>
      </c>
      <c r="E758" s="27" t="inlineStr">
        <is>
          <t>80 x 600</t>
        </is>
      </c>
      <c r="F758" s="28" t="inlineStr">
        <is>
          <t>TOZKONTROL-YP1</t>
        </is>
      </c>
      <c r="G758" s="29" t="inlineStr">
        <is>
          <t>Kapı Önü Paspası</t>
        </is>
      </c>
      <c r="H758" s="30" t="inlineStr">
        <is>
          <t>Paspas Yap</t>
        </is>
      </c>
      <c r="I758" s="31" t="n">
        <v>93.0</v>
      </c>
      <c r="J758" s="32" t="n">
        <v>8238.0</v>
      </c>
      <c r="K758" s="33" t="n">
        <v>7661.81</v>
      </c>
      <c r="L758" s="34" t="n">
        <v>22.0</v>
      </c>
      <c r="M758" s="35" t="n">
        <v>5464.25</v>
      </c>
      <c r="N758" s="36" t="inlineStr">
        <is>
          <t>25 Ağustos 08.00-1 Eylül 07.59</t>
        </is>
      </c>
      <c r="O758" s="37" t="n">
        <v>15.7</v>
      </c>
      <c r="P758" s="38" t="n">
        <v>7661.81</v>
      </c>
      <c r="Q758" s="39"/>
      <c r="R758" s="40" t="n">
        <f>=IF(AND(ISBLANK(Q758), ISBLANK(U758)), "", "7 Günlük Fiyat")</f>
        <v>0.0</v>
      </c>
      <c r="S758" s="41" t="n">
        <f>=IF(OR(Q758="", R758=""), "-", IF(ISNUMBER(SEARCH("7 Günlük", R758)), IF(Q758&lt;=M758, O758, "-"), "-"))</f>
        <v>0.0</v>
      </c>
      <c r="T758" s="42" t="str">
        <f>=IF(ISBLANK(Q758), "", "Hayır")</f>
      </c>
      <c r="U758" s="43"/>
      <c r="V758" s="44" t="inlineStr">
        <is>
          <t>50461ed1-c2c8-4393-967e-55d58a3e2664</t>
        </is>
      </c>
    </row>
    <row r="759">
      <c r="A759" s="23" t="inlineStr">
        <is>
          <t>Toz Ve Nem Alıcı Yolluk Paspas Iş Yeri Paspası Iç Ve Dış Mekan Paspası Rampalı Toz Alıcı Paspas</t>
        </is>
      </c>
      <c r="B759" s="24" t="inlineStr">
        <is>
          <t>770010757</t>
        </is>
      </c>
      <c r="C759" s="25" t="inlineStr">
        <is>
          <t>TOZKONTROL-YP1-KIRMIZI-80900</t>
        </is>
      </c>
      <c r="D759" s="26" t="inlineStr">
        <is>
          <t>TOZKONTROL-YP1-KIRMIZI-80900</t>
        </is>
      </c>
      <c r="E759" s="27" t="inlineStr">
        <is>
          <t>80 x 900</t>
        </is>
      </c>
      <c r="F759" s="28" t="inlineStr">
        <is>
          <t>TOZKONTROL-YP1</t>
        </is>
      </c>
      <c r="G759" s="29" t="inlineStr">
        <is>
          <t>Kapı Önü Paspası</t>
        </is>
      </c>
      <c r="H759" s="30" t="inlineStr">
        <is>
          <t>Paspas Yap</t>
        </is>
      </c>
      <c r="I759" s="31" t="n">
        <v>93.0</v>
      </c>
      <c r="J759" s="32" t="n">
        <v>12542.0</v>
      </c>
      <c r="K759" s="33" t="n">
        <v>11599.91</v>
      </c>
      <c r="L759" s="34" t="n">
        <v>22.0</v>
      </c>
      <c r="M759" s="35" t="n">
        <v>8155.05</v>
      </c>
      <c r="N759" s="36" t="inlineStr">
        <is>
          <t>25 Ağustos 08.00-1 Eylül 07.59</t>
        </is>
      </c>
      <c r="O759" s="37" t="n">
        <v>15.3</v>
      </c>
      <c r="P759" s="38" t="n">
        <v>11599.91</v>
      </c>
      <c r="Q759" s="39"/>
      <c r="R759" s="40" t="n">
        <f>=IF(AND(ISBLANK(Q759), ISBLANK(U759)), "", "7 Günlük Fiyat")</f>
        <v>0.0</v>
      </c>
      <c r="S759" s="41" t="n">
        <f>=IF(OR(Q759="", R759=""), "-", IF(ISNUMBER(SEARCH("7 Günlük", R759)), IF(Q759&lt;=M759, O759, "-"), "-"))</f>
        <v>0.0</v>
      </c>
      <c r="T759" s="42" t="str">
        <f>=IF(ISBLANK(Q759), "", "Hayır")</f>
      </c>
      <c r="U759" s="43"/>
      <c r="V759" s="44" t="inlineStr">
        <is>
          <t>50461ed1-c2c8-4393-967e-55d58a3e2664</t>
        </is>
      </c>
    </row>
    <row r="760">
      <c r="A760" s="23" t="inlineStr">
        <is>
          <t>Toz Ve Nem Alıcı Yolluk Paspas Iş Yeri Paspası Iç Ve Dış Mekan Paspası Rampalı Toz Alıcı Paspas</t>
        </is>
      </c>
      <c r="B760" s="24" t="inlineStr">
        <is>
          <t>770010757</t>
        </is>
      </c>
      <c r="C760" s="25" t="inlineStr">
        <is>
          <t>TOZKONTROL-YP1-KIRMIZI-120550</t>
        </is>
      </c>
      <c r="D760" s="26" t="inlineStr">
        <is>
          <t>TOZKONTROL-YP1-KIRMIZI-120550</t>
        </is>
      </c>
      <c r="E760" s="27" t="inlineStr">
        <is>
          <t>120 x 550</t>
        </is>
      </c>
      <c r="F760" s="28" t="inlineStr">
        <is>
          <t>TOZKONTROL-YP1</t>
        </is>
      </c>
      <c r="G760" s="29" t="inlineStr">
        <is>
          <t>Kapı Önü Paspası</t>
        </is>
      </c>
      <c r="H760" s="30" t="inlineStr">
        <is>
          <t>Paspas Yap</t>
        </is>
      </c>
      <c r="I760" s="31" t="n">
        <v>93.0</v>
      </c>
      <c r="J760" s="32" t="n">
        <v>11272.0</v>
      </c>
      <c r="K760" s="33" t="n">
        <v>10474.78</v>
      </c>
      <c r="L760" s="34" t="n">
        <v>22.0</v>
      </c>
      <c r="M760" s="35" t="n">
        <v>7326.13</v>
      </c>
      <c r="N760" s="36" t="inlineStr">
        <is>
          <t>25 Ağustos 08.00-1 Eylül 07.59</t>
        </is>
      </c>
      <c r="O760" s="37" t="n">
        <v>15.3</v>
      </c>
      <c r="P760" s="38" t="n">
        <v>10474.78</v>
      </c>
      <c r="Q760" s="39"/>
      <c r="R760" s="40" t="n">
        <f>=IF(AND(ISBLANK(Q760), ISBLANK(U760)), "", "7 Günlük Fiyat")</f>
        <v>0.0</v>
      </c>
      <c r="S760" s="41" t="n">
        <f>=IF(OR(Q760="", R760=""), "-", IF(ISNUMBER(SEARCH("7 Günlük", R760)), IF(Q760&lt;=M760, O760, "-"), "-"))</f>
        <v>0.0</v>
      </c>
      <c r="T760" s="42" t="str">
        <f>=IF(ISBLANK(Q760), "", "Hayır")</f>
      </c>
      <c r="U760" s="43"/>
      <c r="V760" s="44" t="inlineStr">
        <is>
          <t>50461ed1-c2c8-4393-967e-55d58a3e2664</t>
        </is>
      </c>
    </row>
    <row r="761">
      <c r="A761" s="23" t="inlineStr">
        <is>
          <t>Toz Ve Nem Alıcı Yolluk Paspas Iş Yeri Paspası Iç Ve Dış Mekan Paspası Rampalı Toz Alıcı Paspas</t>
        </is>
      </c>
      <c r="B761" s="24" t="inlineStr">
        <is>
          <t>770010757</t>
        </is>
      </c>
      <c r="C761" s="25" t="inlineStr">
        <is>
          <t>TOZKONTROL-YP1-KIRMIZI-80x1300</t>
        </is>
      </c>
      <c r="D761" s="26" t="inlineStr">
        <is>
          <t>TOZKONTROL-YP1-KIRMIZI-80x1300</t>
        </is>
      </c>
      <c r="E761" s="27" t="inlineStr">
        <is>
          <t>80 x 1300</t>
        </is>
      </c>
      <c r="F761" s="28" t="inlineStr">
        <is>
          <t>TOZKONTROL-YP1</t>
        </is>
      </c>
      <c r="G761" s="29" t="inlineStr">
        <is>
          <t>Kapı Önü Paspası</t>
        </is>
      </c>
      <c r="H761" s="30" t="inlineStr">
        <is>
          <t>Paspas Yap</t>
        </is>
      </c>
      <c r="I761" s="31" t="n">
        <v>93.0</v>
      </c>
      <c r="J761" s="32" t="n">
        <v>20205.0</v>
      </c>
      <c r="K761" s="33" t="n">
        <v>17263.09</v>
      </c>
      <c r="L761" s="34" t="n">
        <v>22.0</v>
      </c>
      <c r="M761" s="35" t="n">
        <v>11614.9</v>
      </c>
      <c r="N761" s="36" t="inlineStr">
        <is>
          <t>25 Ağustos 08.00-1 Eylül 07.59</t>
        </is>
      </c>
      <c r="O761" s="37" t="n">
        <v>13.9</v>
      </c>
      <c r="P761" s="38" t="n">
        <v>17263.09</v>
      </c>
      <c r="Q761" s="39"/>
      <c r="R761" s="40" t="n">
        <f>=IF(AND(ISBLANK(Q761), ISBLANK(U761)), "", "7 Günlük Fiyat")</f>
        <v>0.0</v>
      </c>
      <c r="S761" s="41" t="n">
        <f>=IF(OR(Q761="", R761=""), "-", IF(ISNUMBER(SEARCH("7 Günlük", R761)), IF(Q761&lt;=M761, O761, "-"), "-"))</f>
        <v>0.0</v>
      </c>
      <c r="T761" s="42" t="str">
        <f>=IF(ISBLANK(Q761), "", "Hayır")</f>
      </c>
      <c r="U761" s="43"/>
      <c r="V761" s="44" t="inlineStr">
        <is>
          <t>50461ed1-c2c8-4393-967e-55d58a3e2664</t>
        </is>
      </c>
    </row>
    <row r="762">
      <c r="A762" s="23" t="inlineStr">
        <is>
          <t>Toz Ve Nem Alıcı Yolluk Paspas Iş Yeri Paspası Iç Ve Dış Mekan Paspası Rampalı Toz Alıcı Paspas</t>
        </is>
      </c>
      <c r="B762" s="24" t="inlineStr">
        <is>
          <t>770010757</t>
        </is>
      </c>
      <c r="C762" s="25" t="inlineStr">
        <is>
          <t>TOZKONTROL-YP1-KIRMIZI-100200</t>
        </is>
      </c>
      <c r="D762" s="26" t="inlineStr">
        <is>
          <t>TOZKONTROL-YP1-KIRMIZI-100200</t>
        </is>
      </c>
      <c r="E762" s="27" t="inlineStr">
        <is>
          <t>100 x 200</t>
        </is>
      </c>
      <c r="F762" s="28" t="inlineStr">
        <is>
          <t>TOZKONTROL-YP1</t>
        </is>
      </c>
      <c r="G762" s="29" t="inlineStr">
        <is>
          <t>Kapı Önü Paspası</t>
        </is>
      </c>
      <c r="H762" s="30" t="inlineStr">
        <is>
          <t>Paspas Yap</t>
        </is>
      </c>
      <c r="I762" s="31" t="n">
        <v>92.0</v>
      </c>
      <c r="J762" s="32" t="n">
        <v>3729.0</v>
      </c>
      <c r="K762" s="33" t="n">
        <v>3410.68</v>
      </c>
      <c r="L762" s="34" t="n">
        <v>22.0</v>
      </c>
      <c r="M762" s="35" t="n">
        <v>2466.21</v>
      </c>
      <c r="N762" s="36" t="inlineStr">
        <is>
          <t>25 Ağustos 08.00-1 Eylül 07.59</t>
        </is>
      </c>
      <c r="O762" s="37" t="n">
        <v>15.6</v>
      </c>
      <c r="P762" s="38" t="n">
        <v>3410.68</v>
      </c>
      <c r="Q762" s="39"/>
      <c r="R762" s="40" t="n">
        <f>=IF(AND(ISBLANK(Q762), ISBLANK(U762)), "", "7 Günlük Fiyat")</f>
        <v>0.0</v>
      </c>
      <c r="S762" s="41" t="n">
        <f>=IF(OR(Q762="", R762=""), "-", IF(ISNUMBER(SEARCH("7 Günlük", R762)), IF(Q762&lt;=M762, O762, "-"), "-"))</f>
        <v>0.0</v>
      </c>
      <c r="T762" s="42" t="str">
        <f>=IF(ISBLANK(Q762), "", "Hayır")</f>
      </c>
      <c r="U762" s="43"/>
      <c r="V762" s="44" t="inlineStr">
        <is>
          <t>50461ed1-c2c8-4393-967e-55d58a3e2664</t>
        </is>
      </c>
    </row>
    <row r="763">
      <c r="A763" s="23" t="inlineStr">
        <is>
          <t>Toz Ve Nem Alıcı Yolluk Paspas Iş Yeri Paspası Iç Ve Dış Mekan Paspası Rampalı Toz Alıcı Paspas</t>
        </is>
      </c>
      <c r="B763" s="24" t="inlineStr">
        <is>
          <t>770010757</t>
        </is>
      </c>
      <c r="C763" s="25" t="inlineStr">
        <is>
          <t>TOZKONTROL-YP1-KIRMIZI-100800</t>
        </is>
      </c>
      <c r="D763" s="26" t="inlineStr">
        <is>
          <t>TOZKONTROL-YP1-KIRMIZI-100800</t>
        </is>
      </c>
      <c r="E763" s="27" t="inlineStr">
        <is>
          <t>100 x 800</t>
        </is>
      </c>
      <c r="F763" s="28" t="inlineStr">
        <is>
          <t>TOZKONTROL-YP1</t>
        </is>
      </c>
      <c r="G763" s="29" t="inlineStr">
        <is>
          <t>Kapı Önü Paspası</t>
        </is>
      </c>
      <c r="H763" s="30" t="inlineStr">
        <is>
          <t>Paspas Yap</t>
        </is>
      </c>
      <c r="I763" s="31" t="n">
        <v>93.0</v>
      </c>
      <c r="J763" s="32" t="n">
        <v>13749.0</v>
      </c>
      <c r="K763" s="33" t="n">
        <v>12770.94</v>
      </c>
      <c r="L763" s="34" t="n">
        <v>22.0</v>
      </c>
      <c r="M763" s="35" t="n">
        <v>8745.47</v>
      </c>
      <c r="N763" s="36" t="inlineStr">
        <is>
          <t>25 Ağustos 08.00-1 Eylül 07.59</t>
        </is>
      </c>
      <c r="O763" s="37" t="n">
        <v>14.8</v>
      </c>
      <c r="P763" s="38" t="n">
        <v>12770.94</v>
      </c>
      <c r="Q763" s="39"/>
      <c r="R763" s="40" t="n">
        <f>=IF(AND(ISBLANK(Q763), ISBLANK(U763)), "", "7 Günlük Fiyat")</f>
        <v>0.0</v>
      </c>
      <c r="S763" s="41" t="n">
        <f>=IF(OR(Q763="", R763=""), "-", IF(ISNUMBER(SEARCH("7 Günlük", R763)), IF(Q763&lt;=M763, O763, "-"), "-"))</f>
        <v>0.0</v>
      </c>
      <c r="T763" s="42" t="str">
        <f>=IF(ISBLANK(Q763), "", "Hayır")</f>
      </c>
      <c r="U763" s="43"/>
      <c r="V763" s="44" t="inlineStr">
        <is>
          <t>50461ed1-c2c8-4393-967e-55d58a3e2664</t>
        </is>
      </c>
    </row>
    <row r="764">
      <c r="A764" s="23" t="inlineStr">
        <is>
          <t>Toz Ve Nem Alıcı Yolluk Paspas Iş Yeri Paspası Iç Ve Dış Mekan Paspası Rampalı Toz Alıcı Paspas</t>
        </is>
      </c>
      <c r="B764" s="24" t="inlineStr">
        <is>
          <t>770010757</t>
        </is>
      </c>
      <c r="C764" s="25" t="inlineStr">
        <is>
          <t>TOZKONTROL-YP1-KIRMIZI-1001350</t>
        </is>
      </c>
      <c r="D764" s="26" t="inlineStr">
        <is>
          <t>TOZKONTROL-YP1-KIRMIZI-1001350</t>
        </is>
      </c>
      <c r="E764" s="27" t="inlineStr">
        <is>
          <t>100 x 1350</t>
        </is>
      </c>
      <c r="F764" s="28" t="inlineStr">
        <is>
          <t>TOZKONTROL-YP1</t>
        </is>
      </c>
      <c r="G764" s="29" t="inlineStr">
        <is>
          <t>Kapı Önü Paspası</t>
        </is>
      </c>
      <c r="H764" s="30" t="inlineStr">
        <is>
          <t>Paspas Yap</t>
        </is>
      </c>
      <c r="I764" s="31" t="n">
        <v>93.0</v>
      </c>
      <c r="J764" s="32" t="n">
        <v>24752.0</v>
      </c>
      <c r="K764" s="33" t="n">
        <v>22584.86</v>
      </c>
      <c r="L764" s="34" t="n">
        <v>22.0</v>
      </c>
      <c r="M764" s="35" t="n">
        <v>14302.18</v>
      </c>
      <c r="N764" s="36" t="inlineStr">
        <is>
          <t>25 Ağustos 08.00-1 Eylül 07.59</t>
        </is>
      </c>
      <c r="O764" s="37" t="n">
        <v>13.1</v>
      </c>
      <c r="P764" s="38" t="n">
        <v>22584.86</v>
      </c>
      <c r="Q764" s="39"/>
      <c r="R764" s="40" t="n">
        <f>=IF(AND(ISBLANK(Q764), ISBLANK(U764)), "", "7 Günlük Fiyat")</f>
        <v>0.0</v>
      </c>
      <c r="S764" s="41" t="n">
        <f>=IF(OR(Q764="", R764=""), "-", IF(ISNUMBER(SEARCH("7 Günlük", R764)), IF(Q764&lt;=M764, O764, "-"), "-"))</f>
        <v>0.0</v>
      </c>
      <c r="T764" s="42" t="str">
        <f>=IF(ISBLANK(Q764), "", "Hayır")</f>
      </c>
      <c r="U764" s="43"/>
      <c r="V764" s="44" t="inlineStr">
        <is>
          <t>50461ed1-c2c8-4393-967e-55d58a3e2664</t>
        </is>
      </c>
    </row>
    <row r="765">
      <c r="A765" s="23" t="inlineStr">
        <is>
          <t>Toz Ve Nem Alıcı Yolluk Paspas Iş Yeri Paspası Iç Ve Dış Mekan Paspası Rampalı Toz Alıcı Paspas</t>
        </is>
      </c>
      <c r="B765" s="24" t="inlineStr">
        <is>
          <t>770010757</t>
        </is>
      </c>
      <c r="C765" s="25" t="inlineStr">
        <is>
          <t>TOZKONTROL-YP1-KIRMIZI-120300</t>
        </is>
      </c>
      <c r="D765" s="26" t="inlineStr">
        <is>
          <t>TOZKONTROL-YP1-KIRMIZI-120300</t>
        </is>
      </c>
      <c r="E765" s="27" t="inlineStr">
        <is>
          <t>120 x 300</t>
        </is>
      </c>
      <c r="F765" s="28" t="inlineStr">
        <is>
          <t>TOZKONTROL-YP1</t>
        </is>
      </c>
      <c r="G765" s="29" t="inlineStr">
        <is>
          <t>Kapı Önü Paspası</t>
        </is>
      </c>
      <c r="H765" s="30" t="inlineStr">
        <is>
          <t>Paspas Yap</t>
        </is>
      </c>
      <c r="I765" s="31" t="n">
        <v>93.0</v>
      </c>
      <c r="J765" s="32" t="n">
        <v>6557.0</v>
      </c>
      <c r="K765" s="33" t="n">
        <v>6046.27</v>
      </c>
      <c r="L765" s="34" t="n">
        <v>22.0</v>
      </c>
      <c r="M765" s="35" t="n">
        <v>4262.2</v>
      </c>
      <c r="N765" s="36" t="inlineStr">
        <is>
          <t>25 Ağustos 08.00-1 Eylül 07.59</t>
        </is>
      </c>
      <c r="O765" s="37" t="n">
        <v>15.4</v>
      </c>
      <c r="P765" s="38" t="n">
        <v>6046.27</v>
      </c>
      <c r="Q765" s="39"/>
      <c r="R765" s="40" t="n">
        <f>=IF(AND(ISBLANK(Q765), ISBLANK(U765)), "", "7 Günlük Fiyat")</f>
        <v>0.0</v>
      </c>
      <c r="S765" s="41" t="n">
        <f>=IF(OR(Q765="", R765=""), "-", IF(ISNUMBER(SEARCH("7 Günlük", R765)), IF(Q765&lt;=M765, O765, "-"), "-"))</f>
        <v>0.0</v>
      </c>
      <c r="T765" s="42" t="str">
        <f>=IF(ISBLANK(Q765), "", "Hayır")</f>
      </c>
      <c r="U765" s="43"/>
      <c r="V765" s="44" t="inlineStr">
        <is>
          <t>50461ed1-c2c8-4393-967e-55d58a3e2664</t>
        </is>
      </c>
    </row>
    <row r="766">
      <c r="A766" s="23" t="inlineStr">
        <is>
          <t>Toz Ve Nem Alıcı Yolluk Paspas Iş Yeri Paspası Iç Ve Dış Mekan Paspası Rampalı Toz Alıcı Paspas</t>
        </is>
      </c>
      <c r="B766" s="24" t="inlineStr">
        <is>
          <t>770010757</t>
        </is>
      </c>
      <c r="C766" s="25" t="inlineStr">
        <is>
          <t>TOZKONTROL-YP1-KIRMIZI-60100</t>
        </is>
      </c>
      <c r="D766" s="26" t="inlineStr">
        <is>
          <t>TOZKONTROL-YP1-KIRMIZI-60100</t>
        </is>
      </c>
      <c r="E766" s="27" t="inlineStr">
        <is>
          <t>60 x 100</t>
        </is>
      </c>
      <c r="F766" s="28" t="inlineStr">
        <is>
          <t>TOZKONTROL-YP1</t>
        </is>
      </c>
      <c r="G766" s="29" t="inlineStr">
        <is>
          <t>Kapı Önü Paspası</t>
        </is>
      </c>
      <c r="H766" s="30" t="inlineStr">
        <is>
          <t>Paspas Yap</t>
        </is>
      </c>
      <c r="I766" s="31" t="n">
        <v>93.0</v>
      </c>
      <c r="J766" s="32" t="n">
        <v>1599.0</v>
      </c>
      <c r="K766" s="33" t="n">
        <v>1276.62</v>
      </c>
      <c r="L766" s="34" t="n">
        <v>22.0</v>
      </c>
      <c r="M766" s="35" t="n">
        <v>889.69</v>
      </c>
      <c r="N766" s="36" t="inlineStr">
        <is>
          <t>25 Ağustos 08.00-1 Eylül 07.59</t>
        </is>
      </c>
      <c r="O766" s="37" t="n">
        <v>13.7</v>
      </c>
      <c r="P766" s="38" t="n">
        <v>1276.62</v>
      </c>
      <c r="Q766" s="39"/>
      <c r="R766" s="40" t="n">
        <f>=IF(AND(ISBLANK(Q766), ISBLANK(U766)), "", "7 Günlük Fiyat")</f>
        <v>0.0</v>
      </c>
      <c r="S766" s="41" t="n">
        <f>=IF(OR(Q766="", R766=""), "-", IF(ISNUMBER(SEARCH("7 Günlük", R766)), IF(Q766&lt;=M766, O766, "-"), "-"))</f>
        <v>0.0</v>
      </c>
      <c r="T766" s="42" t="str">
        <f>=IF(ISBLANK(Q766), "", "Hayır")</f>
      </c>
      <c r="U766" s="43"/>
      <c r="V766" s="44" t="inlineStr">
        <is>
          <t>50461ed1-c2c8-4393-967e-55d58a3e2664</t>
        </is>
      </c>
    </row>
    <row r="767">
      <c r="A767" s="23" t="inlineStr">
        <is>
          <t>Toz Ve Nem Alıcı Yolluk Paspas Iş Yeri Paspası Iç Ve Dış Mekan Paspası Rampalı Toz Alıcı Paspas</t>
        </is>
      </c>
      <c r="B767" s="24" t="inlineStr">
        <is>
          <t>770010757</t>
        </is>
      </c>
      <c r="C767" s="25" t="inlineStr">
        <is>
          <t>TOZKONTROL-YP1-KIRMIZI-80x1200</t>
        </is>
      </c>
      <c r="D767" s="26" t="inlineStr">
        <is>
          <t>TOZKONTROL-YP1-KIRMIZI-80x1200</t>
        </is>
      </c>
      <c r="E767" s="27" t="inlineStr">
        <is>
          <t>80 x 1200</t>
        </is>
      </c>
      <c r="F767" s="28" t="inlineStr">
        <is>
          <t>TOZKONTROL-YP1</t>
        </is>
      </c>
      <c r="G767" s="29" t="inlineStr">
        <is>
          <t>Kapı Önü Paspası</t>
        </is>
      </c>
      <c r="H767" s="30" t="inlineStr">
        <is>
          <t>Paspas Yap</t>
        </is>
      </c>
      <c r="I767" s="31" t="n">
        <v>93.0</v>
      </c>
      <c r="J767" s="32" t="n">
        <v>16099.0</v>
      </c>
      <c r="K767" s="33" t="n">
        <v>14514.47</v>
      </c>
      <c r="L767" s="34" t="n">
        <v>22.0</v>
      </c>
      <c r="M767" s="35" t="n">
        <v>9841.71</v>
      </c>
      <c r="N767" s="36" t="inlineStr">
        <is>
          <t>25 Ağustos 08.00-1 Eylül 07.59</t>
        </is>
      </c>
      <c r="O767" s="37" t="n">
        <v>14.4</v>
      </c>
      <c r="P767" s="38" t="n">
        <v>14514.47</v>
      </c>
      <c r="Q767" s="39"/>
      <c r="R767" s="40" t="n">
        <f>=IF(AND(ISBLANK(Q767), ISBLANK(U767)), "", "7 Günlük Fiyat")</f>
        <v>0.0</v>
      </c>
      <c r="S767" s="41" t="n">
        <f>=IF(OR(Q767="", R767=""), "-", IF(ISNUMBER(SEARCH("7 Günlük", R767)), IF(Q767&lt;=M767, O767, "-"), "-"))</f>
        <v>0.0</v>
      </c>
      <c r="T767" s="42" t="str">
        <f>=IF(ISBLANK(Q767), "", "Hayır")</f>
      </c>
      <c r="U767" s="43"/>
      <c r="V767" s="44" t="inlineStr">
        <is>
          <t>50461ed1-c2c8-4393-967e-55d58a3e2664</t>
        </is>
      </c>
    </row>
    <row r="768">
      <c r="A768" s="23" t="inlineStr">
        <is>
          <t>Toz Ve Nem Alıcı Yolluk Paspas Iş Yeri Paspası Iç Ve Dış Mekan Paspası Rampalı Toz Alıcı Paspas</t>
        </is>
      </c>
      <c r="B768" s="24" t="inlineStr">
        <is>
          <t>770010757</t>
        </is>
      </c>
      <c r="C768" s="25" t="inlineStr">
        <is>
          <t>TOZKONTROL-YP1-KIRMIZI-120250</t>
        </is>
      </c>
      <c r="D768" s="26" t="inlineStr">
        <is>
          <t>TOZKONTROL-YP1-KIRMIZI-120250</t>
        </is>
      </c>
      <c r="E768" s="27" t="inlineStr">
        <is>
          <t>120 x 250</t>
        </is>
      </c>
      <c r="F768" s="28" t="inlineStr">
        <is>
          <t>TOZKONTROL-YP1</t>
        </is>
      </c>
      <c r="G768" s="29" t="inlineStr">
        <is>
          <t>Kapı Önü Paspası</t>
        </is>
      </c>
      <c r="H768" s="30" t="inlineStr">
        <is>
          <t>Paspas Yap</t>
        </is>
      </c>
      <c r="I768" s="31" t="n">
        <v>93.0</v>
      </c>
      <c r="J768" s="32" t="n">
        <v>5278.0</v>
      </c>
      <c r="K768" s="33" t="n">
        <v>4862.93</v>
      </c>
      <c r="L768" s="34" t="n">
        <v>22.0</v>
      </c>
      <c r="M768" s="35" t="n">
        <v>3620.96</v>
      </c>
      <c r="N768" s="36" t="inlineStr">
        <is>
          <t>25 Ağustos 08.00-1 Eylül 07.59</t>
        </is>
      </c>
      <c r="O768" s="37" t="n">
        <v>16.2</v>
      </c>
      <c r="P768" s="38" t="n">
        <v>4862.93</v>
      </c>
      <c r="Q768" s="39"/>
      <c r="R768" s="40" t="n">
        <f>=IF(AND(ISBLANK(Q768), ISBLANK(U768)), "", "7 Günlük Fiyat")</f>
        <v>0.0</v>
      </c>
      <c r="S768" s="41" t="n">
        <f>=IF(OR(Q768="", R768=""), "-", IF(ISNUMBER(SEARCH("7 Günlük", R768)), IF(Q768&lt;=M768, O768, "-"), "-"))</f>
        <v>0.0</v>
      </c>
      <c r="T768" s="42" t="str">
        <f>=IF(ISBLANK(Q768), "", "Hayır")</f>
      </c>
      <c r="U768" s="43"/>
      <c r="V768" s="44" t="inlineStr">
        <is>
          <t>50461ed1-c2c8-4393-967e-55d58a3e2664</t>
        </is>
      </c>
    </row>
    <row r="769">
      <c r="A769" s="23" t="inlineStr">
        <is>
          <t>Toz Ve Nem Alıcı Yolluk Paspas Iş Yeri Paspası Iç Ve Dış Mekan Paspası Rampalı Toz Alıcı Paspas</t>
        </is>
      </c>
      <c r="B769" s="24" t="inlineStr">
        <is>
          <t>770010757</t>
        </is>
      </c>
      <c r="C769" s="25" t="inlineStr">
        <is>
          <t>TOZKONTROL-YP1-KIRMIZI-5090</t>
        </is>
      </c>
      <c r="D769" s="26" t="inlineStr">
        <is>
          <t>TOZKONTROL-YP1-KIRMIZI-5090</t>
        </is>
      </c>
      <c r="E769" s="27" t="inlineStr">
        <is>
          <t>50 x 90</t>
        </is>
      </c>
      <c r="F769" s="28" t="inlineStr">
        <is>
          <t>TOZKONTROL-YP1</t>
        </is>
      </c>
      <c r="G769" s="29" t="inlineStr">
        <is>
          <t>Kapı Önü Paspası</t>
        </is>
      </c>
      <c r="H769" s="30" t="inlineStr">
        <is>
          <t>Paspas Yap</t>
        </is>
      </c>
      <c r="I769" s="31" t="n">
        <v>93.0</v>
      </c>
      <c r="J769" s="32" t="n">
        <v>1149.0</v>
      </c>
      <c r="K769" s="33" t="n">
        <v>985.35</v>
      </c>
      <c r="L769" s="34" t="n">
        <v>21.5</v>
      </c>
      <c r="M769" s="35" t="n">
        <v>847.62</v>
      </c>
      <c r="N769" s="36" t="inlineStr">
        <is>
          <t>25 Ağustos 08.00-1 Eylül 07.59</t>
        </is>
      </c>
      <c r="O769" s="37" t="n">
        <v>18.0</v>
      </c>
      <c r="P769" s="38" t="n">
        <v>985.35</v>
      </c>
      <c r="Q769" s="39"/>
      <c r="R769" s="40" t="n">
        <f>=IF(AND(ISBLANK(Q769), ISBLANK(U769)), "", "7 Günlük Fiyat")</f>
        <v>0.0</v>
      </c>
      <c r="S769" s="41" t="n">
        <f>=IF(OR(Q769="", R769=""), "-", IF(ISNUMBER(SEARCH("7 Günlük", R769)), IF(Q769&lt;=M769, O769, "-"), "-"))</f>
        <v>0.0</v>
      </c>
      <c r="T769" s="42" t="str">
        <f>=IF(ISBLANK(Q769), "", "Hayır")</f>
      </c>
      <c r="U769" s="43"/>
      <c r="V769" s="44" t="inlineStr">
        <is>
          <t>50461ed1-c2c8-4393-967e-55d58a3e2664</t>
        </is>
      </c>
    </row>
    <row r="770">
      <c r="A770" s="23" t="inlineStr">
        <is>
          <t>Toz Ve Nem Alıcı Yolluk Paspas Iş Yeri Paspası Iç Ve Dış Mekan Paspası Rampalı Toz Alıcı Paspas</t>
        </is>
      </c>
      <c r="B770" s="24" t="inlineStr">
        <is>
          <t>770010757</t>
        </is>
      </c>
      <c r="C770" s="25" t="inlineStr">
        <is>
          <t>TOZKONTROL-YP1-KIRMIZI-1001050</t>
        </is>
      </c>
      <c r="D770" s="26" t="inlineStr">
        <is>
          <t>TOZKONTROL-YP1-KIRMIZI-1001050</t>
        </is>
      </c>
      <c r="E770" s="27" t="inlineStr">
        <is>
          <t>100 x 1050</t>
        </is>
      </c>
      <c r="F770" s="28" t="inlineStr">
        <is>
          <t>TOZKONTROL-YP1</t>
        </is>
      </c>
      <c r="G770" s="29" t="inlineStr">
        <is>
          <t>Kapı Önü Paspası</t>
        </is>
      </c>
      <c r="H770" s="30" t="inlineStr">
        <is>
          <t>Paspas Yap</t>
        </is>
      </c>
      <c r="I770" s="31" t="n">
        <v>93.0</v>
      </c>
      <c r="J770" s="32" t="n">
        <v>20223.0</v>
      </c>
      <c r="K770" s="33" t="n">
        <v>17034.71</v>
      </c>
      <c r="L770" s="34" t="n">
        <v>22.0</v>
      </c>
      <c r="M770" s="35" t="n">
        <v>11060.24</v>
      </c>
      <c r="N770" s="36" t="inlineStr">
        <is>
          <t>25 Ağustos 08.00-1 Eylül 07.59</t>
        </is>
      </c>
      <c r="O770" s="37" t="n">
        <v>13.0</v>
      </c>
      <c r="P770" s="38" t="n">
        <v>17034.71</v>
      </c>
      <c r="Q770" s="39"/>
      <c r="R770" s="40" t="n">
        <f>=IF(AND(ISBLANK(Q770), ISBLANK(U770)), "", "7 Günlük Fiyat")</f>
        <v>0.0</v>
      </c>
      <c r="S770" s="41" t="n">
        <f>=IF(OR(Q770="", R770=""), "-", IF(ISNUMBER(SEARCH("7 Günlük", R770)), IF(Q770&lt;=M770, O770, "-"), "-"))</f>
        <v>0.0</v>
      </c>
      <c r="T770" s="42" t="str">
        <f>=IF(ISBLANK(Q770), "", "Hayır")</f>
      </c>
      <c r="U770" s="43"/>
      <c r="V770" s="44" t="inlineStr">
        <is>
          <t>50461ed1-c2c8-4393-967e-55d58a3e2664</t>
        </is>
      </c>
    </row>
    <row r="771">
      <c r="A771" s="23" t="inlineStr">
        <is>
          <t>Toz Ve Nem Alıcı Yolluk Paspas Iş Yeri Paspası Iç Ve Dış Mekan Paspası Rampalı Toz Alıcı Paspas</t>
        </is>
      </c>
      <c r="B771" s="24" t="inlineStr">
        <is>
          <t>770010757</t>
        </is>
      </c>
      <c r="C771" s="25" t="inlineStr">
        <is>
          <t>TOZKONTROL-YP1-KIRMIZI-1001200</t>
        </is>
      </c>
      <c r="D771" s="26" t="inlineStr">
        <is>
          <t>TOZKONTROL-YP1-KIRMIZI-1001200</t>
        </is>
      </c>
      <c r="E771" s="27" t="inlineStr">
        <is>
          <t>100 x 1200</t>
        </is>
      </c>
      <c r="F771" s="28" t="inlineStr">
        <is>
          <t>TOZKONTROL-YP1</t>
        </is>
      </c>
      <c r="G771" s="29" t="inlineStr">
        <is>
          <t>Kapı Önü Paspası</t>
        </is>
      </c>
      <c r="H771" s="30" t="inlineStr">
        <is>
          <t>Paspas Yap</t>
        </is>
      </c>
      <c r="I771" s="31" t="n">
        <v>93.0</v>
      </c>
      <c r="J771" s="32" t="n">
        <v>22715.0</v>
      </c>
      <c r="K771" s="33" t="n">
        <v>20667.85</v>
      </c>
      <c r="L771" s="34" t="n">
        <v>22.0</v>
      </c>
      <c r="M771" s="35" t="n">
        <v>12986.63</v>
      </c>
      <c r="N771" s="36" t="inlineStr">
        <is>
          <t>25 Ağustos 08.00-1 Eylül 07.59</t>
        </is>
      </c>
      <c r="O771" s="37" t="n">
        <v>12.9</v>
      </c>
      <c r="P771" s="38" t="n">
        <v>20667.85</v>
      </c>
      <c r="Q771" s="39"/>
      <c r="R771" s="40" t="n">
        <f>=IF(AND(ISBLANK(Q771), ISBLANK(U771)), "", "7 Günlük Fiyat")</f>
        <v>0.0</v>
      </c>
      <c r="S771" s="41" t="n">
        <f>=IF(OR(Q771="", R771=""), "-", IF(ISNUMBER(SEARCH("7 Günlük", R771)), IF(Q771&lt;=M771, O771, "-"), "-"))</f>
        <v>0.0</v>
      </c>
      <c r="T771" s="42" t="str">
        <f>=IF(ISBLANK(Q771), "", "Hayır")</f>
      </c>
      <c r="U771" s="43"/>
      <c r="V771" s="44" t="inlineStr">
        <is>
          <t>50461ed1-c2c8-4393-967e-55d58a3e2664</t>
        </is>
      </c>
    </row>
    <row r="772">
      <c r="A772" s="23" t="inlineStr">
        <is>
          <t>Toz Ve Nem Alıcı Yolluk Paspas Iş Yeri Paspası Iç Ve Dış Mekan Paspası Rampalı Toz Alıcı Paspas</t>
        </is>
      </c>
      <c r="B772" s="24" t="inlineStr">
        <is>
          <t>770010757</t>
        </is>
      </c>
      <c r="C772" s="25" t="inlineStr">
        <is>
          <t>TOZKONTROL-YP1-KIRMIZI-120750</t>
        </is>
      </c>
      <c r="D772" s="26" t="inlineStr">
        <is>
          <t>TOZKONTROL-YP1-KIRMIZI-120750</t>
        </is>
      </c>
      <c r="E772" s="27" t="inlineStr">
        <is>
          <t>120 x 750</t>
        </is>
      </c>
      <c r="F772" s="28" t="inlineStr">
        <is>
          <t>TOZKONTROL-YP1</t>
        </is>
      </c>
      <c r="G772" s="29" t="inlineStr">
        <is>
          <t>Kapı Önü Paspası</t>
        </is>
      </c>
      <c r="H772" s="30" t="inlineStr">
        <is>
          <t>Paspas Yap</t>
        </is>
      </c>
      <c r="I772" s="31" t="n">
        <v>93.0</v>
      </c>
      <c r="J772" s="32" t="n">
        <v>15170.0</v>
      </c>
      <c r="K772" s="33" t="n">
        <v>14126.71</v>
      </c>
      <c r="L772" s="34" t="n">
        <v>22.0</v>
      </c>
      <c r="M772" s="35" t="n">
        <v>9975.78</v>
      </c>
      <c r="N772" s="36" t="inlineStr">
        <is>
          <t>25 Ağustos 08.00-1 Eylül 07.59</t>
        </is>
      </c>
      <c r="O772" s="37" t="n">
        <v>15.5</v>
      </c>
      <c r="P772" s="38" t="n">
        <v>14126.71</v>
      </c>
      <c r="Q772" s="39"/>
      <c r="R772" s="40" t="n">
        <f>=IF(AND(ISBLANK(Q772), ISBLANK(U772)), "", "7 Günlük Fiyat")</f>
        <v>0.0</v>
      </c>
      <c r="S772" s="41" t="n">
        <f>=IF(OR(Q772="", R772=""), "-", IF(ISNUMBER(SEARCH("7 Günlük", R772)), IF(Q772&lt;=M772, O772, "-"), "-"))</f>
        <v>0.0</v>
      </c>
      <c r="T772" s="42" t="str">
        <f>=IF(ISBLANK(Q772), "", "Hayır")</f>
      </c>
      <c r="U772" s="43"/>
      <c r="V772" s="44" t="inlineStr">
        <is>
          <t>50461ed1-c2c8-4393-967e-55d58a3e2664</t>
        </is>
      </c>
    </row>
    <row r="773">
      <c r="A773" s="23" t="inlineStr">
        <is>
          <t>Toz Ve Nem Alıcı Yolluk Paspas Iş Yeri Paspası Iç Ve Dış Mekan Paspası Rampalı Toz Alıcı Paspas</t>
        </is>
      </c>
      <c r="B773" s="24" t="inlineStr">
        <is>
          <t>770010757</t>
        </is>
      </c>
      <c r="C773" s="25" t="inlineStr">
        <is>
          <t>TOZKONTROL-YP1-KIRMIZI-80850</t>
        </is>
      </c>
      <c r="D773" s="26" t="inlineStr">
        <is>
          <t>TOZKONTROL-YP1-KIRMIZI-80850</t>
        </is>
      </c>
      <c r="E773" s="27" t="inlineStr">
        <is>
          <t>80 x 850</t>
        </is>
      </c>
      <c r="F773" s="28" t="inlineStr">
        <is>
          <t>TOZKONTROL-YP1</t>
        </is>
      </c>
      <c r="G773" s="29" t="inlineStr">
        <is>
          <t>Kapı Önü Paspası</t>
        </is>
      </c>
      <c r="H773" s="30" t="inlineStr">
        <is>
          <t>Paspas Yap</t>
        </is>
      </c>
      <c r="I773" s="31" t="n">
        <v>93.0</v>
      </c>
      <c r="J773" s="32" t="n">
        <v>11939.0</v>
      </c>
      <c r="K773" s="33" t="n">
        <v>10936.39</v>
      </c>
      <c r="L773" s="34" t="n">
        <v>22.0</v>
      </c>
      <c r="M773" s="35" t="n">
        <v>7925.06</v>
      </c>
      <c r="N773" s="36" t="inlineStr">
        <is>
          <t>25 Ağustos 08.00-1 Eylül 07.59</t>
        </is>
      </c>
      <c r="O773" s="37" t="n">
        <v>15.8</v>
      </c>
      <c r="P773" s="38" t="n">
        <v>10936.39</v>
      </c>
      <c r="Q773" s="39"/>
      <c r="R773" s="40" t="n">
        <f>=IF(AND(ISBLANK(Q773), ISBLANK(U773)), "", "7 Günlük Fiyat")</f>
        <v>0.0</v>
      </c>
      <c r="S773" s="41" t="n">
        <f>=IF(OR(Q773="", R773=""), "-", IF(ISNUMBER(SEARCH("7 Günlük", R773)), IF(Q773&lt;=M773, O773, "-"), "-"))</f>
        <v>0.0</v>
      </c>
      <c r="T773" s="42" t="str">
        <f>=IF(ISBLANK(Q773), "", "Hayır")</f>
      </c>
      <c r="U773" s="43"/>
      <c r="V773" s="44" t="inlineStr">
        <is>
          <t>50461ed1-c2c8-4393-967e-55d58a3e2664</t>
        </is>
      </c>
    </row>
    <row r="774">
      <c r="A774" s="23" t="inlineStr">
        <is>
          <t>Toz Ve Nem Alıcı Yolluk Paspas Iş Yeri Paspası Iç Ve Dış Mekan Paspası Rampalı Toz Alıcı Paspas</t>
        </is>
      </c>
      <c r="B774" s="24" t="inlineStr">
        <is>
          <t>770010757</t>
        </is>
      </c>
      <c r="C774" s="25" t="inlineStr">
        <is>
          <t>TOZKONTROL-YP1-KIRMIZI-100450</t>
        </is>
      </c>
      <c r="D774" s="26" t="inlineStr">
        <is>
          <t>TOZKONTROL-YP1-KIRMIZI-100450</t>
        </is>
      </c>
      <c r="E774" s="27" t="inlineStr">
        <is>
          <t>100 x 450</t>
        </is>
      </c>
      <c r="F774" s="28" t="inlineStr">
        <is>
          <t>TOZKONTROL-YP1</t>
        </is>
      </c>
      <c r="G774" s="29" t="inlineStr">
        <is>
          <t>Kapı Önü Paspası</t>
        </is>
      </c>
      <c r="H774" s="30" t="inlineStr">
        <is>
          <t>Paspas Yap</t>
        </is>
      </c>
      <c r="I774" s="31" t="n">
        <v>93.0</v>
      </c>
      <c r="J774" s="32" t="n">
        <v>7737.0</v>
      </c>
      <c r="K774" s="33" t="n">
        <v>6968.95</v>
      </c>
      <c r="L774" s="34" t="n">
        <v>22.0</v>
      </c>
      <c r="M774" s="35" t="n">
        <v>4729.86</v>
      </c>
      <c r="N774" s="36" t="inlineStr">
        <is>
          <t>25 Ağustos 08.00-1 Eylül 07.59</t>
        </is>
      </c>
      <c r="O774" s="37" t="n">
        <v>14.6</v>
      </c>
      <c r="P774" s="38" t="n">
        <v>6968.95</v>
      </c>
      <c r="Q774" s="39"/>
      <c r="R774" s="40" t="n">
        <f>=IF(AND(ISBLANK(Q774), ISBLANK(U774)), "", "7 Günlük Fiyat")</f>
        <v>0.0</v>
      </c>
      <c r="S774" s="41" t="n">
        <f>=IF(OR(Q774="", R774=""), "-", IF(ISNUMBER(SEARCH("7 Günlük", R774)), IF(Q774&lt;=M774, O774, "-"), "-"))</f>
        <v>0.0</v>
      </c>
      <c r="T774" s="42" t="str">
        <f>=IF(ISBLANK(Q774), "", "Hayır")</f>
      </c>
      <c r="U774" s="43"/>
      <c r="V774" s="44" t="inlineStr">
        <is>
          <t>50461ed1-c2c8-4393-967e-55d58a3e2664</t>
        </is>
      </c>
    </row>
    <row r="775">
      <c r="A775" s="23" t="inlineStr">
        <is>
          <t>Toz Ve Nem Alıcı Yolluk Paspas Iş Yeri Paspası Iç Ve Dış Mekan Paspası Rampalı Toz Alıcı Paspas</t>
        </is>
      </c>
      <c r="B775" s="24" t="inlineStr">
        <is>
          <t>770010757</t>
        </is>
      </c>
      <c r="C775" s="25" t="inlineStr">
        <is>
          <t>TOZKONTROL-YP1-KIRMIZI-80200</t>
        </is>
      </c>
      <c r="D775" s="26" t="inlineStr">
        <is>
          <t>TOZKONTROL-YP1-KIRMIZI-80200</t>
        </is>
      </c>
      <c r="E775" s="27" t="inlineStr">
        <is>
          <t>80 x 200</t>
        </is>
      </c>
      <c r="F775" s="28" t="inlineStr">
        <is>
          <t>TOZKONTROL-YP1</t>
        </is>
      </c>
      <c r="G775" s="29" t="inlineStr">
        <is>
          <t>Kapı Önü Paspası</t>
        </is>
      </c>
      <c r="H775" s="30" t="inlineStr">
        <is>
          <t>Paspas Yap</t>
        </is>
      </c>
      <c r="I775" s="31" t="n">
        <v>93.0</v>
      </c>
      <c r="J775" s="32" t="n">
        <v>3141.0</v>
      </c>
      <c r="K775" s="33" t="n">
        <v>2840.13</v>
      </c>
      <c r="L775" s="34" t="n">
        <v>22.0</v>
      </c>
      <c r="M775" s="35" t="n">
        <v>2091.03</v>
      </c>
      <c r="N775" s="36" t="inlineStr">
        <is>
          <t>25 Ağustos 08.00-1 Eylül 07.59</t>
        </is>
      </c>
      <c r="O775" s="37" t="n">
        <v>15.7</v>
      </c>
      <c r="P775" s="38" t="n">
        <v>2840.13</v>
      </c>
      <c r="Q775" s="39"/>
      <c r="R775" s="40" t="n">
        <f>=IF(AND(ISBLANK(Q775), ISBLANK(U775)), "", "7 Günlük Fiyat")</f>
        <v>0.0</v>
      </c>
      <c r="S775" s="41" t="n">
        <f>=IF(OR(Q775="", R775=""), "-", IF(ISNUMBER(SEARCH("7 Günlük", R775)), IF(Q775&lt;=M775, O775, "-"), "-"))</f>
        <v>0.0</v>
      </c>
      <c r="T775" s="42" t="str">
        <f>=IF(ISBLANK(Q775), "", "Hayır")</f>
      </c>
      <c r="U775" s="43"/>
      <c r="V775" s="44" t="inlineStr">
        <is>
          <t>50461ed1-c2c8-4393-967e-55d58a3e2664</t>
        </is>
      </c>
    </row>
    <row r="776">
      <c r="A776" s="23" t="inlineStr">
        <is>
          <t>Toz Ve Nem Alıcı Yolluk Paspas Iş Yeri Paspası Iç Ve Dış Mekan Paspası Rampalı Toz Alıcı Paspas</t>
        </is>
      </c>
      <c r="B776" s="24" t="inlineStr">
        <is>
          <t>770010757</t>
        </is>
      </c>
      <c r="C776" s="25" t="inlineStr">
        <is>
          <t>TOZKONTROL-YP1-KIRMIZI-120850</t>
        </is>
      </c>
      <c r="D776" s="26" t="inlineStr">
        <is>
          <t>TOZKONTROL-YP1-KIRMIZI-120850</t>
        </is>
      </c>
      <c r="E776" s="27" t="inlineStr">
        <is>
          <t>120 x 850</t>
        </is>
      </c>
      <c r="F776" s="28" t="inlineStr">
        <is>
          <t>TOZKONTROL-YP1</t>
        </is>
      </c>
      <c r="G776" s="29" t="inlineStr">
        <is>
          <t>Kapı Önü Paspası</t>
        </is>
      </c>
      <c r="H776" s="30" t="inlineStr">
        <is>
          <t>Paspas Yap</t>
        </is>
      </c>
      <c r="I776" s="31" t="n">
        <v>93.0</v>
      </c>
      <c r="J776" s="32" t="n">
        <v>19685.0</v>
      </c>
      <c r="K776" s="33" t="n">
        <v>18093.43</v>
      </c>
      <c r="L776" s="34" t="n">
        <v>22.0</v>
      </c>
      <c r="M776" s="35" t="n">
        <v>12000.25</v>
      </c>
      <c r="N776" s="36" t="inlineStr">
        <is>
          <t>25 Ağustos 08.00-1 Eylül 07.59</t>
        </is>
      </c>
      <c r="O776" s="37" t="n">
        <v>14.2</v>
      </c>
      <c r="P776" s="38" t="n">
        <v>18093.43</v>
      </c>
      <c r="Q776" s="39"/>
      <c r="R776" s="40" t="n">
        <f>=IF(AND(ISBLANK(Q776), ISBLANK(U776)), "", "7 Günlük Fiyat")</f>
        <v>0.0</v>
      </c>
      <c r="S776" s="41" t="n">
        <f>=IF(OR(Q776="", R776=""), "-", IF(ISNUMBER(SEARCH("7 Günlük", R776)), IF(Q776&lt;=M776, O776, "-"), "-"))</f>
        <v>0.0</v>
      </c>
      <c r="T776" s="42" t="str">
        <f>=IF(ISBLANK(Q776), "", "Hayır")</f>
      </c>
      <c r="U776" s="43"/>
      <c r="V776" s="44" t="inlineStr">
        <is>
          <t>50461ed1-c2c8-4393-967e-55d58a3e2664</t>
        </is>
      </c>
    </row>
    <row r="777">
      <c r="A777" s="23" t="inlineStr">
        <is>
          <t>Toz Ve Nem Alıcı Yolluk Paspas Iş Yeri Paspası Iç Ve Dış Mekan Paspası Rampalı Toz Alıcı Paspas</t>
        </is>
      </c>
      <c r="B777" s="24" t="inlineStr">
        <is>
          <t>770010757</t>
        </is>
      </c>
      <c r="C777" s="25" t="inlineStr">
        <is>
          <t>TOZKONTROL-YP1-KIRMIZI-100400</t>
        </is>
      </c>
      <c r="D777" s="26" t="inlineStr">
        <is>
          <t>TOZKONTROL-YP1-KIRMIZI-100400</t>
        </is>
      </c>
      <c r="E777" s="27" t="inlineStr">
        <is>
          <t>100 x 400</t>
        </is>
      </c>
      <c r="F777" s="28" t="inlineStr">
        <is>
          <t>TOZKONTROL-YP1</t>
        </is>
      </c>
      <c r="G777" s="29" t="inlineStr">
        <is>
          <t>Kapı Önü Paspası</t>
        </is>
      </c>
      <c r="H777" s="30" t="inlineStr">
        <is>
          <t>Paspas Yap</t>
        </is>
      </c>
      <c r="I777" s="31" t="n">
        <v>93.0</v>
      </c>
      <c r="J777" s="32" t="n">
        <v>7139.0</v>
      </c>
      <c r="K777" s="33" t="n">
        <v>6599.7</v>
      </c>
      <c r="L777" s="34" t="n">
        <v>22.0</v>
      </c>
      <c r="M777" s="35" t="n">
        <v>4607.66</v>
      </c>
      <c r="N777" s="36" t="inlineStr">
        <is>
          <t>25 Ağustos 08.00-1 Eylül 07.59</t>
        </is>
      </c>
      <c r="O777" s="37" t="n">
        <v>15.2</v>
      </c>
      <c r="P777" s="38" t="n">
        <v>6599.7</v>
      </c>
      <c r="Q777" s="39"/>
      <c r="R777" s="40" t="n">
        <f>=IF(AND(ISBLANK(Q777), ISBLANK(U777)), "", "7 Günlük Fiyat")</f>
        <v>0.0</v>
      </c>
      <c r="S777" s="41" t="n">
        <f>=IF(OR(Q777="", R777=""), "-", IF(ISNUMBER(SEARCH("7 Günlük", R777)), IF(Q777&lt;=M777, O777, "-"), "-"))</f>
        <v>0.0</v>
      </c>
      <c r="T777" s="42" t="str">
        <f>=IF(ISBLANK(Q777), "", "Hayır")</f>
      </c>
      <c r="U777" s="43"/>
      <c r="V777" s="44" t="inlineStr">
        <is>
          <t>50461ed1-c2c8-4393-967e-55d58a3e2664</t>
        </is>
      </c>
    </row>
    <row r="778">
      <c r="A778" s="23" t="inlineStr">
        <is>
          <t>Toz Ve Nem Alıcı Yolluk Paspas Iş Yeri Paspası Iç Ve Dış Mekan Paspası Rampalı Toz Alıcı Paspas</t>
        </is>
      </c>
      <c r="B778" s="24" t="inlineStr">
        <is>
          <t>770010757</t>
        </is>
      </c>
      <c r="C778" s="25" t="inlineStr">
        <is>
          <t>TOZKONTROL-YP1-KIRMIZI-1201300</t>
        </is>
      </c>
      <c r="D778" s="26" t="inlineStr">
        <is>
          <t>TOZKONTROL-YP1-KIRMIZI-1201300</t>
        </is>
      </c>
      <c r="E778" s="27" t="inlineStr">
        <is>
          <t>120 x 1300</t>
        </is>
      </c>
      <c r="F778" s="28" t="inlineStr">
        <is>
          <t>TOZKONTROL-YP1</t>
        </is>
      </c>
      <c r="G778" s="29" t="inlineStr">
        <is>
          <t>Kapı Önü Paspası</t>
        </is>
      </c>
      <c r="H778" s="30" t="inlineStr">
        <is>
          <t>Paspas Yap</t>
        </is>
      </c>
      <c r="I778" s="31" t="n">
        <v>93.0</v>
      </c>
      <c r="J778" s="32" t="n">
        <v>27622.0</v>
      </c>
      <c r="K778" s="33" t="n">
        <v>23159.02</v>
      </c>
      <c r="L778" s="34" t="n">
        <v>22.0</v>
      </c>
      <c r="M778" s="35" t="n">
        <v>14643.68</v>
      </c>
      <c r="N778" s="36" t="inlineStr">
        <is>
          <t>25 Ağustos 08.00-1 Eylül 07.59</t>
        </is>
      </c>
      <c r="O778" s="37" t="n">
        <v>12.4</v>
      </c>
      <c r="P778" s="38" t="n">
        <v>23159.02</v>
      </c>
      <c r="Q778" s="39"/>
      <c r="R778" s="40" t="n">
        <f>=IF(AND(ISBLANK(Q778), ISBLANK(U778)), "", "7 Günlük Fiyat")</f>
        <v>0.0</v>
      </c>
      <c r="S778" s="41" t="n">
        <f>=IF(OR(Q778="", R778=""), "-", IF(ISNUMBER(SEARCH("7 Günlük", R778)), IF(Q778&lt;=M778, O778, "-"), "-"))</f>
        <v>0.0</v>
      </c>
      <c r="T778" s="42" t="str">
        <f>=IF(ISBLANK(Q778), "", "Hayır")</f>
      </c>
      <c r="U778" s="43"/>
      <c r="V778" s="44" t="inlineStr">
        <is>
          <t>50461ed1-c2c8-4393-967e-55d58a3e2664</t>
        </is>
      </c>
    </row>
    <row r="779">
      <c r="A779" s="23" t="inlineStr">
        <is>
          <t>Toz Ve Nem Alıcı Yolluk Paspas Iş Yeri Paspası Iç Ve Dış Mekan Paspası Rampalı Toz Alıcı Paspas</t>
        </is>
      </c>
      <c r="B779" s="24" t="inlineStr">
        <is>
          <t>770010757</t>
        </is>
      </c>
      <c r="C779" s="25" t="inlineStr">
        <is>
          <t>TOZKONTROL-YP1-KIRMIZI-80700</t>
        </is>
      </c>
      <c r="D779" s="26" t="inlineStr">
        <is>
          <t>TOZKONTROL-YP1-KIRMIZI-80700</t>
        </is>
      </c>
      <c r="E779" s="27" t="inlineStr">
        <is>
          <t>80 x 700</t>
        </is>
      </c>
      <c r="F779" s="28" t="inlineStr">
        <is>
          <t>TOZKONTROL-YP1</t>
        </is>
      </c>
      <c r="G779" s="29" t="inlineStr">
        <is>
          <t>Kapı Önü Paspası</t>
        </is>
      </c>
      <c r="H779" s="30" t="inlineStr">
        <is>
          <t>Paspas Yap</t>
        </is>
      </c>
      <c r="I779" s="31" t="n">
        <v>93.0</v>
      </c>
      <c r="J779" s="32" t="n">
        <v>9991.0</v>
      </c>
      <c r="K779" s="33" t="n">
        <v>9274.03</v>
      </c>
      <c r="L779" s="34" t="n">
        <v>22.0</v>
      </c>
      <c r="M779" s="35" t="n">
        <v>6494.81</v>
      </c>
      <c r="N779" s="36" t="inlineStr">
        <is>
          <t>25 Ağustos 08.00-1 Eylül 07.59</t>
        </is>
      </c>
      <c r="O779" s="37" t="n">
        <v>15.3</v>
      </c>
      <c r="P779" s="38" t="n">
        <v>9274.03</v>
      </c>
      <c r="Q779" s="39"/>
      <c r="R779" s="40" t="n">
        <f>=IF(AND(ISBLANK(Q779), ISBLANK(U779)), "", "7 Günlük Fiyat")</f>
        <v>0.0</v>
      </c>
      <c r="S779" s="41" t="n">
        <f>=IF(OR(Q779="", R779=""), "-", IF(ISNUMBER(SEARCH("7 Günlük", R779)), IF(Q779&lt;=M779, O779, "-"), "-"))</f>
        <v>0.0</v>
      </c>
      <c r="T779" s="42" t="str">
        <f>=IF(ISBLANK(Q779), "", "Hayır")</f>
      </c>
      <c r="U779" s="43"/>
      <c r="V779" s="44" t="inlineStr">
        <is>
          <t>50461ed1-c2c8-4393-967e-55d58a3e2664</t>
        </is>
      </c>
    </row>
    <row r="780">
      <c r="A780" s="23" t="inlineStr">
        <is>
          <t>Toz Ve Nem Alıcı Yolluk Paspas Iş Yeri Paspası Iç Ve Dış Mekan Paspası Rampalı Toz Alıcı Paspas</t>
        </is>
      </c>
      <c r="B780" s="24" t="inlineStr">
        <is>
          <t>770010757</t>
        </is>
      </c>
      <c r="C780" s="25" t="inlineStr">
        <is>
          <t>TOZKONTROL-YP1-KIRMIZI-120450</t>
        </is>
      </c>
      <c r="D780" s="26" t="inlineStr">
        <is>
          <t>TOZKONTROL-YP1-KIRMIZI-120450</t>
        </is>
      </c>
      <c r="E780" s="27" t="inlineStr">
        <is>
          <t>120 x 450</t>
        </is>
      </c>
      <c r="F780" s="28" t="inlineStr">
        <is>
          <t>TOZKONTROL-YP1</t>
        </is>
      </c>
      <c r="G780" s="29" t="inlineStr">
        <is>
          <t>Kapı Önü Paspası</t>
        </is>
      </c>
      <c r="H780" s="30" t="inlineStr">
        <is>
          <t>Paspas Yap</t>
        </is>
      </c>
      <c r="I780" s="31" t="n">
        <v>93.0</v>
      </c>
      <c r="J780" s="32" t="n">
        <v>9548.0</v>
      </c>
      <c r="K780" s="33" t="n">
        <v>8548.11</v>
      </c>
      <c r="L780" s="34" t="n">
        <v>22.0</v>
      </c>
      <c r="M780" s="35" t="n">
        <v>5954.81</v>
      </c>
      <c r="N780" s="36" t="inlineStr">
        <is>
          <t>25 Ağustos 08.00-1 Eylül 07.59</t>
        </is>
      </c>
      <c r="O780" s="37" t="n">
        <v>14.8</v>
      </c>
      <c r="P780" s="38" t="n">
        <v>8548.11</v>
      </c>
      <c r="Q780" s="39"/>
      <c r="R780" s="40" t="n">
        <f>=IF(AND(ISBLANK(Q780), ISBLANK(U780)), "", "7 Günlük Fiyat")</f>
        <v>0.0</v>
      </c>
      <c r="S780" s="41" t="n">
        <f>=IF(OR(Q780="", R780=""), "-", IF(ISNUMBER(SEARCH("7 Günlük", R780)), IF(Q780&lt;=M780, O780, "-"), "-"))</f>
        <v>0.0</v>
      </c>
      <c r="T780" s="42" t="str">
        <f>=IF(ISBLANK(Q780), "", "Hayır")</f>
      </c>
      <c r="U780" s="43"/>
      <c r="V780" s="44" t="inlineStr">
        <is>
          <t>50461ed1-c2c8-4393-967e-55d58a3e2664</t>
        </is>
      </c>
    </row>
    <row r="781">
      <c r="A781" s="23" t="inlineStr">
        <is>
          <t>Toz Ve Nem Alıcı Yolluk Paspas Iş Yeri Paspası Iç Ve Dış Mekan Paspası Rampalı Toz Alıcı Paspas</t>
        </is>
      </c>
      <c r="B781" s="24" t="inlineStr">
        <is>
          <t>770010757</t>
        </is>
      </c>
      <c r="C781" s="25" t="inlineStr">
        <is>
          <t>TOZKONTROL-YP1-KIRMIZI-100500</t>
        </is>
      </c>
      <c r="D781" s="26" t="inlineStr">
        <is>
          <t>TOZKONTROL-YP1-KIRMIZI-100500</t>
        </is>
      </c>
      <c r="E781" s="27" t="inlineStr">
        <is>
          <t>100 x 500</t>
        </is>
      </c>
      <c r="F781" s="28" t="inlineStr">
        <is>
          <t>TOZKONTROL-YP1</t>
        </is>
      </c>
      <c r="G781" s="29" t="inlineStr">
        <is>
          <t>Kapı Önü Paspası</t>
        </is>
      </c>
      <c r="H781" s="30" t="inlineStr">
        <is>
          <t>Paspas Yap</t>
        </is>
      </c>
      <c r="I781" s="31" t="n">
        <v>93.0</v>
      </c>
      <c r="J781" s="32" t="n">
        <v>8475.0</v>
      </c>
      <c r="K781" s="33" t="n">
        <v>7860.57</v>
      </c>
      <c r="L781" s="34" t="n">
        <v>22.0</v>
      </c>
      <c r="M781" s="35" t="n">
        <v>5572.83</v>
      </c>
      <c r="N781" s="36" t="inlineStr">
        <is>
          <t>25 Ağustos 08.00-1 Eylül 07.59</t>
        </is>
      </c>
      <c r="O781" s="37" t="n">
        <v>15.6</v>
      </c>
      <c r="P781" s="38" t="n">
        <v>7860.57</v>
      </c>
      <c r="Q781" s="39"/>
      <c r="R781" s="40" t="n">
        <f>=IF(AND(ISBLANK(Q781), ISBLANK(U781)), "", "7 Günlük Fiyat")</f>
        <v>0.0</v>
      </c>
      <c r="S781" s="41" t="n">
        <f>=IF(OR(Q781="", R781=""), "-", IF(ISNUMBER(SEARCH("7 Günlük", R781)), IF(Q781&lt;=M781, O781, "-"), "-"))</f>
        <v>0.0</v>
      </c>
      <c r="T781" s="42" t="str">
        <f>=IF(ISBLANK(Q781), "", "Hayır")</f>
      </c>
      <c r="U781" s="43"/>
      <c r="V781" s="44" t="inlineStr">
        <is>
          <t>50461ed1-c2c8-4393-967e-55d58a3e2664</t>
        </is>
      </c>
    </row>
    <row r="782">
      <c r="A782" s="23" t="inlineStr">
        <is>
          <t>Toz Ve Nem Alıcı Yolluk Paspas Iş Yeri Paspası Iç Ve Dış Mekan Paspası Rampalı Toz Alıcı Paspas</t>
        </is>
      </c>
      <c r="B782" s="24" t="inlineStr">
        <is>
          <t>770010757</t>
        </is>
      </c>
      <c r="C782" s="25" t="inlineStr">
        <is>
          <t>TOZKONTROL-YP1-KIRMIZI-801000</t>
        </is>
      </c>
      <c r="D782" s="26" t="inlineStr">
        <is>
          <t>TOZKONTROL-YP1-KIRMIZI-801000</t>
        </is>
      </c>
      <c r="E782" s="27" t="inlineStr">
        <is>
          <t>80 x 1000</t>
        </is>
      </c>
      <c r="F782" s="28" t="inlineStr">
        <is>
          <t>TOZKONTROL-YP1</t>
        </is>
      </c>
      <c r="G782" s="29" t="inlineStr">
        <is>
          <t>Kapı Önü Paspası</t>
        </is>
      </c>
      <c r="H782" s="30" t="inlineStr">
        <is>
          <t>Paspas Yap</t>
        </is>
      </c>
      <c r="I782" s="31" t="n">
        <v>93.0</v>
      </c>
      <c r="J782" s="32" t="n">
        <v>13749.0</v>
      </c>
      <c r="K782" s="33" t="n">
        <v>12808.57</v>
      </c>
      <c r="L782" s="34" t="n">
        <v>22.0</v>
      </c>
      <c r="M782" s="35" t="n">
        <v>8995.24</v>
      </c>
      <c r="N782" s="36" t="inlineStr">
        <is>
          <t>25 Ağustos 08.00-1 Eylül 07.59</t>
        </is>
      </c>
      <c r="O782" s="37" t="n">
        <v>15.4</v>
      </c>
      <c r="P782" s="38" t="n">
        <v>12808.57</v>
      </c>
      <c r="Q782" s="39"/>
      <c r="R782" s="40" t="n">
        <f>=IF(AND(ISBLANK(Q782), ISBLANK(U782)), "", "7 Günlük Fiyat")</f>
        <v>0.0</v>
      </c>
      <c r="S782" s="41" t="n">
        <f>=IF(OR(Q782="", R782=""), "-", IF(ISNUMBER(SEARCH("7 Günlük", R782)), IF(Q782&lt;=M782, O782, "-"), "-"))</f>
        <v>0.0</v>
      </c>
      <c r="T782" s="42" t="str">
        <f>=IF(ISBLANK(Q782), "", "Hayır")</f>
      </c>
      <c r="U782" s="43"/>
      <c r="V782" s="44" t="inlineStr">
        <is>
          <t>50461ed1-c2c8-4393-967e-55d58a3e2664</t>
        </is>
      </c>
    </row>
    <row r="783">
      <c r="A783" s="23" t="inlineStr">
        <is>
          <t>Toz Ve Nem Alıcı Yolluk Paspas Iş Yeri Paspası Iç Ve Dış Mekan Paspası Rampalı Toz Alıcı Paspas</t>
        </is>
      </c>
      <c r="B783" s="24" t="inlineStr">
        <is>
          <t>770010757</t>
        </is>
      </c>
      <c r="C783" s="25" t="inlineStr">
        <is>
          <t>TOZKONTROL-YP1-KIRMIZI-120600</t>
        </is>
      </c>
      <c r="D783" s="26" t="inlineStr">
        <is>
          <t>TOZKONTROL-YP1-KIRMIZI-120600</t>
        </is>
      </c>
      <c r="E783" s="27" t="inlineStr">
        <is>
          <t>120 x 600</t>
        </is>
      </c>
      <c r="F783" s="28" t="inlineStr">
        <is>
          <t>TOZKONTROL-YP1</t>
        </is>
      </c>
      <c r="G783" s="29" t="inlineStr">
        <is>
          <t>Kapı Önü Paspası</t>
        </is>
      </c>
      <c r="H783" s="30" t="inlineStr">
        <is>
          <t>Paspas Yap</t>
        </is>
      </c>
      <c r="I783" s="31" t="n">
        <v>93.0</v>
      </c>
      <c r="J783" s="32" t="n">
        <v>12542.0</v>
      </c>
      <c r="K783" s="33" t="n">
        <v>11547.32</v>
      </c>
      <c r="L783" s="34" t="n">
        <v>22.0</v>
      </c>
      <c r="M783" s="35" t="n">
        <v>7794.1</v>
      </c>
      <c r="N783" s="36" t="inlineStr">
        <is>
          <t>25 Ağustos 08.00-1 Eylül 07.59</t>
        </is>
      </c>
      <c r="O783" s="37" t="n">
        <v>14.5</v>
      </c>
      <c r="P783" s="38" t="n">
        <v>11547.32</v>
      </c>
      <c r="Q783" s="39"/>
      <c r="R783" s="40" t="n">
        <f>=IF(AND(ISBLANK(Q783), ISBLANK(U783)), "", "7 Günlük Fiyat")</f>
        <v>0.0</v>
      </c>
      <c r="S783" s="41" t="n">
        <f>=IF(OR(Q783="", R783=""), "-", IF(ISNUMBER(SEARCH("7 Günlük", R783)), IF(Q783&lt;=M783, O783, "-"), "-"))</f>
        <v>0.0</v>
      </c>
      <c r="T783" s="42" t="str">
        <f>=IF(ISBLANK(Q783), "", "Hayır")</f>
      </c>
      <c r="U783" s="43"/>
      <c r="V783" s="44" t="inlineStr">
        <is>
          <t>50461ed1-c2c8-4393-967e-55d58a3e2664</t>
        </is>
      </c>
    </row>
    <row r="784">
      <c r="A784" s="23" t="inlineStr">
        <is>
          <t>Toz Ve Nem Alıcı Yolluk Paspas Iş Yeri Paspası Iç Ve Dış Mekan Paspası Rampalı Toz Alıcı Paspas</t>
        </is>
      </c>
      <c r="B784" s="24" t="inlineStr">
        <is>
          <t>770010757</t>
        </is>
      </c>
      <c r="C784" s="25" t="inlineStr">
        <is>
          <t>TOZKONTROL-YP1-KIRMIZI-100120</t>
        </is>
      </c>
      <c r="D784" s="26" t="inlineStr">
        <is>
          <t>TOZKONTROL-YP1-KIRMIZI-100120</t>
        </is>
      </c>
      <c r="E784" s="27" t="inlineStr">
        <is>
          <t>100 x 120</t>
        </is>
      </c>
      <c r="F784" s="28" t="inlineStr">
        <is>
          <t>TOZKONTROL-YP1</t>
        </is>
      </c>
      <c r="G784" s="29" t="inlineStr">
        <is>
          <t>Kapı Önü Paspası</t>
        </is>
      </c>
      <c r="H784" s="30" t="inlineStr">
        <is>
          <t>Paspas Yap</t>
        </is>
      </c>
      <c r="I784" s="31" t="n">
        <v>93.0</v>
      </c>
      <c r="J784" s="32" t="n">
        <v>2759.0</v>
      </c>
      <c r="K784" s="33" t="n">
        <v>2300.25</v>
      </c>
      <c r="L784" s="34" t="n">
        <v>22.0</v>
      </c>
      <c r="M784" s="35" t="n">
        <v>1401.68</v>
      </c>
      <c r="N784" s="36" t="inlineStr">
        <is>
          <t>25 Ağustos 08.00-1 Eylül 07.59</t>
        </is>
      </c>
      <c r="O784" s="37" t="n">
        <v>12.1</v>
      </c>
      <c r="P784" s="38" t="n">
        <v>2300.25</v>
      </c>
      <c r="Q784" s="39"/>
      <c r="R784" s="40" t="n">
        <f>=IF(AND(ISBLANK(Q784), ISBLANK(U784)), "", "7 Günlük Fiyat")</f>
        <v>0.0</v>
      </c>
      <c r="S784" s="41" t="n">
        <f>=IF(OR(Q784="", R784=""), "-", IF(ISNUMBER(SEARCH("7 Günlük", R784)), IF(Q784&lt;=M784, O784, "-"), "-"))</f>
        <v>0.0</v>
      </c>
      <c r="T784" s="42" t="str">
        <f>=IF(ISBLANK(Q784), "", "Hayır")</f>
      </c>
      <c r="U784" s="43"/>
      <c r="V784" s="44" t="inlineStr">
        <is>
          <t>50461ed1-c2c8-4393-967e-55d58a3e2664</t>
        </is>
      </c>
    </row>
    <row r="785">
      <c r="A785" s="23" t="inlineStr">
        <is>
          <t>Toz Ve Nem Alıcı Yolluk Paspas Iş Yeri Paspası Iç Ve Dış Mekan Paspası Rampalı Toz Alıcı Paspas</t>
        </is>
      </c>
      <c r="B785" s="24" t="inlineStr">
        <is>
          <t>770010757</t>
        </is>
      </c>
      <c r="C785" s="25" t="inlineStr">
        <is>
          <t>TOZKONTROL-YP1-KIRMIZI-1001100</t>
        </is>
      </c>
      <c r="D785" s="26" t="inlineStr">
        <is>
          <t>TOZKONTROL-YP1-KIRMIZI-1001100</t>
        </is>
      </c>
      <c r="E785" s="27" t="inlineStr">
        <is>
          <t>100 x 1100</t>
        </is>
      </c>
      <c r="F785" s="28" t="inlineStr">
        <is>
          <t>TOZKONTROL-YP1</t>
        </is>
      </c>
      <c r="G785" s="29" t="inlineStr">
        <is>
          <t>Kapı Önü Paspası</t>
        </is>
      </c>
      <c r="H785" s="30" t="inlineStr">
        <is>
          <t>Paspas Yap</t>
        </is>
      </c>
      <c r="I785" s="31" t="n">
        <v>93.0</v>
      </c>
      <c r="J785" s="32" t="n">
        <v>20962.0</v>
      </c>
      <c r="K785" s="33" t="n">
        <v>19286.26</v>
      </c>
      <c r="L785" s="34" t="n">
        <v>22.0</v>
      </c>
      <c r="M785" s="35" t="n">
        <v>12828.93</v>
      </c>
      <c r="N785" s="36" t="inlineStr">
        <is>
          <t>25 Ağustos 08.00-1 Eylül 07.59</t>
        </is>
      </c>
      <c r="O785" s="37" t="n">
        <v>14.3</v>
      </c>
      <c r="P785" s="38" t="n">
        <v>19286.26</v>
      </c>
      <c r="Q785" s="39"/>
      <c r="R785" s="40" t="n">
        <f>=IF(AND(ISBLANK(Q785), ISBLANK(U785)), "", "7 Günlük Fiyat")</f>
        <v>0.0</v>
      </c>
      <c r="S785" s="41" t="n">
        <f>=IF(OR(Q785="", R785=""), "-", IF(ISNUMBER(SEARCH("7 Günlük", R785)), IF(Q785&lt;=M785, O785, "-"), "-"))</f>
        <v>0.0</v>
      </c>
      <c r="T785" s="42" t="str">
        <f>=IF(ISBLANK(Q785), "", "Hayır")</f>
      </c>
      <c r="U785" s="43"/>
      <c r="V785" s="44" t="inlineStr">
        <is>
          <t>50461ed1-c2c8-4393-967e-55d58a3e2664</t>
        </is>
      </c>
    </row>
    <row r="786">
      <c r="A786" s="23" t="inlineStr">
        <is>
          <t>Toz Ve Nem Alıcı Yolluk Paspas Iş Yeri Paspası Iç Ve Dış Mekan Paspası Rampalı Toz Alıcı Paspas</t>
        </is>
      </c>
      <c r="B786" s="24" t="inlineStr">
        <is>
          <t>770010757</t>
        </is>
      </c>
      <c r="C786" s="25" t="inlineStr">
        <is>
          <t>TOZKONTROL-YP1-KIRMIZI-1001250</t>
        </is>
      </c>
      <c r="D786" s="26" t="inlineStr">
        <is>
          <t>TOZKONTROL-YP1-KIRMIZI-1001250</t>
        </is>
      </c>
      <c r="E786" s="27" t="inlineStr">
        <is>
          <t>100 x 1250</t>
        </is>
      </c>
      <c r="F786" s="28" t="inlineStr">
        <is>
          <t>TOZKONTROL-YP1</t>
        </is>
      </c>
      <c r="G786" s="29" t="inlineStr">
        <is>
          <t>Kapı Önü Paspası</t>
        </is>
      </c>
      <c r="H786" s="30" t="inlineStr">
        <is>
          <t>Paspas Yap</t>
        </is>
      </c>
      <c r="I786" s="31" t="n">
        <v>93.0</v>
      </c>
      <c r="J786" s="32" t="n">
        <v>23175.0</v>
      </c>
      <c r="K786" s="33" t="n">
        <v>21170.54</v>
      </c>
      <c r="L786" s="34" t="n">
        <v>22.0</v>
      </c>
      <c r="M786" s="35" t="n">
        <v>13453.38</v>
      </c>
      <c r="N786" s="36" t="inlineStr">
        <is>
          <t>25 Ağustos 08.00-1 Eylül 07.59</t>
        </is>
      </c>
      <c r="O786" s="37" t="n">
        <v>13.2</v>
      </c>
      <c r="P786" s="38" t="n">
        <v>21170.54</v>
      </c>
      <c r="Q786" s="39"/>
      <c r="R786" s="40" t="n">
        <f>=IF(AND(ISBLANK(Q786), ISBLANK(U786)), "", "7 Günlük Fiyat")</f>
        <v>0.0</v>
      </c>
      <c r="S786" s="41" t="n">
        <f>=IF(OR(Q786="", R786=""), "-", IF(ISNUMBER(SEARCH("7 Günlük", R786)), IF(Q786&lt;=M786, O786, "-"), "-"))</f>
        <v>0.0</v>
      </c>
      <c r="T786" s="42" t="str">
        <f>=IF(ISBLANK(Q786), "", "Hayır")</f>
      </c>
      <c r="U786" s="43"/>
      <c r="V786" s="44" t="inlineStr">
        <is>
          <t>50461ed1-c2c8-4393-967e-55d58a3e2664</t>
        </is>
      </c>
    </row>
    <row r="787">
      <c r="A787" s="23" t="inlineStr">
        <is>
          <t>Toz Ve Nem Alıcı Yolluk Paspas Iş Yeri Paspası Iç Ve Dış Mekan Paspası Rampalı Toz Alıcı Paspas</t>
        </is>
      </c>
      <c r="B787" s="24" t="inlineStr">
        <is>
          <t>770010757</t>
        </is>
      </c>
      <c r="C787" s="25" t="inlineStr">
        <is>
          <t>TOZKONTROL-YP1-KIRMIZI-120150</t>
        </is>
      </c>
      <c r="D787" s="26" t="inlineStr">
        <is>
          <t>TOZKONTROL-YP1-KIRMIZI-120150</t>
        </is>
      </c>
      <c r="E787" s="27" t="inlineStr">
        <is>
          <t>120 x 150</t>
        </is>
      </c>
      <c r="F787" s="28" t="inlineStr">
        <is>
          <t>TOZKONTROL-YP1</t>
        </is>
      </c>
      <c r="G787" s="29" t="inlineStr">
        <is>
          <t>Kapı Önü Paspası</t>
        </is>
      </c>
      <c r="H787" s="30" t="inlineStr">
        <is>
          <t>Paspas Yap</t>
        </is>
      </c>
      <c r="I787" s="31" t="n">
        <v>93.0</v>
      </c>
      <c r="J787" s="32" t="n">
        <v>3376.0</v>
      </c>
      <c r="K787" s="33" t="n">
        <v>3052.56</v>
      </c>
      <c r="L787" s="34" t="n">
        <v>22.0</v>
      </c>
      <c r="M787" s="35" t="n">
        <v>2143.32</v>
      </c>
      <c r="N787" s="36" t="inlineStr">
        <is>
          <t>25 Ağustos 08.00-1 Eylül 07.59</t>
        </is>
      </c>
      <c r="O787" s="37" t="n">
        <v>15.0</v>
      </c>
      <c r="P787" s="38" t="n">
        <v>3052.56</v>
      </c>
      <c r="Q787" s="39"/>
      <c r="R787" s="40" t="n">
        <f>=IF(AND(ISBLANK(Q787), ISBLANK(U787)), "", "7 Günlük Fiyat")</f>
        <v>0.0</v>
      </c>
      <c r="S787" s="41" t="n">
        <f>=IF(OR(Q787="", R787=""), "-", IF(ISNUMBER(SEARCH("7 Günlük", R787)), IF(Q787&lt;=M787, O787, "-"), "-"))</f>
        <v>0.0</v>
      </c>
      <c r="T787" s="42" t="str">
        <f>=IF(ISBLANK(Q787), "", "Hayır")</f>
      </c>
      <c r="U787" s="43"/>
      <c r="V787" s="44" t="inlineStr">
        <is>
          <t>50461ed1-c2c8-4393-967e-55d58a3e2664</t>
        </is>
      </c>
    </row>
    <row r="788">
      <c r="A788" s="23" t="inlineStr">
        <is>
          <t>Toz Ve Nem Alıcı Yolluk Paspas Iş Yeri Paspası Iç Ve Dış Mekan Paspası Rampalı Toz Alıcı Paspas</t>
        </is>
      </c>
      <c r="B788" s="24" t="inlineStr">
        <is>
          <t>770010757</t>
        </is>
      </c>
      <c r="C788" s="25" t="inlineStr">
        <is>
          <t>TOZKONTROL-YP1-KIRMIZI-80750</t>
        </is>
      </c>
      <c r="D788" s="26" t="inlineStr">
        <is>
          <t>TOZKONTROL-YP1-KIRMIZI-80750</t>
        </is>
      </c>
      <c r="E788" s="27" t="inlineStr">
        <is>
          <t>80 x 750</t>
        </is>
      </c>
      <c r="F788" s="28" t="inlineStr">
        <is>
          <t>TOZKONTROL-YP1</t>
        </is>
      </c>
      <c r="G788" s="29" t="inlineStr">
        <is>
          <t>Kapı Önü Paspası</t>
        </is>
      </c>
      <c r="H788" s="30" t="inlineStr">
        <is>
          <t>Paspas Yap</t>
        </is>
      </c>
      <c r="I788" s="31" t="n">
        <v>93.0</v>
      </c>
      <c r="J788" s="32" t="n">
        <v>10655.0</v>
      </c>
      <c r="K788" s="33" t="n">
        <v>9737.73</v>
      </c>
      <c r="L788" s="34" t="n">
        <v>22.0</v>
      </c>
      <c r="M788" s="35" t="n">
        <v>7023.53</v>
      </c>
      <c r="N788" s="36" t="inlineStr">
        <is>
          <t>25 Ağustos 08.00-1 Eylül 07.59</t>
        </is>
      </c>
      <c r="O788" s="37" t="n">
        <v>15.7</v>
      </c>
      <c r="P788" s="38" t="n">
        <v>9737.73</v>
      </c>
      <c r="Q788" s="39"/>
      <c r="R788" s="40" t="n">
        <f>=IF(AND(ISBLANK(Q788), ISBLANK(U788)), "", "7 Günlük Fiyat")</f>
        <v>0.0</v>
      </c>
      <c r="S788" s="41" t="n">
        <f>=IF(OR(Q788="", R788=""), "-", IF(ISNUMBER(SEARCH("7 Günlük", R788)), IF(Q788&lt;=M788, O788, "-"), "-"))</f>
        <v>0.0</v>
      </c>
      <c r="T788" s="42" t="str">
        <f>=IF(ISBLANK(Q788), "", "Hayır")</f>
      </c>
      <c r="U788" s="43"/>
      <c r="V788" s="44" t="inlineStr">
        <is>
          <t>50461ed1-c2c8-4393-967e-55d58a3e2664</t>
        </is>
      </c>
    </row>
    <row r="789">
      <c r="A789" s="23" t="inlineStr">
        <is>
          <t>Toz Ve Nem Alıcı Yolluk Paspas Iş Yeri Paspası Iç Ve Dış Mekan Paspası Rampalı Toz Alıcı Paspas</t>
        </is>
      </c>
      <c r="B789" s="24" t="inlineStr">
        <is>
          <t>770010757</t>
        </is>
      </c>
      <c r="C789" s="25" t="inlineStr">
        <is>
          <t>TOZKONTROL-YP1-KIRMIZI-1201000</t>
        </is>
      </c>
      <c r="D789" s="26" t="inlineStr">
        <is>
          <t>TOZKONTROL-YP1-KIRMIZI-1201000</t>
        </is>
      </c>
      <c r="E789" s="27" t="inlineStr">
        <is>
          <t>120 x 1000</t>
        </is>
      </c>
      <c r="F789" s="28" t="inlineStr">
        <is>
          <t>TOZKONTROL-YP1</t>
        </is>
      </c>
      <c r="G789" s="29" t="inlineStr">
        <is>
          <t>Kapı Önü Paspası</t>
        </is>
      </c>
      <c r="H789" s="30" t="inlineStr">
        <is>
          <t>Paspas Yap</t>
        </is>
      </c>
      <c r="I789" s="31" t="n">
        <v>93.0</v>
      </c>
      <c r="J789" s="32" t="n">
        <v>22715.0</v>
      </c>
      <c r="K789" s="33" t="n">
        <v>20637.47</v>
      </c>
      <c r="L789" s="34" t="n">
        <v>22.0</v>
      </c>
      <c r="M789" s="35" t="n">
        <v>12908.33</v>
      </c>
      <c r="N789" s="36" t="inlineStr">
        <is>
          <t>25 Ağustos 08.00-1 Eylül 07.59</t>
        </is>
      </c>
      <c r="O789" s="37" t="n">
        <v>12.8</v>
      </c>
      <c r="P789" s="38" t="n">
        <v>20637.47</v>
      </c>
      <c r="Q789" s="39"/>
      <c r="R789" s="40" t="n">
        <f>=IF(AND(ISBLANK(Q789), ISBLANK(U789)), "", "7 Günlük Fiyat")</f>
        <v>0.0</v>
      </c>
      <c r="S789" s="41" t="n">
        <f>=IF(OR(Q789="", R789=""), "-", IF(ISNUMBER(SEARCH("7 Günlük", R789)), IF(Q789&lt;=M789, O789, "-"), "-"))</f>
        <v>0.0</v>
      </c>
      <c r="T789" s="42" t="str">
        <f>=IF(ISBLANK(Q789), "", "Hayır")</f>
      </c>
      <c r="U789" s="43"/>
      <c r="V789" s="44" t="inlineStr">
        <is>
          <t>50461ed1-c2c8-4393-967e-55d58a3e2664</t>
        </is>
      </c>
    </row>
    <row r="790">
      <c r="A790" s="23" t="inlineStr">
        <is>
          <t>Toz Ve Nem Alıcı Yolluk Paspas Iş Yeri Paspası Iç Ve Dış Mekan Paspası Rampalı Toz Alıcı Paspas</t>
        </is>
      </c>
      <c r="B790" s="24" t="inlineStr">
        <is>
          <t>770010757</t>
        </is>
      </c>
      <c r="C790" s="25" t="inlineStr">
        <is>
          <t>TOZKONTROL-YP1-KIRMIZI-120x1250</t>
        </is>
      </c>
      <c r="D790" s="26" t="inlineStr">
        <is>
          <t>TOZKONTROL-YP1-KIRMIZI-120x1250</t>
        </is>
      </c>
      <c r="E790" s="27" t="inlineStr">
        <is>
          <t>120 x 1250</t>
        </is>
      </c>
      <c r="F790" s="28" t="inlineStr">
        <is>
          <t>TOZKONTROL-YP1</t>
        </is>
      </c>
      <c r="G790" s="29" t="inlineStr">
        <is>
          <t>Kapı Önü Paspası</t>
        </is>
      </c>
      <c r="H790" s="30" t="inlineStr">
        <is>
          <t>Paspas Yap</t>
        </is>
      </c>
      <c r="I790" s="31" t="n">
        <v>93.0</v>
      </c>
      <c r="J790" s="32" t="n">
        <v>26967.0</v>
      </c>
      <c r="K790" s="33" t="n">
        <v>22497.92</v>
      </c>
      <c r="L790" s="34" t="n">
        <v>22.0</v>
      </c>
      <c r="M790" s="35" t="n">
        <v>14199.52</v>
      </c>
      <c r="N790" s="36" t="inlineStr">
        <is>
          <t>25 Ağustos 08.00-1 Eylül 07.59</t>
        </is>
      </c>
      <c r="O790" s="37" t="n">
        <v>12.3</v>
      </c>
      <c r="P790" s="38" t="n">
        <v>22497.92</v>
      </c>
      <c r="Q790" s="39"/>
      <c r="R790" s="40" t="n">
        <f>=IF(AND(ISBLANK(Q790), ISBLANK(U790)), "", "7 Günlük Fiyat")</f>
        <v>0.0</v>
      </c>
      <c r="S790" s="41" t="n">
        <f>=IF(OR(Q790="", R790=""), "-", IF(ISNUMBER(SEARCH("7 Günlük", R790)), IF(Q790&lt;=M790, O790, "-"), "-"))</f>
        <v>0.0</v>
      </c>
      <c r="T790" s="42" t="str">
        <f>=IF(ISBLANK(Q790), "", "Hayır")</f>
      </c>
      <c r="U790" s="43"/>
      <c r="V790" s="44" t="inlineStr">
        <is>
          <t>50461ed1-c2c8-4393-967e-55d58a3e2664</t>
        </is>
      </c>
    </row>
    <row r="791">
      <c r="A791" s="23" t="inlineStr">
        <is>
          <t>Toz Ve Nem Alıcı Yolluk Paspas Iş Yeri Paspası Iç Ve Dış Mekan Paspası Rampalı Toz Alıcı Paspas</t>
        </is>
      </c>
      <c r="B791" s="24" t="inlineStr">
        <is>
          <t>770010757</t>
        </is>
      </c>
      <c r="C791" s="25" t="inlineStr">
        <is>
          <t>TOZKONTROL-YP1-KIRMIZI-1201500</t>
        </is>
      </c>
      <c r="D791" s="26" t="inlineStr">
        <is>
          <t>TOZKONTROL-YP1-KIRMIZI-1201500</t>
        </is>
      </c>
      <c r="E791" s="27" t="inlineStr">
        <is>
          <t>120 x 1500</t>
        </is>
      </c>
      <c r="F791" s="28" t="inlineStr">
        <is>
          <t>TOZKONTROL-YP1</t>
        </is>
      </c>
      <c r="G791" s="29" t="inlineStr">
        <is>
          <t>Kapı Önü Paspası</t>
        </is>
      </c>
      <c r="H791" s="30" t="inlineStr">
        <is>
          <t>Paspas Yap</t>
        </is>
      </c>
      <c r="I791" s="31" t="n">
        <v>93.0</v>
      </c>
      <c r="J791" s="32" t="n">
        <v>31217.0</v>
      </c>
      <c r="K791" s="33" t="n">
        <v>24196.23</v>
      </c>
      <c r="L791" s="34" t="n">
        <v>22.0</v>
      </c>
      <c r="M791" s="35" t="n">
        <v>15181.05</v>
      </c>
      <c r="N791" s="36" t="inlineStr">
        <is>
          <t>25 Ağustos 08.00-1 Eylül 07.59</t>
        </is>
      </c>
      <c r="O791" s="37" t="n">
        <v>11.7</v>
      </c>
      <c r="P791" s="38" t="n">
        <v>24196.23</v>
      </c>
      <c r="Q791" s="39"/>
      <c r="R791" s="40" t="n">
        <f>=IF(AND(ISBLANK(Q791), ISBLANK(U791)), "", "7 Günlük Fiyat")</f>
        <v>0.0</v>
      </c>
      <c r="S791" s="41" t="n">
        <f>=IF(OR(Q791="", R791=""), "-", IF(ISNUMBER(SEARCH("7 Günlük", R791)), IF(Q791&lt;=M791, O791, "-"), "-"))</f>
        <v>0.0</v>
      </c>
      <c r="T791" s="42" t="str">
        <f>=IF(ISBLANK(Q791), "", "Hayır")</f>
      </c>
      <c r="U791" s="43"/>
      <c r="V791" s="44" t="inlineStr">
        <is>
          <t>50461ed1-c2c8-4393-967e-55d58a3e2664</t>
        </is>
      </c>
    </row>
    <row r="792">
      <c r="A792" s="23" t="inlineStr">
        <is>
          <t>Toz Ve Nem Alıcı Yolluk Paspas Iş Yeri Paspası Iç Ve Dış Mekan Paspası Rampalı Toz Alıcı Paspas</t>
        </is>
      </c>
      <c r="B792" s="24" t="inlineStr">
        <is>
          <t>770010757</t>
        </is>
      </c>
      <c r="C792" s="25" t="inlineStr">
        <is>
          <t>TOZKONTROL-YP1-KIRMIZI-100550</t>
        </is>
      </c>
      <c r="D792" s="26" t="inlineStr">
        <is>
          <t>TOZKONTROL-YP1-KIRMIZI-100550</t>
        </is>
      </c>
      <c r="E792" s="27" t="inlineStr">
        <is>
          <t>100 x 550</t>
        </is>
      </c>
      <c r="F792" s="28" t="inlineStr">
        <is>
          <t>TOZKONTROL-YP1</t>
        </is>
      </c>
      <c r="G792" s="29" t="inlineStr">
        <is>
          <t>Kapı Önü Paspası</t>
        </is>
      </c>
      <c r="H792" s="30" t="inlineStr">
        <is>
          <t>Paspas Yap</t>
        </is>
      </c>
      <c r="I792" s="31" t="n">
        <v>93.0</v>
      </c>
      <c r="J792" s="32" t="n">
        <v>9734.0</v>
      </c>
      <c r="K792" s="33" t="n">
        <v>8734.56</v>
      </c>
      <c r="L792" s="34" t="n">
        <v>22.0</v>
      </c>
      <c r="M792" s="35" t="n">
        <v>6128.58</v>
      </c>
      <c r="N792" s="36" t="inlineStr">
        <is>
          <t>25 Ağustos 08.00-1 Eylül 07.59</t>
        </is>
      </c>
      <c r="O792" s="37" t="n">
        <v>14.9</v>
      </c>
      <c r="P792" s="38" t="n">
        <v>8734.56</v>
      </c>
      <c r="Q792" s="39"/>
      <c r="R792" s="40" t="n">
        <f>=IF(AND(ISBLANK(Q792), ISBLANK(U792)), "", "7 Günlük Fiyat")</f>
        <v>0.0</v>
      </c>
      <c r="S792" s="41" t="n">
        <f>=IF(OR(Q792="", R792=""), "-", IF(ISNUMBER(SEARCH("7 Günlük", R792)), IF(Q792&lt;=M792, O792, "-"), "-"))</f>
        <v>0.0</v>
      </c>
      <c r="T792" s="42" t="str">
        <f>=IF(ISBLANK(Q792), "", "Hayır")</f>
      </c>
      <c r="U792" s="43"/>
      <c r="V792" s="44" t="inlineStr">
        <is>
          <t>50461ed1-c2c8-4393-967e-55d58a3e2664</t>
        </is>
      </c>
    </row>
    <row r="793">
      <c r="A793" s="23" t="inlineStr">
        <is>
          <t>Toz Ve Nem Alıcı Yolluk Paspas Iş Yeri Paspası Iç Ve Dış Mekan Paspası Rampalı Toz Alıcı Paspas</t>
        </is>
      </c>
      <c r="B793" s="24" t="inlineStr">
        <is>
          <t>770010757</t>
        </is>
      </c>
      <c r="C793" s="25" t="inlineStr">
        <is>
          <t>TOZKONTROL-YP1-KIRMIZI-80x1100</t>
        </is>
      </c>
      <c r="D793" s="26" t="inlineStr">
        <is>
          <t>TOZKONTROL-YP1-KIRMIZI-80x1100</t>
        </is>
      </c>
      <c r="E793" s="27" t="inlineStr">
        <is>
          <t>80 x 1100</t>
        </is>
      </c>
      <c r="F793" s="28" t="inlineStr">
        <is>
          <t>TOZKONTROL-YP1</t>
        </is>
      </c>
      <c r="G793" s="29" t="inlineStr">
        <is>
          <t>Kapı Önü Paspası</t>
        </is>
      </c>
      <c r="H793" s="30" t="inlineStr">
        <is>
          <t>Paspas Yap</t>
        </is>
      </c>
      <c r="I793" s="31" t="n">
        <v>93.0</v>
      </c>
      <c r="J793" s="32" t="n">
        <v>14955.0</v>
      </c>
      <c r="K793" s="33" t="n">
        <v>13859.67</v>
      </c>
      <c r="L793" s="34" t="n">
        <v>22.0</v>
      </c>
      <c r="M793" s="35" t="n">
        <v>9630.43</v>
      </c>
      <c r="N793" s="36" t="inlineStr">
        <is>
          <t>25 Ağustos 08.00-1 Eylül 07.59</t>
        </is>
      </c>
      <c r="O793" s="37" t="n">
        <v>15.1</v>
      </c>
      <c r="P793" s="38" t="n">
        <v>13859.67</v>
      </c>
      <c r="Q793" s="39"/>
      <c r="R793" s="40" t="n">
        <f>=IF(AND(ISBLANK(Q793), ISBLANK(U793)), "", "7 Günlük Fiyat")</f>
        <v>0.0</v>
      </c>
      <c r="S793" s="41" t="n">
        <f>=IF(OR(Q793="", R793=""), "-", IF(ISNUMBER(SEARCH("7 Günlük", R793)), IF(Q793&lt;=M793, O793, "-"), "-"))</f>
        <v>0.0</v>
      </c>
      <c r="T793" s="42" t="str">
        <f>=IF(ISBLANK(Q793), "", "Hayır")</f>
      </c>
      <c r="U793" s="43"/>
      <c r="V793" s="44" t="inlineStr">
        <is>
          <t>50461ed1-c2c8-4393-967e-55d58a3e2664</t>
        </is>
      </c>
    </row>
    <row r="794">
      <c r="A794" s="23" t="inlineStr">
        <is>
          <t>Toz Ve Nem Alıcı Yolluk Paspas Iş Yeri Paspası Iç Ve Dış Mekan Paspası Rampalı Toz Alıcı Paspas</t>
        </is>
      </c>
      <c r="B794" s="24" t="inlineStr">
        <is>
          <t>770010757</t>
        </is>
      </c>
      <c r="C794" s="25" t="inlineStr">
        <is>
          <t>TOZKONTROL-YP1-KIRMIZI-80950</t>
        </is>
      </c>
      <c r="D794" s="26" t="inlineStr">
        <is>
          <t>TOZKONTROL-YP1-KIRMIZI-80950</t>
        </is>
      </c>
      <c r="E794" s="27" t="inlineStr">
        <is>
          <t>80 x 950</t>
        </is>
      </c>
      <c r="F794" s="28" t="inlineStr">
        <is>
          <t>TOZKONTROL-YP1</t>
        </is>
      </c>
      <c r="G794" s="29" t="inlineStr">
        <is>
          <t>Kapı Önü Paspası</t>
        </is>
      </c>
      <c r="H794" s="30" t="inlineStr">
        <is>
          <t>Paspas Yap</t>
        </is>
      </c>
      <c r="I794" s="31" t="n">
        <v>93.0</v>
      </c>
      <c r="J794" s="32" t="n">
        <v>13145.0</v>
      </c>
      <c r="K794" s="33" t="n">
        <v>12176.34</v>
      </c>
      <c r="L794" s="34" t="n">
        <v>22.0</v>
      </c>
      <c r="M794" s="35" t="n">
        <v>8540.31</v>
      </c>
      <c r="N794" s="36" t="inlineStr">
        <is>
          <t>25 Ağustos 08.00-1 Eylül 07.59</t>
        </is>
      </c>
      <c r="O794" s="37" t="n">
        <v>15.3</v>
      </c>
      <c r="P794" s="38" t="n">
        <v>12176.34</v>
      </c>
      <c r="Q794" s="39"/>
      <c r="R794" s="40" t="n">
        <f>=IF(AND(ISBLANK(Q794), ISBLANK(U794)), "", "7 Günlük Fiyat")</f>
        <v>0.0</v>
      </c>
      <c r="S794" s="41" t="n">
        <f>=IF(OR(Q794="", R794=""), "-", IF(ISNUMBER(SEARCH("7 Günlük", R794)), IF(Q794&lt;=M794, O794, "-"), "-"))</f>
        <v>0.0</v>
      </c>
      <c r="T794" s="42" t="str">
        <f>=IF(ISBLANK(Q794), "", "Hayır")</f>
      </c>
      <c r="U794" s="43"/>
      <c r="V794" s="44" t="inlineStr">
        <is>
          <t>50461ed1-c2c8-4393-967e-55d58a3e2664</t>
        </is>
      </c>
    </row>
    <row r="795">
      <c r="A795" s="23" t="inlineStr">
        <is>
          <t>Toz Ve Nem Alıcı Yolluk Paspas Iş Yeri Paspası Iç Ve Dış Mekan Paspası Rampalı Toz Alıcı Paspas</t>
        </is>
      </c>
      <c r="B795" s="24" t="inlineStr">
        <is>
          <t>770010757</t>
        </is>
      </c>
      <c r="C795" s="25" t="inlineStr">
        <is>
          <t>TOZKONTROL-YP1-KIRMIZI-100100</t>
        </is>
      </c>
      <c r="D795" s="26" t="inlineStr">
        <is>
          <t>TOZKONTROL-YP1-KIRMIZI-100100</t>
        </is>
      </c>
      <c r="E795" s="27" t="inlineStr">
        <is>
          <t>100 x 100</t>
        </is>
      </c>
      <c r="F795" s="28" t="inlineStr">
        <is>
          <t>TOZKONTROL-YP1</t>
        </is>
      </c>
      <c r="G795" s="29" t="inlineStr">
        <is>
          <t>Kapı Önü Paspası</t>
        </is>
      </c>
      <c r="H795" s="30" t="inlineStr">
        <is>
          <t>Paspas Yap</t>
        </is>
      </c>
      <c r="I795" s="31" t="n">
        <v>93.0</v>
      </c>
      <c r="J795" s="32" t="n">
        <v>2172.0</v>
      </c>
      <c r="K795" s="33" t="n">
        <v>1937.01</v>
      </c>
      <c r="L795" s="34" t="n">
        <v>22.0</v>
      </c>
      <c r="M795" s="35" t="n">
        <v>1435.93</v>
      </c>
      <c r="N795" s="36" t="inlineStr">
        <is>
          <t>25 Ağustos 08.00-1 Eylül 07.59</t>
        </is>
      </c>
      <c r="O795" s="37" t="n">
        <v>16.1</v>
      </c>
      <c r="P795" s="38" t="n">
        <v>1937.01</v>
      </c>
      <c r="Q795" s="39"/>
      <c r="R795" s="40" t="n">
        <f>=IF(AND(ISBLANK(Q795), ISBLANK(U795)), "", "7 Günlük Fiyat")</f>
        <v>0.0</v>
      </c>
      <c r="S795" s="41" t="n">
        <f>=IF(OR(Q795="", R795=""), "-", IF(ISNUMBER(SEARCH("7 Günlük", R795)), IF(Q795&lt;=M795, O795, "-"), "-"))</f>
        <v>0.0</v>
      </c>
      <c r="T795" s="42" t="str">
        <f>=IF(ISBLANK(Q795), "", "Hayır")</f>
      </c>
      <c r="U795" s="43"/>
      <c r="V795" s="44" t="inlineStr">
        <is>
          <t>50461ed1-c2c8-4393-967e-55d58a3e2664</t>
        </is>
      </c>
    </row>
    <row r="796">
      <c r="A796" s="23" t="inlineStr">
        <is>
          <t>Toz Ve Nem Alıcı Yolluk Paspas Iş Yeri Paspası Iç Ve Dış Mekan Paspası Rampalı Toz Alıcı Paspas</t>
        </is>
      </c>
      <c r="B796" s="24" t="inlineStr">
        <is>
          <t>770010757</t>
        </is>
      </c>
      <c r="C796" s="25" t="inlineStr">
        <is>
          <t>TOZKONTROL-YP1-KIRMIZI-100250</t>
        </is>
      </c>
      <c r="D796" s="26" t="inlineStr">
        <is>
          <t>TOZKONTROL-YP1-KIRMIZI-100250</t>
        </is>
      </c>
      <c r="E796" s="27" t="inlineStr">
        <is>
          <t>100 x 250</t>
        </is>
      </c>
      <c r="F796" s="28" t="inlineStr">
        <is>
          <t>TOZKONTROL-YP1</t>
        </is>
      </c>
      <c r="G796" s="29" t="inlineStr">
        <is>
          <t>Kapı Önü Paspası</t>
        </is>
      </c>
      <c r="H796" s="30" t="inlineStr">
        <is>
          <t>Paspas Yap</t>
        </is>
      </c>
      <c r="I796" s="31" t="n">
        <v>93.0</v>
      </c>
      <c r="J796" s="32" t="n">
        <v>4580.0</v>
      </c>
      <c r="K796" s="33" t="n">
        <v>4143.71</v>
      </c>
      <c r="L796" s="34" t="n">
        <v>22.0</v>
      </c>
      <c r="M796" s="35" t="n">
        <v>3040.69</v>
      </c>
      <c r="N796" s="36" t="inlineStr">
        <is>
          <t>25 Ağustos 08.00-1 Eylül 07.59</t>
        </is>
      </c>
      <c r="O796" s="37" t="n">
        <v>15.8</v>
      </c>
      <c r="P796" s="38" t="n">
        <v>4143.71</v>
      </c>
      <c r="Q796" s="39"/>
      <c r="R796" s="40" t="n">
        <f>=IF(AND(ISBLANK(Q796), ISBLANK(U796)), "", "7 Günlük Fiyat")</f>
        <v>0.0</v>
      </c>
      <c r="S796" s="41" t="n">
        <f>=IF(OR(Q796="", R796=""), "-", IF(ISNUMBER(SEARCH("7 Günlük", R796)), IF(Q796&lt;=M796, O796, "-"), "-"))</f>
        <v>0.0</v>
      </c>
      <c r="T796" s="42" t="str">
        <f>=IF(ISBLANK(Q796), "", "Hayır")</f>
      </c>
      <c r="U796" s="43"/>
      <c r="V796" s="44" t="inlineStr">
        <is>
          <t>50461ed1-c2c8-4393-967e-55d58a3e2664</t>
        </is>
      </c>
    </row>
    <row r="797">
      <c r="A797" s="23" t="inlineStr">
        <is>
          <t>Toz Ve Nem Alıcı Yolluk Paspas Iş Yeri Paspası Iç Ve Dış Mekan Paspası Rampalı Toz Alıcı Paspas</t>
        </is>
      </c>
      <c r="B797" s="24" t="inlineStr">
        <is>
          <t>770010757</t>
        </is>
      </c>
      <c r="C797" s="25" t="inlineStr">
        <is>
          <t>TOZKONTROL-YP1-KIRMIZI-100750</t>
        </is>
      </c>
      <c r="D797" s="26" t="inlineStr">
        <is>
          <t>TOZKONTROL-YP1-KIRMIZI-100750</t>
        </is>
      </c>
      <c r="E797" s="27" t="inlineStr">
        <is>
          <t>100 x 750</t>
        </is>
      </c>
      <c r="F797" s="28" t="inlineStr">
        <is>
          <t>TOZKONTROL-YP1</t>
        </is>
      </c>
      <c r="G797" s="29" t="inlineStr">
        <is>
          <t>Kapı Önü Paspası</t>
        </is>
      </c>
      <c r="H797" s="30" t="inlineStr">
        <is>
          <t>Paspas Yap</t>
        </is>
      </c>
      <c r="I797" s="31" t="n">
        <v>93.0</v>
      </c>
      <c r="J797" s="32" t="n">
        <v>12726.0</v>
      </c>
      <c r="K797" s="33" t="n">
        <v>11832.61</v>
      </c>
      <c r="L797" s="34" t="n">
        <v>22.0</v>
      </c>
      <c r="M797" s="35" t="n">
        <v>8246.55</v>
      </c>
      <c r="N797" s="36" t="inlineStr">
        <is>
          <t>25 Ağustos 08.00-1 Eylül 07.59</t>
        </is>
      </c>
      <c r="O797" s="37" t="n">
        <v>15.2</v>
      </c>
      <c r="P797" s="38" t="n">
        <v>11832.61</v>
      </c>
      <c r="Q797" s="39"/>
      <c r="R797" s="40" t="n">
        <f>=IF(AND(ISBLANK(Q797), ISBLANK(U797)), "", "7 Günlük Fiyat")</f>
        <v>0.0</v>
      </c>
      <c r="S797" s="41" t="n">
        <f>=IF(OR(Q797="", R797=""), "-", IF(ISNUMBER(SEARCH("7 Günlük", R797)), IF(Q797&lt;=M797, O797, "-"), "-"))</f>
        <v>0.0</v>
      </c>
      <c r="T797" s="42" t="str">
        <f>=IF(ISBLANK(Q797), "", "Hayır")</f>
      </c>
      <c r="U797" s="43"/>
      <c r="V797" s="44" t="inlineStr">
        <is>
          <t>50461ed1-c2c8-4393-967e-55d58a3e2664</t>
        </is>
      </c>
    </row>
    <row r="798">
      <c r="A798" s="23" t="inlineStr">
        <is>
          <t>Toz Ve Nem Alıcı Yolluk Paspas Iş Yeri Paspası Iç Ve Dış Mekan Paspası Rampalı Toz Alıcı Paspas</t>
        </is>
      </c>
      <c r="B798" s="24" t="inlineStr">
        <is>
          <t>770010757</t>
        </is>
      </c>
      <c r="C798" s="25" t="inlineStr">
        <is>
          <t>TOZKONTROL-YP1-KIRMIZI-120900</t>
        </is>
      </c>
      <c r="D798" s="26" t="inlineStr">
        <is>
          <t>TOZKONTROL-YP1-KIRMIZI-120900</t>
        </is>
      </c>
      <c r="E798" s="27" t="inlineStr">
        <is>
          <t>120 x 900</t>
        </is>
      </c>
      <c r="F798" s="28" t="inlineStr">
        <is>
          <t>TOZKONTROL-YP1</t>
        </is>
      </c>
      <c r="G798" s="29" t="inlineStr">
        <is>
          <t>Kapı Önü Paspası</t>
        </is>
      </c>
      <c r="H798" s="30" t="inlineStr">
        <is>
          <t>Paspas Yap</t>
        </is>
      </c>
      <c r="I798" s="31" t="n">
        <v>93.0</v>
      </c>
      <c r="J798" s="32" t="n">
        <v>20833.0</v>
      </c>
      <c r="K798" s="33" t="n">
        <v>19170.73</v>
      </c>
      <c r="L798" s="34" t="n">
        <v>22.0</v>
      </c>
      <c r="M798" s="35" t="n">
        <v>12765.55</v>
      </c>
      <c r="N798" s="36" t="inlineStr">
        <is>
          <t>25 Ağustos 08.00-1 Eylül 07.59</t>
        </is>
      </c>
      <c r="O798" s="37" t="n">
        <v>14.3</v>
      </c>
      <c r="P798" s="38" t="n">
        <v>19170.73</v>
      </c>
      <c r="Q798" s="39"/>
      <c r="R798" s="40" t="n">
        <f>=IF(AND(ISBLANK(Q798), ISBLANK(U798)), "", "7 Günlük Fiyat")</f>
        <v>0.0</v>
      </c>
      <c r="S798" s="41" t="n">
        <f>=IF(OR(Q798="", R798=""), "-", IF(ISNUMBER(SEARCH("7 Günlük", R798)), IF(Q798&lt;=M798, O798, "-"), "-"))</f>
        <v>0.0</v>
      </c>
      <c r="T798" s="42" t="str">
        <f>=IF(ISBLANK(Q798), "", "Hayır")</f>
      </c>
      <c r="U798" s="43"/>
      <c r="V798" s="44" t="inlineStr">
        <is>
          <t>50461ed1-c2c8-4393-967e-55d58a3e2664</t>
        </is>
      </c>
    </row>
    <row r="799">
      <c r="A799" s="23" t="inlineStr">
        <is>
          <t>Toz Ve Nem Alıcı Yolluk Paspas Iş Yeri Paspası Iç Ve Dış Mekan Paspası Rampalı Toz Alıcı Paspas</t>
        </is>
      </c>
      <c r="B799" s="24" t="inlineStr">
        <is>
          <t>770010757</t>
        </is>
      </c>
      <c r="C799" s="25" t="inlineStr">
        <is>
          <t>TOZKONTROL-YP1-KIRMIZI-80450</t>
        </is>
      </c>
      <c r="D799" s="26" t="inlineStr">
        <is>
          <t>TOZKONTROL-YP1-KIRMIZI-80450</t>
        </is>
      </c>
      <c r="E799" s="27" t="inlineStr">
        <is>
          <t>80 x 450</t>
        </is>
      </c>
      <c r="F799" s="28" t="inlineStr">
        <is>
          <t>TOZKONTROL-YP1</t>
        </is>
      </c>
      <c r="G799" s="29" t="inlineStr">
        <is>
          <t>Kapı Önü Paspası</t>
        </is>
      </c>
      <c r="H799" s="30" t="inlineStr">
        <is>
          <t>Paspas Yap</t>
        </is>
      </c>
      <c r="I799" s="31" t="n">
        <v>93.0</v>
      </c>
      <c r="J799" s="32" t="n">
        <v>6557.0</v>
      </c>
      <c r="K799" s="33" t="n">
        <v>6010.65</v>
      </c>
      <c r="L799" s="34" t="n">
        <v>22.0</v>
      </c>
      <c r="M799" s="35" t="n">
        <v>4207.33</v>
      </c>
      <c r="N799" s="36" t="inlineStr">
        <is>
          <t>25 Ağustos 08.00-1 Eylül 07.59</t>
        </is>
      </c>
      <c r="O799" s="37" t="n">
        <v>15.1</v>
      </c>
      <c r="P799" s="38" t="n">
        <v>6010.65</v>
      </c>
      <c r="Q799" s="39"/>
      <c r="R799" s="40" t="n">
        <f>=IF(AND(ISBLANK(Q799), ISBLANK(U799)), "", "7 Günlük Fiyat")</f>
        <v>0.0</v>
      </c>
      <c r="S799" s="41" t="n">
        <f>=IF(OR(Q799="", R799=""), "-", IF(ISNUMBER(SEARCH("7 Günlük", R799)), IF(Q799&lt;=M799, O799, "-"), "-"))</f>
        <v>0.0</v>
      </c>
      <c r="T799" s="42" t="str">
        <f>=IF(ISBLANK(Q799), "", "Hayır")</f>
      </c>
      <c r="U799" s="43"/>
      <c r="V799" s="44" t="inlineStr">
        <is>
          <t>50461ed1-c2c8-4393-967e-55d58a3e2664</t>
        </is>
      </c>
    </row>
    <row r="800">
      <c r="A800" s="23" t="inlineStr">
        <is>
          <t>So Clean So Fresh Banyo Paspas Kaymaz Paspas Su Emen Islak Zemin Küvet Paspas Kivircik Paspas 40x60</t>
        </is>
      </c>
      <c r="B800" s="24" t="inlineStr">
        <is>
          <t>751502215</t>
        </is>
      </c>
      <c r="C800" s="25" t="inlineStr">
        <is>
          <t>KPBP4-4060-GRI</t>
        </is>
      </c>
      <c r="D800" s="26" t="inlineStr">
        <is>
          <t>KPBP4-4060-GRI</t>
        </is>
      </c>
      <c r="E800" s="27"/>
      <c r="F800" s="28" t="inlineStr">
        <is>
          <t>KPBP4</t>
        </is>
      </c>
      <c r="G800" s="29" t="inlineStr">
        <is>
          <t>Banyo Paspası</t>
        </is>
      </c>
      <c r="H800" s="30" t="inlineStr">
        <is>
          <t>Paspas Yap</t>
        </is>
      </c>
      <c r="I800" s="31" t="n">
        <v>92.0</v>
      </c>
      <c r="J800" s="32" t="n">
        <v>624.0</v>
      </c>
      <c r="K800" s="33" t="n">
        <v>560.0</v>
      </c>
      <c r="L800" s="34" t="n">
        <v>21.0</v>
      </c>
      <c r="M800" s="35" t="n">
        <v>463.2</v>
      </c>
      <c r="N800" s="36" t="inlineStr">
        <is>
          <t>25 Ağustos 08.00-1 Eylül 07.59</t>
        </is>
      </c>
      <c r="O800" s="37" t="n">
        <v>16.4</v>
      </c>
      <c r="P800" s="38" t="n">
        <v>560.0</v>
      </c>
      <c r="Q800" s="39"/>
      <c r="R800" s="40" t="n">
        <f>=IF(AND(ISBLANK(Q800), ISBLANK(U800)), "", "7 Günlük Fiyat")</f>
        <v>0.0</v>
      </c>
      <c r="S800" s="41" t="n">
        <f>=IF(OR(Q800="", R800=""), "-", IF(ISNUMBER(SEARCH("7 Günlük", R800)), IF(Q800&lt;=M800, O800, "-"), "-"))</f>
        <v>0.0</v>
      </c>
      <c r="T800" s="42" t="str">
        <f>=IF(ISBLANK(Q800), "", "Hayır")</f>
      </c>
      <c r="U800" s="43"/>
      <c r="V800" s="44" t="inlineStr">
        <is>
          <t>50461ed1-c2c8-4393-967e-55d58a3e2664</t>
        </is>
      </c>
    </row>
    <row r="801">
      <c r="A801" s="23" t="inlineStr">
        <is>
          <t>Banyo Paspası Duşa Kabin Paspası Su Sıçratmaz Paspas Kaydırmaz Paspas (50x50 CM)</t>
        </is>
      </c>
      <c r="B801" s="24" t="inlineStr">
        <is>
          <t>939084913</t>
        </is>
      </c>
      <c r="C801" s="25" t="inlineStr">
        <is>
          <t>KIVIRCIK-BANYO-SIYAH-50x50</t>
        </is>
      </c>
      <c r="D801" s="26" t="inlineStr">
        <is>
          <t>KIVIRCIK-BANYO-SIYAH-50x50</t>
        </is>
      </c>
      <c r="E801" s="27"/>
      <c r="F801" s="28" t="inlineStr">
        <is>
          <t>KIVIRCIK-BANYO</t>
        </is>
      </c>
      <c r="G801" s="29" t="inlineStr">
        <is>
          <t>Banyo Paspası</t>
        </is>
      </c>
      <c r="H801" s="30" t="inlineStr">
        <is>
          <t>Paspas Yap</t>
        </is>
      </c>
      <c r="I801" s="31" t="n">
        <v>90.0</v>
      </c>
      <c r="J801" s="32" t="n">
        <v>493.0</v>
      </c>
      <c r="K801" s="33" t="n">
        <v>438.0</v>
      </c>
      <c r="L801" s="34" t="n">
        <v>20.4</v>
      </c>
      <c r="M801" s="35" t="n">
        <v>379.43</v>
      </c>
      <c r="N801" s="36" t="inlineStr">
        <is>
          <t>25 Ağustos 08.00-1 Eylül 07.59</t>
        </is>
      </c>
      <c r="O801" s="37" t="n">
        <v>16.8</v>
      </c>
      <c r="P801" s="38" t="n">
        <v>438.0</v>
      </c>
      <c r="Q801" s="39"/>
      <c r="R801" s="40" t="n">
        <f>=IF(AND(ISBLANK(Q801), ISBLANK(U801)), "", "7 Günlük Fiyat")</f>
        <v>0.0</v>
      </c>
      <c r="S801" s="41" t="n">
        <f>=IF(OR(Q801="", R801=""), "-", IF(ISNUMBER(SEARCH("7 Günlük", R801)), IF(Q801&lt;=M801, O801, "-"), "-"))</f>
        <v>0.0</v>
      </c>
      <c r="T801" s="42" t="str">
        <f>=IF(ISBLANK(Q801), "", "Hayır")</f>
      </c>
      <c r="U801" s="43"/>
      <c r="V801" s="44" t="inlineStr">
        <is>
          <t>50461ed1-c2c8-4393-967e-55d58a3e2664</t>
        </is>
      </c>
    </row>
    <row r="802">
      <c r="A802" s="23" t="inlineStr">
        <is>
          <t>Toz Ve Nem Alıcı Yolluk Paspas Iş Yeri Paspası Iç Ve Dış Mekan Paspası Rampalı Toz Alıcı Paspas</t>
        </is>
      </c>
      <c r="B802" s="24" t="inlineStr">
        <is>
          <t>770010727</t>
        </is>
      </c>
      <c r="C802" s="25" t="inlineStr">
        <is>
          <t>TOZKONTROL-YP2-120x650-GRI</t>
        </is>
      </c>
      <c r="D802" s="26" t="inlineStr">
        <is>
          <t>TOZKONTROL-YP2-120x650-GRI</t>
        </is>
      </c>
      <c r="E802" s="27" t="inlineStr">
        <is>
          <t>120 x 650</t>
        </is>
      </c>
      <c r="F802" s="28" t="inlineStr">
        <is>
          <t>TOZKONTROL-YP1</t>
        </is>
      </c>
      <c r="G802" s="29" t="inlineStr">
        <is>
          <t>Kapı Önü Paspası</t>
        </is>
      </c>
      <c r="H802" s="30" t="inlineStr">
        <is>
          <t>Paspas Yap</t>
        </is>
      </c>
      <c r="I802" s="31" t="n">
        <v>93.0</v>
      </c>
      <c r="J802" s="32" t="n">
        <v>12997.0</v>
      </c>
      <c r="K802" s="33" t="n">
        <v>12997.0</v>
      </c>
      <c r="L802" s="34" t="n">
        <v>22.0</v>
      </c>
      <c r="M802" s="35" t="n">
        <v>9206.32</v>
      </c>
      <c r="N802" s="36" t="inlineStr">
        <is>
          <t>25 Ağustos 08.00-1 Eylül 07.59</t>
        </is>
      </c>
      <c r="O802" s="37" t="n">
        <v>16.6</v>
      </c>
      <c r="P802" s="38" t="n">
        <v>12997.0</v>
      </c>
      <c r="Q802" s="39"/>
      <c r="R802" s="40" t="n">
        <f>=IF(AND(ISBLANK(Q802), ISBLANK(U802)), "", "7 Günlük Fiyat")</f>
        <v>0.0</v>
      </c>
      <c r="S802" s="41" t="n">
        <f>=IF(OR(Q802="", R802=""), "-", IF(ISNUMBER(SEARCH("7 Günlük", R802)), IF(Q802&lt;=M802, O802, "-"), "-"))</f>
        <v>0.0</v>
      </c>
      <c r="T802" s="42" t="str">
        <f>=IF(ISBLANK(Q802), "", "Hayır")</f>
      </c>
      <c r="U802" s="43"/>
      <c r="V802" s="44" t="inlineStr">
        <is>
          <t>50461ed1-c2c8-4393-967e-55d58a3e2664</t>
        </is>
      </c>
    </row>
    <row r="803">
      <c r="A803" s="23" t="inlineStr">
        <is>
          <t>Toz Ve Nem Alıcı Yolluk Paspas Iş Yeri Paspası Iç Ve Dış Mekan Paspası Rampalı Toz Alıcı Paspas</t>
        </is>
      </c>
      <c r="B803" s="24" t="inlineStr">
        <is>
          <t>770010727</t>
        </is>
      </c>
      <c r="C803" s="25" t="inlineStr">
        <is>
          <t>TOZKONTROL-YP2-80x750-GRI</t>
        </is>
      </c>
      <c r="D803" s="26" t="inlineStr">
        <is>
          <t>TOZKONTROL-YP2-80x750-GRI</t>
        </is>
      </c>
      <c r="E803" s="27" t="inlineStr">
        <is>
          <t>80 x 750</t>
        </is>
      </c>
      <c r="F803" s="28" t="inlineStr">
        <is>
          <t>TOZKONTROL-YP1</t>
        </is>
      </c>
      <c r="G803" s="29" t="inlineStr">
        <is>
          <t>Kapı Önü Paspası</t>
        </is>
      </c>
      <c r="H803" s="30" t="inlineStr">
        <is>
          <t>Paspas Yap</t>
        </is>
      </c>
      <c r="I803" s="31" t="n">
        <v>93.0</v>
      </c>
      <c r="J803" s="32" t="n">
        <v>10655.0</v>
      </c>
      <c r="K803" s="33" t="n">
        <v>9220.68</v>
      </c>
      <c r="L803" s="34" t="n">
        <v>22.0</v>
      </c>
      <c r="M803" s="35" t="n">
        <v>6658.9</v>
      </c>
      <c r="N803" s="36" t="inlineStr">
        <is>
          <t>25 Ağustos 08.00-1 Eylül 07.59</t>
        </is>
      </c>
      <c r="O803" s="37" t="n">
        <v>15.0</v>
      </c>
      <c r="P803" s="38" t="n">
        <v>9220.68</v>
      </c>
      <c r="Q803" s="39"/>
      <c r="R803" s="40" t="n">
        <f>=IF(AND(ISBLANK(Q803), ISBLANK(U803)), "", "7 Günlük Fiyat")</f>
        <v>0.0</v>
      </c>
      <c r="S803" s="41" t="n">
        <f>=IF(OR(Q803="", R803=""), "-", IF(ISNUMBER(SEARCH("7 Günlük", R803)), IF(Q803&lt;=M803, O803, "-"), "-"))</f>
        <v>0.0</v>
      </c>
      <c r="T803" s="42" t="str">
        <f>=IF(ISBLANK(Q803), "", "Hayır")</f>
      </c>
      <c r="U803" s="43"/>
      <c r="V803" s="44" t="inlineStr">
        <is>
          <t>50461ed1-c2c8-4393-967e-55d58a3e2664</t>
        </is>
      </c>
    </row>
    <row r="804">
      <c r="A804" s="23" t="inlineStr">
        <is>
          <t>Toz Ve Nem Alıcı Yolluk Paspas Iş Yeri Paspası Iç Ve Dış Mekan Paspası Rampalı Toz Alıcı Paspas</t>
        </is>
      </c>
      <c r="B804" s="24" t="inlineStr">
        <is>
          <t>770010727</t>
        </is>
      </c>
      <c r="C804" s="25" t="inlineStr">
        <is>
          <t>TOZKONTROL-YP2-100x850-GRI</t>
        </is>
      </c>
      <c r="D804" s="26" t="inlineStr">
        <is>
          <t>TOZKONTROL-YP2-100x850-GRI</t>
        </is>
      </c>
      <c r="E804" s="27" t="inlineStr">
        <is>
          <t>100 x 850</t>
        </is>
      </c>
      <c r="F804" s="28" t="inlineStr">
        <is>
          <t>TOZKONTROL-YP1</t>
        </is>
      </c>
      <c r="G804" s="29" t="inlineStr">
        <is>
          <t>Kapı Önü Paspası</t>
        </is>
      </c>
      <c r="H804" s="30" t="inlineStr">
        <is>
          <t>Paspas Yap</t>
        </is>
      </c>
      <c r="I804" s="31" t="n">
        <v>93.0</v>
      </c>
      <c r="J804" s="32" t="n">
        <v>14478.0</v>
      </c>
      <c r="K804" s="33" t="n">
        <v>14478.0</v>
      </c>
      <c r="L804" s="34" t="n">
        <v>22.0</v>
      </c>
      <c r="M804" s="35" t="n">
        <v>10254.87</v>
      </c>
      <c r="N804" s="36" t="inlineStr">
        <is>
          <t>25 Ağustos 08.00-1 Eylül 07.59</t>
        </is>
      </c>
      <c r="O804" s="37" t="n">
        <v>16.6</v>
      </c>
      <c r="P804" s="38" t="n">
        <v>14478.0</v>
      </c>
      <c r="Q804" s="39"/>
      <c r="R804" s="40" t="n">
        <f>=IF(AND(ISBLANK(Q804), ISBLANK(U804)), "", "7 Günlük Fiyat")</f>
        <v>0.0</v>
      </c>
      <c r="S804" s="41" t="n">
        <f>=IF(OR(Q804="", R804=""), "-", IF(ISNUMBER(SEARCH("7 Günlük", R804)), IF(Q804&lt;=M804, O804, "-"), "-"))</f>
        <v>0.0</v>
      </c>
      <c r="T804" s="42" t="str">
        <f>=IF(ISBLANK(Q804), "", "Hayır")</f>
      </c>
      <c r="U804" s="43"/>
      <c r="V804" s="44" t="inlineStr">
        <is>
          <t>50461ed1-c2c8-4393-967e-55d58a3e2664</t>
        </is>
      </c>
    </row>
    <row r="805">
      <c r="A805" s="23" t="inlineStr">
        <is>
          <t>Toz Ve Nem Alıcı Yolluk Paspas Iş Yeri Paspası Iç Ve Dış Mekan Paspası Rampalı Toz Alıcı Paspas</t>
        </is>
      </c>
      <c r="B805" s="24" t="inlineStr">
        <is>
          <t>770010727</t>
        </is>
      </c>
      <c r="C805" s="25" t="inlineStr">
        <is>
          <t>TOZKONTROL-YP2-80x950-GRI</t>
        </is>
      </c>
      <c r="D805" s="26" t="inlineStr">
        <is>
          <t>TOZKONTROL-YP2-80x950-GRI</t>
        </is>
      </c>
      <c r="E805" s="27" t="inlineStr">
        <is>
          <t>80 x 950</t>
        </is>
      </c>
      <c r="F805" s="28" t="inlineStr">
        <is>
          <t>TOZKONTROL-YP1</t>
        </is>
      </c>
      <c r="G805" s="29" t="inlineStr">
        <is>
          <t>Kapı Önü Paspası</t>
        </is>
      </c>
      <c r="H805" s="30" t="inlineStr">
        <is>
          <t>Paspas Yap</t>
        </is>
      </c>
      <c r="I805" s="31" t="n">
        <v>93.0</v>
      </c>
      <c r="J805" s="32" t="n">
        <v>13145.0</v>
      </c>
      <c r="K805" s="33" t="n">
        <v>13145.0</v>
      </c>
      <c r="L805" s="34" t="n">
        <v>22.0</v>
      </c>
      <c r="M805" s="35" t="n">
        <v>9310.09</v>
      </c>
      <c r="N805" s="36" t="inlineStr">
        <is>
          <t>25 Ağustos 08.00-1 Eylül 07.59</t>
        </is>
      </c>
      <c r="O805" s="37" t="n">
        <v>16.6</v>
      </c>
      <c r="P805" s="38" t="n">
        <v>13145.0</v>
      </c>
      <c r="Q805" s="39"/>
      <c r="R805" s="40" t="n">
        <f>=IF(AND(ISBLANK(Q805), ISBLANK(U805)), "", "7 Günlük Fiyat")</f>
        <v>0.0</v>
      </c>
      <c r="S805" s="41" t="n">
        <f>=IF(OR(Q805="", R805=""), "-", IF(ISNUMBER(SEARCH("7 Günlük", R805)), IF(Q805&lt;=M805, O805, "-"), "-"))</f>
        <v>0.0</v>
      </c>
      <c r="T805" s="42" t="str">
        <f>=IF(ISBLANK(Q805), "", "Hayır")</f>
      </c>
      <c r="U805" s="43"/>
      <c r="V805" s="44" t="inlineStr">
        <is>
          <t>50461ed1-c2c8-4393-967e-55d58a3e2664</t>
        </is>
      </c>
    </row>
    <row r="806">
      <c r="A806" s="23" t="inlineStr">
        <is>
          <t>Toz Ve Nem Alıcı Yolluk Paspas Iş Yeri Paspası Iç Ve Dış Mekan Paspası Rampalı Toz Alıcı Paspas</t>
        </is>
      </c>
      <c r="B806" s="24" t="inlineStr">
        <is>
          <t>770010727</t>
        </is>
      </c>
      <c r="C806" s="25" t="inlineStr">
        <is>
          <t>TOZKONTROL-YP2-100x550-GRI</t>
        </is>
      </c>
      <c r="D806" s="26" t="inlineStr">
        <is>
          <t>TOZKONTROL-YP2-100x550-GRI</t>
        </is>
      </c>
      <c r="E806" s="27" t="inlineStr">
        <is>
          <t>100 x 550</t>
        </is>
      </c>
      <c r="F806" s="28" t="inlineStr">
        <is>
          <t>TOZKONTROL-YP1</t>
        </is>
      </c>
      <c r="G806" s="29" t="inlineStr">
        <is>
          <t>Kapı Önü Paspası</t>
        </is>
      </c>
      <c r="H806" s="30" t="inlineStr">
        <is>
          <t>Paspas Yap</t>
        </is>
      </c>
      <c r="I806" s="31" t="n">
        <v>93.0</v>
      </c>
      <c r="J806" s="32" t="n">
        <v>9734.0</v>
      </c>
      <c r="K806" s="33" t="n">
        <v>8428.84</v>
      </c>
      <c r="L806" s="34" t="n">
        <v>22.0</v>
      </c>
      <c r="M806" s="35" t="n">
        <v>5665.56</v>
      </c>
      <c r="N806" s="36" t="inlineStr">
        <is>
          <t>25 Ağustos 08.00-1 Eylül 07.59</t>
        </is>
      </c>
      <c r="O806" s="37" t="n">
        <v>13.8</v>
      </c>
      <c r="P806" s="38" t="n">
        <v>8428.84</v>
      </c>
      <c r="Q806" s="39"/>
      <c r="R806" s="40" t="n">
        <f>=IF(AND(ISBLANK(Q806), ISBLANK(U806)), "", "7 Günlük Fiyat")</f>
        <v>0.0</v>
      </c>
      <c r="S806" s="41" t="n">
        <f>=IF(OR(Q806="", R806=""), "-", IF(ISNUMBER(SEARCH("7 Günlük", R806)), IF(Q806&lt;=M806, O806, "-"), "-"))</f>
        <v>0.0</v>
      </c>
      <c r="T806" s="42" t="str">
        <f>=IF(ISBLANK(Q806), "", "Hayır")</f>
      </c>
      <c r="U806" s="43"/>
      <c r="V806" s="44" t="inlineStr">
        <is>
          <t>50461ed1-c2c8-4393-967e-55d58a3e2664</t>
        </is>
      </c>
    </row>
    <row r="807">
      <c r="A807" s="23" t="inlineStr">
        <is>
          <t>Toz Ve Nem Alıcı Yolluk Paspas Iş Yeri Paspası Iç Ve Dış Mekan Paspası Rampalı Toz Alıcı Paspas</t>
        </is>
      </c>
      <c r="B807" s="24" t="inlineStr">
        <is>
          <t>770010727</t>
        </is>
      </c>
      <c r="C807" s="25" t="inlineStr">
        <is>
          <t>TOZKONTROL-YP1-GRI-50120</t>
        </is>
      </c>
      <c r="D807" s="26" t="inlineStr">
        <is>
          <t>TOZKONTROL-YP1-GRI-50120</t>
        </is>
      </c>
      <c r="E807" s="27" t="inlineStr">
        <is>
          <t>50 x 120</t>
        </is>
      </c>
      <c r="F807" s="28" t="inlineStr">
        <is>
          <t>TOZKONTROL-YP1</t>
        </is>
      </c>
      <c r="G807" s="29" t="inlineStr">
        <is>
          <t>Kapı Önü Paspası</t>
        </is>
      </c>
      <c r="H807" s="30" t="inlineStr">
        <is>
          <t>Paspas Yap</t>
        </is>
      </c>
      <c r="I807" s="31" t="n">
        <v>93.0</v>
      </c>
      <c r="J807" s="32" t="n">
        <v>1599.0</v>
      </c>
      <c r="K807" s="33" t="n">
        <v>1390.35</v>
      </c>
      <c r="L807" s="34" t="n">
        <v>22.0</v>
      </c>
      <c r="M807" s="35" t="n">
        <v>1107.66</v>
      </c>
      <c r="N807" s="36" t="inlineStr">
        <is>
          <t>25 Ağustos 08.00-1 Eylül 07.59</t>
        </is>
      </c>
      <c r="O807" s="37" t="n">
        <v>16.8</v>
      </c>
      <c r="P807" s="38" t="n">
        <v>1390.35</v>
      </c>
      <c r="Q807" s="39"/>
      <c r="R807" s="40" t="n">
        <f>=IF(AND(ISBLANK(Q807), ISBLANK(U807)), "", "7 Günlük Fiyat")</f>
        <v>0.0</v>
      </c>
      <c r="S807" s="41" t="n">
        <f>=IF(OR(Q807="", R807=""), "-", IF(ISNUMBER(SEARCH("7 Günlük", R807)), IF(Q807&lt;=M807, O807, "-"), "-"))</f>
        <v>0.0</v>
      </c>
      <c r="T807" s="42" t="str">
        <f>=IF(ISBLANK(Q807), "", "Hayır")</f>
      </c>
      <c r="U807" s="43"/>
      <c r="V807" s="44" t="inlineStr">
        <is>
          <t>50461ed1-c2c8-4393-967e-55d58a3e2664</t>
        </is>
      </c>
    </row>
    <row r="808">
      <c r="A808" s="23" t="inlineStr">
        <is>
          <t>Toz Ve Nem Alıcı Yolluk Paspas Iş Yeri Paspası Iç Ve Dış Mekan Paspası Rampalı Toz Alıcı Paspas</t>
        </is>
      </c>
      <c r="B808" s="24" t="inlineStr">
        <is>
          <t>770010727</t>
        </is>
      </c>
      <c r="C808" s="25" t="inlineStr">
        <is>
          <t>TOZKONTROL-YP2-80x850-GRI</t>
        </is>
      </c>
      <c r="D808" s="26" t="inlineStr">
        <is>
          <t>TOZKONTROL-YP2-80x850-GRI</t>
        </is>
      </c>
      <c r="E808" s="27" t="inlineStr">
        <is>
          <t>80 x 850</t>
        </is>
      </c>
      <c r="F808" s="28" t="inlineStr">
        <is>
          <t>TOZKONTROL-YP1</t>
        </is>
      </c>
      <c r="G808" s="29" t="inlineStr">
        <is>
          <t>Kapı Önü Paspası</t>
        </is>
      </c>
      <c r="H808" s="30" t="inlineStr">
        <is>
          <t>Paspas Yap</t>
        </is>
      </c>
      <c r="I808" s="31" t="n">
        <v>93.0</v>
      </c>
      <c r="J808" s="32" t="n">
        <v>11939.0</v>
      </c>
      <c r="K808" s="33" t="n">
        <v>11939.0</v>
      </c>
      <c r="L808" s="34" t="n">
        <v>22.0</v>
      </c>
      <c r="M808" s="35" t="n">
        <v>8456.6</v>
      </c>
      <c r="N808" s="36" t="inlineStr">
        <is>
          <t>25 Ağustos 08.00-1 Eylül 07.59</t>
        </is>
      </c>
      <c r="O808" s="37" t="n">
        <v>16.6</v>
      </c>
      <c r="P808" s="38" t="n">
        <v>11939.0</v>
      </c>
      <c r="Q808" s="39"/>
      <c r="R808" s="40" t="n">
        <f>=IF(AND(ISBLANK(Q808), ISBLANK(U808)), "", "7 Günlük Fiyat")</f>
        <v>0.0</v>
      </c>
      <c r="S808" s="41" t="n">
        <f>=IF(OR(Q808="", R808=""), "-", IF(ISNUMBER(SEARCH("7 Günlük", R808)), IF(Q808&lt;=M808, O808, "-"), "-"))</f>
        <v>0.0</v>
      </c>
      <c r="T808" s="42" t="str">
        <f>=IF(ISBLANK(Q808), "", "Hayır")</f>
      </c>
      <c r="U808" s="43"/>
      <c r="V808" s="44" t="inlineStr">
        <is>
          <t>50461ed1-c2c8-4393-967e-55d58a3e2664</t>
        </is>
      </c>
    </row>
    <row r="809">
      <c r="A809" s="23" t="inlineStr">
        <is>
          <t>Toz Ve Nem Alıcı Yolluk Paspas Iş Yeri Paspası Iç Ve Dış Mekan Paspası Rampalı Toz Alıcı Paspas</t>
        </is>
      </c>
      <c r="B809" s="24" t="inlineStr">
        <is>
          <t>770010727</t>
        </is>
      </c>
      <c r="C809" s="25" t="inlineStr">
        <is>
          <t>TOZKONTROL-YP2-100x900-GRI</t>
        </is>
      </c>
      <c r="D809" s="26" t="inlineStr">
        <is>
          <t>TOZKONTROL-YP2-100x900-GRI</t>
        </is>
      </c>
      <c r="E809" s="27" t="inlineStr">
        <is>
          <t>100 x 900</t>
        </is>
      </c>
      <c r="F809" s="28" t="inlineStr">
        <is>
          <t>TOZKONTROL-YP1</t>
        </is>
      </c>
      <c r="G809" s="29" t="inlineStr">
        <is>
          <t>Kapı Önü Paspası</t>
        </is>
      </c>
      <c r="H809" s="30" t="inlineStr">
        <is>
          <t>Paspas Yap</t>
        </is>
      </c>
      <c r="I809" s="31" t="n">
        <v>93.0</v>
      </c>
      <c r="J809" s="32" t="n">
        <v>15170.0</v>
      </c>
      <c r="K809" s="33" t="n">
        <v>15170.0</v>
      </c>
      <c r="L809" s="34" t="n">
        <v>22.0</v>
      </c>
      <c r="M809" s="35" t="n">
        <v>10745.62</v>
      </c>
      <c r="N809" s="36" t="inlineStr">
        <is>
          <t>25 Ağustos 08.00-1 Eylül 07.59</t>
        </is>
      </c>
      <c r="O809" s="37" t="n">
        <v>16.6</v>
      </c>
      <c r="P809" s="38" t="n">
        <v>15170.0</v>
      </c>
      <c r="Q809" s="39"/>
      <c r="R809" s="40" t="n">
        <f>=IF(AND(ISBLANK(Q809), ISBLANK(U809)), "", "7 Günlük Fiyat")</f>
        <v>0.0</v>
      </c>
      <c r="S809" s="41" t="n">
        <f>=IF(OR(Q809="", R809=""), "-", IF(ISNUMBER(SEARCH("7 Günlük", R809)), IF(Q809&lt;=M809, O809, "-"), "-"))</f>
        <v>0.0</v>
      </c>
      <c r="T809" s="42" t="str">
        <f>=IF(ISBLANK(Q809), "", "Hayır")</f>
      </c>
      <c r="U809" s="43"/>
      <c r="V809" s="44" t="inlineStr">
        <is>
          <t>50461ed1-c2c8-4393-967e-55d58a3e2664</t>
        </is>
      </c>
    </row>
    <row r="810">
      <c r="A810" s="23" t="inlineStr">
        <is>
          <t>Toz Ve Nem Alıcı Yolluk Paspas Iş Yeri Paspası Iç Ve Dış Mekan Paspası Rampalı Toz Alıcı Paspas</t>
        </is>
      </c>
      <c r="B810" s="24" t="inlineStr">
        <is>
          <t>770010727</t>
        </is>
      </c>
      <c r="C810" s="25" t="inlineStr">
        <is>
          <t>TOZKONTROL-YP1-GRI-120400</t>
        </is>
      </c>
      <c r="D810" s="26" t="inlineStr">
        <is>
          <t>TOZKONTROL-YP1-GRI-120400</t>
        </is>
      </c>
      <c r="E810" s="27" t="inlineStr">
        <is>
          <t>120 x 400</t>
        </is>
      </c>
      <c r="F810" s="28" t="inlineStr">
        <is>
          <t>TOZKONTROL-YP1</t>
        </is>
      </c>
      <c r="G810" s="29" t="inlineStr">
        <is>
          <t>Kapı Önü Paspası</t>
        </is>
      </c>
      <c r="H810" s="30" t="inlineStr">
        <is>
          <t>Paspas Yap</t>
        </is>
      </c>
      <c r="I810" s="31" t="n">
        <v>93.0</v>
      </c>
      <c r="J810" s="32" t="n">
        <v>8238.0</v>
      </c>
      <c r="K810" s="33" t="n">
        <v>7339.76</v>
      </c>
      <c r="L810" s="34" t="n">
        <v>22.0</v>
      </c>
      <c r="M810" s="35" t="n">
        <v>5056.22</v>
      </c>
      <c r="N810" s="36" t="inlineStr">
        <is>
          <t>25 Ağustos 08.00-1 Eylül 07.59</t>
        </is>
      </c>
      <c r="O810" s="37" t="n">
        <v>14.5</v>
      </c>
      <c r="P810" s="38" t="n">
        <v>7339.76</v>
      </c>
      <c r="Q810" s="39"/>
      <c r="R810" s="40" t="n">
        <f>=IF(AND(ISBLANK(Q810), ISBLANK(U810)), "", "7 Günlük Fiyat")</f>
        <v>0.0</v>
      </c>
      <c r="S810" s="41" t="n">
        <f>=IF(OR(Q810="", R810=""), "-", IF(ISNUMBER(SEARCH("7 Günlük", R810)), IF(Q810&lt;=M810, O810, "-"), "-"))</f>
        <v>0.0</v>
      </c>
      <c r="T810" s="42" t="str">
        <f>=IF(ISBLANK(Q810), "", "Hayır")</f>
      </c>
      <c r="U810" s="43"/>
      <c r="V810" s="44" t="inlineStr">
        <is>
          <t>50461ed1-c2c8-4393-967e-55d58a3e2664</t>
        </is>
      </c>
    </row>
    <row r="811">
      <c r="A811" s="23" t="inlineStr">
        <is>
          <t>Toz Ve Nem Alıcı Yolluk Paspas Iş Yeri Paspası Iç Ve Dış Mekan Paspası Rampalı Toz Alıcı Paspas</t>
        </is>
      </c>
      <c r="B811" s="24" t="inlineStr">
        <is>
          <t>770010727</t>
        </is>
      </c>
      <c r="C811" s="25" t="inlineStr">
        <is>
          <t>TOZKONTROL-YP1-GRI-3360</t>
        </is>
      </c>
      <c r="D811" s="26" t="inlineStr">
        <is>
          <t>TOZKONTROL-YP1-GRI-3360</t>
        </is>
      </c>
      <c r="E811" s="27" t="inlineStr">
        <is>
          <t>33 x 60</t>
        </is>
      </c>
      <c r="F811" s="28" t="inlineStr">
        <is>
          <t>TOZKONTROL-YP1</t>
        </is>
      </c>
      <c r="G811" s="29" t="inlineStr">
        <is>
          <t>Kapı Önü Paspası</t>
        </is>
      </c>
      <c r="H811" s="30" t="inlineStr">
        <is>
          <t>Paspas Yap</t>
        </is>
      </c>
      <c r="I811" s="31" t="n">
        <v>93.0</v>
      </c>
      <c r="J811" s="32" t="n">
        <v>599.0</v>
      </c>
      <c r="K811" s="33" t="n">
        <v>599.0</v>
      </c>
      <c r="L811" s="34" t="n">
        <v>22.0</v>
      </c>
      <c r="M811" s="35" t="n">
        <v>435.02</v>
      </c>
      <c r="N811" s="36" t="inlineStr">
        <is>
          <t>25 Ağustos 08.00-1 Eylül 07.59</t>
        </is>
      </c>
      <c r="O811" s="37" t="n">
        <v>15.9</v>
      </c>
      <c r="P811" s="38" t="n">
        <v>599.0</v>
      </c>
      <c r="Q811" s="39"/>
      <c r="R811" s="40" t="n">
        <f>=IF(AND(ISBLANK(Q811), ISBLANK(U811)), "", "7 Günlük Fiyat")</f>
        <v>0.0</v>
      </c>
      <c r="S811" s="41" t="n">
        <f>=IF(OR(Q811="", R811=""), "-", IF(ISNUMBER(SEARCH("7 Günlük", R811)), IF(Q811&lt;=M811, O811, "-"), "-"))</f>
        <v>0.0</v>
      </c>
      <c r="T811" s="42" t="str">
        <f>=IF(ISBLANK(Q811), "", "Hayır")</f>
      </c>
      <c r="U811" s="43"/>
      <c r="V811" s="44" t="inlineStr">
        <is>
          <t>50461ed1-c2c8-4393-967e-55d58a3e2664</t>
        </is>
      </c>
    </row>
    <row r="812">
      <c r="A812" s="23" t="inlineStr">
        <is>
          <t>Toz Ve Nem Alıcı Yolluk Paspas Iş Yeri Paspası Iç Ve Dış Mekan Paspası Rampalı Toz Alıcı Paspas</t>
        </is>
      </c>
      <c r="B812" s="24" t="inlineStr">
        <is>
          <t>770010727</t>
        </is>
      </c>
      <c r="C812" s="25" t="inlineStr">
        <is>
          <t>TOZKONTROL-YP2-120x1150-GRI</t>
        </is>
      </c>
      <c r="D812" s="26" t="inlineStr">
        <is>
          <t>TOZKONTROL-YP2-120x1150-GRI</t>
        </is>
      </c>
      <c r="E812" s="27" t="inlineStr">
        <is>
          <t>120 x 1150</t>
        </is>
      </c>
      <c r="F812" s="28" t="inlineStr">
        <is>
          <t>TOZKONTROL-YP1</t>
        </is>
      </c>
      <c r="G812" s="29" t="inlineStr">
        <is>
          <t>Kapı Önü Paspası</t>
        </is>
      </c>
      <c r="H812" s="30" t="inlineStr">
        <is>
          <t>Paspas Yap</t>
        </is>
      </c>
      <c r="I812" s="31" t="n">
        <v>93.0</v>
      </c>
      <c r="J812" s="32" t="n">
        <v>24976.0</v>
      </c>
      <c r="K812" s="33" t="n">
        <v>24976.0</v>
      </c>
      <c r="L812" s="34" t="n">
        <v>22.0</v>
      </c>
      <c r="M812" s="35" t="n">
        <v>17691.49</v>
      </c>
      <c r="N812" s="36" t="inlineStr">
        <is>
          <t>25 Ağustos 08.00-1 Eylül 07.59</t>
        </is>
      </c>
      <c r="O812" s="37" t="n">
        <v>16.6</v>
      </c>
      <c r="P812" s="38" t="n">
        <v>24976.0</v>
      </c>
      <c r="Q812" s="39"/>
      <c r="R812" s="40" t="n">
        <f>=IF(AND(ISBLANK(Q812), ISBLANK(U812)), "", "7 Günlük Fiyat")</f>
        <v>0.0</v>
      </c>
      <c r="S812" s="41" t="n">
        <f>=IF(OR(Q812="", R812=""), "-", IF(ISNUMBER(SEARCH("7 Günlük", R812)), IF(Q812&lt;=M812, O812, "-"), "-"))</f>
        <v>0.0</v>
      </c>
      <c r="T812" s="42" t="str">
        <f>=IF(ISBLANK(Q812), "", "Hayır")</f>
      </c>
      <c r="U812" s="43"/>
      <c r="V812" s="44" t="inlineStr">
        <is>
          <t>50461ed1-c2c8-4393-967e-55d58a3e2664</t>
        </is>
      </c>
    </row>
    <row r="813">
      <c r="A813" s="23" t="inlineStr">
        <is>
          <t>Toz Ve Nem Alıcı Yolluk Paspas Iş Yeri Paspası Iç Ve Dış Mekan Paspası Rampalı Toz Alıcı Paspas</t>
        </is>
      </c>
      <c r="B813" s="24" t="inlineStr">
        <is>
          <t>770010727</t>
        </is>
      </c>
      <c r="C813" s="25" t="inlineStr">
        <is>
          <t>TOZKONTROL-YP2-120x750-GRI</t>
        </is>
      </c>
      <c r="D813" s="26" t="inlineStr">
        <is>
          <t>TOZKONTROL-YP2-120x750-GRI</t>
        </is>
      </c>
      <c r="E813" s="27" t="inlineStr">
        <is>
          <t>120 x 750</t>
        </is>
      </c>
      <c r="F813" s="28" t="inlineStr">
        <is>
          <t>TOZKONTROL-YP1</t>
        </is>
      </c>
      <c r="G813" s="29" t="inlineStr">
        <is>
          <t>Kapı Önü Paspası</t>
        </is>
      </c>
      <c r="H813" s="30" t="inlineStr">
        <is>
          <t>Paspas Yap</t>
        </is>
      </c>
      <c r="I813" s="31" t="n">
        <v>93.0</v>
      </c>
      <c r="J813" s="32" t="n">
        <v>15170.0</v>
      </c>
      <c r="K813" s="33" t="n">
        <v>15170.0</v>
      </c>
      <c r="L813" s="34" t="n">
        <v>22.0</v>
      </c>
      <c r="M813" s="35" t="n">
        <v>10745.62</v>
      </c>
      <c r="N813" s="36" t="inlineStr">
        <is>
          <t>25 Ağustos 08.00-1 Eylül 07.59</t>
        </is>
      </c>
      <c r="O813" s="37" t="n">
        <v>16.6</v>
      </c>
      <c r="P813" s="38" t="n">
        <v>15170.0</v>
      </c>
      <c r="Q813" s="39"/>
      <c r="R813" s="40" t="n">
        <f>=IF(AND(ISBLANK(Q813), ISBLANK(U813)), "", "7 Günlük Fiyat")</f>
        <v>0.0</v>
      </c>
      <c r="S813" s="41" t="n">
        <f>=IF(OR(Q813="", R813=""), "-", IF(ISNUMBER(SEARCH("7 Günlük", R813)), IF(Q813&lt;=M813, O813, "-"), "-"))</f>
        <v>0.0</v>
      </c>
      <c r="T813" s="42" t="str">
        <f>=IF(ISBLANK(Q813), "", "Hayır")</f>
      </c>
      <c r="U813" s="43"/>
      <c r="V813" s="44" t="inlineStr">
        <is>
          <t>50461ed1-c2c8-4393-967e-55d58a3e2664</t>
        </is>
      </c>
    </row>
    <row r="814">
      <c r="A814" s="23" t="inlineStr">
        <is>
          <t>Toz Ve Nem Alıcı Yolluk Paspas Iş Yeri Paspası Iç Ve Dış Mekan Paspası Rampalı Toz Alıcı Paspas</t>
        </is>
      </c>
      <c r="B814" s="24" t="inlineStr">
        <is>
          <t>770010727</t>
        </is>
      </c>
      <c r="C814" s="25" t="inlineStr">
        <is>
          <t>TOZKONTROL-YP1-GRI-60100</t>
        </is>
      </c>
      <c r="D814" s="26" t="inlineStr">
        <is>
          <t>TOZKONTROL-YP1-GRI-60100</t>
        </is>
      </c>
      <c r="E814" s="27" t="inlineStr">
        <is>
          <t>60 x 100</t>
        </is>
      </c>
      <c r="F814" s="28" t="inlineStr">
        <is>
          <t>TOZKONTROL-YP1</t>
        </is>
      </c>
      <c r="G814" s="29" t="inlineStr">
        <is>
          <t>Kapı Önü Paspası</t>
        </is>
      </c>
      <c r="H814" s="30" t="inlineStr">
        <is>
          <t>Paspas Yap</t>
        </is>
      </c>
      <c r="I814" s="31" t="n">
        <v>93.0</v>
      </c>
      <c r="J814" s="32" t="n">
        <v>1599.0</v>
      </c>
      <c r="K814" s="33" t="n">
        <v>1336.92</v>
      </c>
      <c r="L814" s="34" t="n">
        <v>22.0</v>
      </c>
      <c r="M814" s="35" t="n">
        <v>1015.64</v>
      </c>
      <c r="N814" s="36" t="inlineStr">
        <is>
          <t>25 Ağustos 08.00-1 Eylül 07.59</t>
        </is>
      </c>
      <c r="O814" s="37" t="n">
        <v>15.6</v>
      </c>
      <c r="P814" s="38" t="n">
        <v>1336.92</v>
      </c>
      <c r="Q814" s="39"/>
      <c r="R814" s="40" t="n">
        <f>=IF(AND(ISBLANK(Q814), ISBLANK(U814)), "", "7 Günlük Fiyat")</f>
        <v>0.0</v>
      </c>
      <c r="S814" s="41" t="n">
        <f>=IF(OR(Q814="", R814=""), "-", IF(ISNUMBER(SEARCH("7 Günlük", R814)), IF(Q814&lt;=M814, O814, "-"), "-"))</f>
        <v>0.0</v>
      </c>
      <c r="T814" s="42" t="str">
        <f>=IF(ISBLANK(Q814), "", "Hayır")</f>
      </c>
      <c r="U814" s="43"/>
      <c r="V814" s="44" t="inlineStr">
        <is>
          <t>50461ed1-c2c8-4393-967e-55d58a3e2664</t>
        </is>
      </c>
    </row>
    <row r="815">
      <c r="A815" s="23" t="inlineStr">
        <is>
          <t>Toz Ve Nem Alıcı Yolluk Paspas Iş Yeri Paspası Iç Ve Dış Mekan Paspası Rampalı Toz Alıcı Paspas</t>
        </is>
      </c>
      <c r="B815" s="24" t="inlineStr">
        <is>
          <t>770010727</t>
        </is>
      </c>
      <c r="C815" s="25" t="inlineStr">
        <is>
          <t>TOZKONTROL-YP1-GRI-80150</t>
        </is>
      </c>
      <c r="D815" s="26" t="inlineStr">
        <is>
          <t>TOZKONTROL-YP1-GRI-80150</t>
        </is>
      </c>
      <c r="E815" s="27" t="inlineStr">
        <is>
          <t>80 x 150</t>
        </is>
      </c>
      <c r="F815" s="28" t="inlineStr">
        <is>
          <t>TOZKONTROL-YP1</t>
        </is>
      </c>
      <c r="G815" s="29" t="inlineStr">
        <is>
          <t>Kapı Önü Paspası</t>
        </is>
      </c>
      <c r="H815" s="30" t="inlineStr">
        <is>
          <t>Paspas Yap</t>
        </is>
      </c>
      <c r="I815" s="31" t="n">
        <v>93.0</v>
      </c>
      <c r="J815" s="32" t="n">
        <v>2759.0</v>
      </c>
      <c r="K815" s="33" t="n">
        <v>2294.48</v>
      </c>
      <c r="L815" s="34" t="n">
        <v>22.0</v>
      </c>
      <c r="M815" s="35" t="n">
        <v>1528.84</v>
      </c>
      <c r="N815" s="36" t="inlineStr">
        <is>
          <t>25 Ağustos 08.00-1 Eylül 07.59</t>
        </is>
      </c>
      <c r="O815" s="37" t="n">
        <v>12.8</v>
      </c>
      <c r="P815" s="38" t="n">
        <v>2294.48</v>
      </c>
      <c r="Q815" s="39"/>
      <c r="R815" s="40" t="n">
        <f>=IF(AND(ISBLANK(Q815), ISBLANK(U815)), "", "7 Günlük Fiyat")</f>
        <v>0.0</v>
      </c>
      <c r="S815" s="41" t="n">
        <f>=IF(OR(Q815="", R815=""), "-", IF(ISNUMBER(SEARCH("7 Günlük", R815)), IF(Q815&lt;=M815, O815, "-"), "-"))</f>
        <v>0.0</v>
      </c>
      <c r="T815" s="42" t="str">
        <f>=IF(ISBLANK(Q815), "", "Hayır")</f>
      </c>
      <c r="U815" s="43"/>
      <c r="V815" s="44" t="inlineStr">
        <is>
          <t>50461ed1-c2c8-4393-967e-55d58a3e2664</t>
        </is>
      </c>
    </row>
    <row r="816">
      <c r="A816" s="23" t="inlineStr">
        <is>
          <t>Toz Ve Nem Alıcı Yolluk Paspas Iş Yeri Paspası Iç Ve Dış Mekan Paspası Rampalı Toz Alıcı Paspas</t>
        </is>
      </c>
      <c r="B816" s="24" t="inlineStr">
        <is>
          <t>770010727</t>
        </is>
      </c>
      <c r="C816" s="25" t="inlineStr">
        <is>
          <t>TOZKONTROL-YP2-80x1400-GRI</t>
        </is>
      </c>
      <c r="D816" s="26" t="inlineStr">
        <is>
          <t>TOZKONTROL-YP2-80x1400-GRI</t>
        </is>
      </c>
      <c r="E816" s="27" t="inlineStr">
        <is>
          <t>80 x 1400</t>
        </is>
      </c>
      <c r="F816" s="28" t="inlineStr">
        <is>
          <t>TOZKONTROL-YP1</t>
        </is>
      </c>
      <c r="G816" s="29" t="inlineStr">
        <is>
          <t>Kapı Önü Paspası</t>
        </is>
      </c>
      <c r="H816" s="30" t="inlineStr">
        <is>
          <t>Paspas Yap</t>
        </is>
      </c>
      <c r="I816" s="31" t="n">
        <v>93.0</v>
      </c>
      <c r="J816" s="32" t="n">
        <v>21459.0</v>
      </c>
      <c r="K816" s="33" t="n">
        <v>21459.0</v>
      </c>
      <c r="L816" s="34" t="n">
        <v>22.0</v>
      </c>
      <c r="M816" s="35" t="n">
        <v>15199.27</v>
      </c>
      <c r="N816" s="36" t="inlineStr">
        <is>
          <t>25 Ağustos 08.00-1 Eylül 07.59</t>
        </is>
      </c>
      <c r="O816" s="37" t="n">
        <v>16.6</v>
      </c>
      <c r="P816" s="38" t="n">
        <v>21459.0</v>
      </c>
      <c r="Q816" s="39"/>
      <c r="R816" s="40" t="n">
        <f>=IF(AND(ISBLANK(Q816), ISBLANK(U816)), "", "7 Günlük Fiyat")</f>
        <v>0.0</v>
      </c>
      <c r="S816" s="41" t="n">
        <f>=IF(OR(Q816="", R816=""), "-", IF(ISNUMBER(SEARCH("7 Günlük", R816)), IF(Q816&lt;=M816, O816, "-"), "-"))</f>
        <v>0.0</v>
      </c>
      <c r="T816" s="42" t="str">
        <f>=IF(ISBLANK(Q816), "", "Hayır")</f>
      </c>
      <c r="U816" s="43"/>
      <c r="V816" s="44" t="inlineStr">
        <is>
          <t>50461ed1-c2c8-4393-967e-55d58a3e2664</t>
        </is>
      </c>
    </row>
    <row r="817">
      <c r="A817" s="23" t="inlineStr">
        <is>
          <t>Toz Ve Nem Alıcı Yolluk Paspas Iş Yeri Paspası Iç Ve Dış Mekan Paspası Rampalı Toz Alıcı Paspas</t>
        </is>
      </c>
      <c r="B817" s="24" t="inlineStr">
        <is>
          <t>770010727</t>
        </is>
      </c>
      <c r="C817" s="25" t="inlineStr">
        <is>
          <t>TOZKONTROL-YP2-80x1150-GRI</t>
        </is>
      </c>
      <c r="D817" s="26" t="inlineStr">
        <is>
          <t>TOZKONTROL-YP2-80x1150-GRI</t>
        </is>
      </c>
      <c r="E817" s="27" t="inlineStr">
        <is>
          <t>80 x 1150</t>
        </is>
      </c>
      <c r="F817" s="28" t="inlineStr">
        <is>
          <t>TOZKONTROL-YP1</t>
        </is>
      </c>
      <c r="G817" s="29" t="inlineStr">
        <is>
          <t>Kapı Önü Paspası</t>
        </is>
      </c>
      <c r="H817" s="30" t="inlineStr">
        <is>
          <t>Paspas Yap</t>
        </is>
      </c>
      <c r="I817" s="31" t="n">
        <v>93.0</v>
      </c>
      <c r="J817" s="32" t="n">
        <v>15482.0</v>
      </c>
      <c r="K817" s="33" t="n">
        <v>15482.0</v>
      </c>
      <c r="L817" s="34" t="n">
        <v>22.0</v>
      </c>
      <c r="M817" s="35" t="n">
        <v>11072.42</v>
      </c>
      <c r="N817" s="36" t="inlineStr">
        <is>
          <t>25 Ağustos 08.00-1 Eylül 07.59</t>
        </is>
      </c>
      <c r="O817" s="37" t="n">
        <v>14.8</v>
      </c>
      <c r="P817" s="38" t="n">
        <v>15482.0</v>
      </c>
      <c r="Q817" s="39"/>
      <c r="R817" s="40" t="n">
        <f>=IF(AND(ISBLANK(Q817), ISBLANK(U817)), "", "7 Günlük Fiyat")</f>
        <v>0.0</v>
      </c>
      <c r="S817" s="41" t="n">
        <f>=IF(OR(Q817="", R817=""), "-", IF(ISNUMBER(SEARCH("7 Günlük", R817)), IF(Q817&lt;=M817, O817, "-"), "-"))</f>
        <v>0.0</v>
      </c>
      <c r="T817" s="42" t="str">
        <f>=IF(ISBLANK(Q817), "", "Hayır")</f>
      </c>
      <c r="U817" s="43"/>
      <c r="V817" s="44" t="inlineStr">
        <is>
          <t>50461ed1-c2c8-4393-967e-55d58a3e2664</t>
        </is>
      </c>
    </row>
    <row r="818">
      <c r="A818" s="23" t="inlineStr">
        <is>
          <t>Toz Ve Nem Alıcı Yolluk Paspas Iş Yeri Paspası Iç Ve Dış Mekan Paspası Rampalı Toz Alıcı Paspas</t>
        </is>
      </c>
      <c r="B818" s="24" t="inlineStr">
        <is>
          <t>770010727</t>
        </is>
      </c>
      <c r="C818" s="25" t="inlineStr">
        <is>
          <t>TOZKONTROL-YP2-100x1450-GRI</t>
        </is>
      </c>
      <c r="D818" s="26" t="inlineStr">
        <is>
          <t>TOZKONTROL-YP2-100x1450-GRI</t>
        </is>
      </c>
      <c r="E818" s="27" t="inlineStr">
        <is>
          <t>100 x 1450</t>
        </is>
      </c>
      <c r="F818" s="28" t="inlineStr">
        <is>
          <t>TOZKONTROL-YP1</t>
        </is>
      </c>
      <c r="G818" s="29" t="inlineStr">
        <is>
          <t>Kapı Önü Paspası</t>
        </is>
      </c>
      <c r="H818" s="30" t="inlineStr">
        <is>
          <t>Paspas Yap</t>
        </is>
      </c>
      <c r="I818" s="31" t="n">
        <v>93.0</v>
      </c>
      <c r="J818" s="32" t="n">
        <v>26229.0</v>
      </c>
      <c r="K818" s="33" t="n">
        <v>26229.0</v>
      </c>
      <c r="L818" s="34" t="n">
        <v>22.0</v>
      </c>
      <c r="M818" s="35" t="n">
        <v>18577.73</v>
      </c>
      <c r="N818" s="36" t="inlineStr">
        <is>
          <t>25 Ağustos 08.00-1 Eylül 07.59</t>
        </is>
      </c>
      <c r="O818" s="37" t="n">
        <v>16.6</v>
      </c>
      <c r="P818" s="38" t="n">
        <v>26229.0</v>
      </c>
      <c r="Q818" s="39"/>
      <c r="R818" s="40" t="n">
        <f>=IF(AND(ISBLANK(Q818), ISBLANK(U818)), "", "7 Günlük Fiyat")</f>
        <v>0.0</v>
      </c>
      <c r="S818" s="41" t="n">
        <f>=IF(OR(Q818="", R818=""), "-", IF(ISNUMBER(SEARCH("7 Günlük", R818)), IF(Q818&lt;=M818, O818, "-"), "-"))</f>
        <v>0.0</v>
      </c>
      <c r="T818" s="42" t="str">
        <f>=IF(ISBLANK(Q818), "", "Hayır")</f>
      </c>
      <c r="U818" s="43"/>
      <c r="V818" s="44" t="inlineStr">
        <is>
          <t>50461ed1-c2c8-4393-967e-55d58a3e2664</t>
        </is>
      </c>
    </row>
    <row r="819">
      <c r="A819" s="23" t="inlineStr">
        <is>
          <t>Toz Ve Nem Alıcı Yolluk Paspas Iş Yeri Paspası Iç Ve Dış Mekan Paspası Rampalı Toz Alıcı Paspas</t>
        </is>
      </c>
      <c r="B819" s="24" t="inlineStr">
        <is>
          <t>770010727</t>
        </is>
      </c>
      <c r="C819" s="25" t="inlineStr">
        <is>
          <t>TOZKONTROL-YP2-100x450-GRI</t>
        </is>
      </c>
      <c r="D819" s="26" t="inlineStr">
        <is>
          <t>TOZKONTROL-YP2-100x450-GRI</t>
        </is>
      </c>
      <c r="E819" s="27" t="inlineStr">
        <is>
          <t>100 x 450</t>
        </is>
      </c>
      <c r="F819" s="28" t="inlineStr">
        <is>
          <t>TOZKONTROL-YP1</t>
        </is>
      </c>
      <c r="G819" s="29" t="inlineStr">
        <is>
          <t>Kapı Önü Paspası</t>
        </is>
      </c>
      <c r="H819" s="30" t="inlineStr">
        <is>
          <t>Paspas Yap</t>
        </is>
      </c>
      <c r="I819" s="31" t="n">
        <v>93.0</v>
      </c>
      <c r="J819" s="32" t="n">
        <v>7737.0</v>
      </c>
      <c r="K819" s="33" t="n">
        <v>6656.5</v>
      </c>
      <c r="L819" s="34" t="n">
        <v>22.0</v>
      </c>
      <c r="M819" s="35" t="n">
        <v>4804.77</v>
      </c>
      <c r="N819" s="36" t="inlineStr">
        <is>
          <t>25 Ağustos 08.00-1 Eylül 07.59</t>
        </is>
      </c>
      <c r="O819" s="37" t="n">
        <v>15.0</v>
      </c>
      <c r="P819" s="38" t="n">
        <v>6656.5</v>
      </c>
      <c r="Q819" s="39"/>
      <c r="R819" s="40" t="n">
        <f>=IF(AND(ISBLANK(Q819), ISBLANK(U819)), "", "7 Günlük Fiyat")</f>
        <v>0.0</v>
      </c>
      <c r="S819" s="41" t="n">
        <f>=IF(OR(Q819="", R819=""), "-", IF(ISNUMBER(SEARCH("7 Günlük", R819)), IF(Q819&lt;=M819, O819, "-"), "-"))</f>
        <v>0.0</v>
      </c>
      <c r="T819" s="42" t="str">
        <f>=IF(ISBLANK(Q819), "", "Hayır")</f>
      </c>
      <c r="U819" s="43"/>
      <c r="V819" s="44" t="inlineStr">
        <is>
          <t>50461ed1-c2c8-4393-967e-55d58a3e2664</t>
        </is>
      </c>
    </row>
    <row r="820">
      <c r="A820" s="23" t="inlineStr">
        <is>
          <t>Toz Ve Nem Alıcı Yolluk Paspas Iş Yeri Paspası Iç Ve Dış Mekan Paspası Rampalı Toz Alıcı Paspas</t>
        </is>
      </c>
      <c r="B820" s="24" t="inlineStr">
        <is>
          <t>770010727</t>
        </is>
      </c>
      <c r="C820" s="25" t="inlineStr">
        <is>
          <t>TOZKONTROL-YP2-50x90-GRI</t>
        </is>
      </c>
      <c r="D820" s="26" t="inlineStr">
        <is>
          <t>TOZKONTROL-YP2-50x90-GRI</t>
        </is>
      </c>
      <c r="E820" s="27" t="inlineStr">
        <is>
          <t>50 x 90</t>
        </is>
      </c>
      <c r="F820" s="28" t="inlineStr">
        <is>
          <t>TOZKONTROL-YP1</t>
        </is>
      </c>
      <c r="G820" s="29" t="inlineStr">
        <is>
          <t>Kapı Önü Paspası</t>
        </is>
      </c>
      <c r="H820" s="30" t="inlineStr">
        <is>
          <t>Paspas Yap</t>
        </is>
      </c>
      <c r="I820" s="31" t="n">
        <v>93.0</v>
      </c>
      <c r="J820" s="32" t="n">
        <v>1149.0</v>
      </c>
      <c r="K820" s="33" t="n">
        <v>985.35</v>
      </c>
      <c r="L820" s="34" t="n">
        <v>21.5</v>
      </c>
      <c r="M820" s="35" t="n">
        <v>847.81</v>
      </c>
      <c r="N820" s="36" t="inlineStr">
        <is>
          <t>25 Ağustos 08.00-1 Eylül 07.59</t>
        </is>
      </c>
      <c r="O820" s="37" t="n">
        <v>18.0</v>
      </c>
      <c r="P820" s="38" t="n">
        <v>985.35</v>
      </c>
      <c r="Q820" s="39"/>
      <c r="R820" s="40" t="n">
        <f>=IF(AND(ISBLANK(Q820), ISBLANK(U820)), "", "7 Günlük Fiyat")</f>
        <v>0.0</v>
      </c>
      <c r="S820" s="41" t="n">
        <f>=IF(OR(Q820="", R820=""), "-", IF(ISNUMBER(SEARCH("7 Günlük", R820)), IF(Q820&lt;=M820, O820, "-"), "-"))</f>
        <v>0.0</v>
      </c>
      <c r="T820" s="42" t="str">
        <f>=IF(ISBLANK(Q820), "", "Hayır")</f>
      </c>
      <c r="U820" s="43"/>
      <c r="V820" s="44" t="inlineStr">
        <is>
          <t>50461ed1-c2c8-4393-967e-55d58a3e2664</t>
        </is>
      </c>
    </row>
    <row r="821">
      <c r="A821" s="23" t="inlineStr">
        <is>
          <t>Toz Ve Nem Alıcı Yolluk Paspas Iş Yeri Paspası Iç Ve Dış Mekan Paspası Rampalı Toz Alıcı Paspas</t>
        </is>
      </c>
      <c r="B821" s="24" t="inlineStr">
        <is>
          <t>770010727</t>
        </is>
      </c>
      <c r="C821" s="25" t="inlineStr">
        <is>
          <t>TOZKONTROL-YP2-120x300-GRI</t>
        </is>
      </c>
      <c r="D821" s="26" t="inlineStr">
        <is>
          <t>TOZKONTROL-YP2-120x300-GRI</t>
        </is>
      </c>
      <c r="E821" s="27" t="inlineStr">
        <is>
          <t>120 x 300</t>
        </is>
      </c>
      <c r="F821" s="28" t="inlineStr">
        <is>
          <t>TOZKONTROL-YP1</t>
        </is>
      </c>
      <c r="G821" s="29" t="inlineStr">
        <is>
          <t>Kapı Önü Paspası</t>
        </is>
      </c>
      <c r="H821" s="30" t="inlineStr">
        <is>
          <t>Paspas Yap</t>
        </is>
      </c>
      <c r="I821" s="31" t="n">
        <v>93.0</v>
      </c>
      <c r="J821" s="32" t="n">
        <v>6557.0</v>
      </c>
      <c r="K821" s="33" t="n">
        <v>5417.59</v>
      </c>
      <c r="L821" s="34" t="n">
        <v>22.0</v>
      </c>
      <c r="M821" s="35" t="n">
        <v>3737.08</v>
      </c>
      <c r="N821" s="36" t="inlineStr">
        <is>
          <t>25 Ağustos 08.00-1 Eylül 07.59</t>
        </is>
      </c>
      <c r="O821" s="37" t="n">
        <v>13.9</v>
      </c>
      <c r="P821" s="38" t="n">
        <v>5417.59</v>
      </c>
      <c r="Q821" s="39"/>
      <c r="R821" s="40" t="n">
        <f>=IF(AND(ISBLANK(Q821), ISBLANK(U821)), "", "7 Günlük Fiyat")</f>
        <v>0.0</v>
      </c>
      <c r="S821" s="41" t="n">
        <f>=IF(OR(Q821="", R821=""), "-", IF(ISNUMBER(SEARCH("7 Günlük", R821)), IF(Q821&lt;=M821, O821, "-"), "-"))</f>
        <v>0.0</v>
      </c>
      <c r="T821" s="42" t="str">
        <f>=IF(ISBLANK(Q821), "", "Hayır")</f>
      </c>
      <c r="U821" s="43"/>
      <c r="V821" s="44" t="inlineStr">
        <is>
          <t>50461ed1-c2c8-4393-967e-55d58a3e2664</t>
        </is>
      </c>
    </row>
    <row r="822">
      <c r="A822" s="23" t="inlineStr">
        <is>
          <t>Toz Ve Nem Alıcı Yolluk Paspas Iş Yeri Paspası Iç Ve Dış Mekan Paspası Rampalı Toz Alıcı Paspas</t>
        </is>
      </c>
      <c r="B822" s="24" t="inlineStr">
        <is>
          <t>770010727</t>
        </is>
      </c>
      <c r="C822" s="25" t="inlineStr">
        <is>
          <t>TOZKONTROL-YP1-GRI-100100</t>
        </is>
      </c>
      <c r="D822" s="26" t="inlineStr">
        <is>
          <t>TOZKONTROL-YP1-GRI-100100</t>
        </is>
      </c>
      <c r="E822" s="27" t="inlineStr">
        <is>
          <t>100 x 100</t>
        </is>
      </c>
      <c r="F822" s="28" t="inlineStr">
        <is>
          <t>TOZKONTROL-YP1</t>
        </is>
      </c>
      <c r="G822" s="29" t="inlineStr">
        <is>
          <t>Kapı Önü Paspası</t>
        </is>
      </c>
      <c r="H822" s="30" t="inlineStr">
        <is>
          <t>Paspas Yap</t>
        </is>
      </c>
      <c r="I822" s="31" t="n">
        <v>93.0</v>
      </c>
      <c r="J822" s="32" t="n">
        <v>2172.0</v>
      </c>
      <c r="K822" s="33" t="n">
        <v>1951.95</v>
      </c>
      <c r="L822" s="34" t="n">
        <v>22.0</v>
      </c>
      <c r="M822" s="35" t="n">
        <v>1340.06</v>
      </c>
      <c r="N822" s="36" t="inlineStr">
        <is>
          <t>25 Ağustos 08.00-1 Eylül 07.59</t>
        </is>
      </c>
      <c r="O822" s="37" t="n">
        <v>14.7</v>
      </c>
      <c r="P822" s="38" t="n">
        <v>1951.95</v>
      </c>
      <c r="Q822" s="39"/>
      <c r="R822" s="40" t="n">
        <f>=IF(AND(ISBLANK(Q822), ISBLANK(U822)), "", "7 Günlük Fiyat")</f>
        <v>0.0</v>
      </c>
      <c r="S822" s="41" t="n">
        <f>=IF(OR(Q822="", R822=""), "-", IF(ISNUMBER(SEARCH("7 Günlük", R822)), IF(Q822&lt;=M822, O822, "-"), "-"))</f>
        <v>0.0</v>
      </c>
      <c r="T822" s="42" t="str">
        <f>=IF(ISBLANK(Q822), "", "Hayır")</f>
      </c>
      <c r="U822" s="43"/>
      <c r="V822" s="44" t="inlineStr">
        <is>
          <t>50461ed1-c2c8-4393-967e-55d58a3e2664</t>
        </is>
      </c>
    </row>
    <row r="823">
      <c r="A823" s="23" t="inlineStr">
        <is>
          <t>Toz Ve Nem Alıcı Yolluk Paspas Iş Yeri Paspası Iç Ve Dış Mekan Paspası Rampalı Toz Alıcı Paspas</t>
        </is>
      </c>
      <c r="B823" s="24" t="inlineStr">
        <is>
          <t>770010727</t>
        </is>
      </c>
      <c r="C823" s="25" t="inlineStr">
        <is>
          <t>TOZKONTROL-YP2-120x700-GRI</t>
        </is>
      </c>
      <c r="D823" s="26" t="inlineStr">
        <is>
          <t>TOZKONTROL-YP2-120x700-GRI</t>
        </is>
      </c>
      <c r="E823" s="27" t="inlineStr">
        <is>
          <t>120 x 700</t>
        </is>
      </c>
      <c r="F823" s="28" t="inlineStr">
        <is>
          <t>TOZKONTROL-YP1</t>
        </is>
      </c>
      <c r="G823" s="29" t="inlineStr">
        <is>
          <t>Kapı Önü Paspası</t>
        </is>
      </c>
      <c r="H823" s="30" t="inlineStr">
        <is>
          <t>Paspas Yap</t>
        </is>
      </c>
      <c r="I823" s="31" t="n">
        <v>93.0</v>
      </c>
      <c r="J823" s="32" t="n">
        <v>14351.0</v>
      </c>
      <c r="K823" s="33" t="n">
        <v>14351.0</v>
      </c>
      <c r="L823" s="34" t="n">
        <v>22.0</v>
      </c>
      <c r="M823" s="35" t="n">
        <v>10164.99</v>
      </c>
      <c r="N823" s="36" t="inlineStr">
        <is>
          <t>25 Ağustos 08.00-1 Eylül 07.59</t>
        </is>
      </c>
      <c r="O823" s="37" t="n">
        <v>16.6</v>
      </c>
      <c r="P823" s="38" t="n">
        <v>14351.0</v>
      </c>
      <c r="Q823" s="39"/>
      <c r="R823" s="40" t="n">
        <f>=IF(AND(ISBLANK(Q823), ISBLANK(U823)), "", "7 Günlük Fiyat")</f>
        <v>0.0</v>
      </c>
      <c r="S823" s="41" t="n">
        <f>=IF(OR(Q823="", R823=""), "-", IF(ISNUMBER(SEARCH("7 Günlük", R823)), IF(Q823&lt;=M823, O823, "-"), "-"))</f>
        <v>0.0</v>
      </c>
      <c r="T823" s="42" t="str">
        <f>=IF(ISBLANK(Q823), "", "Hayır")</f>
      </c>
      <c r="U823" s="43"/>
      <c r="V823" s="44" t="inlineStr">
        <is>
          <t>50461ed1-c2c8-4393-967e-55d58a3e2664</t>
        </is>
      </c>
    </row>
    <row r="824">
      <c r="A824" s="23" t="inlineStr">
        <is>
          <t>Toz Ve Nem Alıcı Yolluk Paspas Iş Yeri Paspası Iç Ve Dış Mekan Paspası Rampalı Toz Alıcı Paspas</t>
        </is>
      </c>
      <c r="B824" s="24" t="inlineStr">
        <is>
          <t>770010727</t>
        </is>
      </c>
      <c r="C824" s="25" t="inlineStr">
        <is>
          <t>TOZKONTROL-YP2-120x150-GRI</t>
        </is>
      </c>
      <c r="D824" s="26" t="inlineStr">
        <is>
          <t>TOZKONTROL-YP2-120x150-GRI</t>
        </is>
      </c>
      <c r="E824" s="27" t="inlineStr">
        <is>
          <t>120 x 150</t>
        </is>
      </c>
      <c r="F824" s="28" t="inlineStr">
        <is>
          <t>TOZKONTROL-YP1</t>
        </is>
      </c>
      <c r="G824" s="29" t="inlineStr">
        <is>
          <t>Kapı Önü Paspası</t>
        </is>
      </c>
      <c r="H824" s="30" t="inlineStr">
        <is>
          <t>Paspas Yap</t>
        </is>
      </c>
      <c r="I824" s="31" t="n">
        <v>93.0</v>
      </c>
      <c r="J824" s="32" t="n">
        <v>3376.0</v>
      </c>
      <c r="K824" s="33" t="n">
        <v>2881.87</v>
      </c>
      <c r="L824" s="34" t="n">
        <v>22.0</v>
      </c>
      <c r="M824" s="35" t="n">
        <v>2121.08</v>
      </c>
      <c r="N824" s="36" t="inlineStr">
        <is>
          <t>25 Ağustos 08.00-1 Eylül 07.59</t>
        </is>
      </c>
      <c r="O824" s="37" t="n">
        <v>15.2</v>
      </c>
      <c r="P824" s="38" t="n">
        <v>2881.87</v>
      </c>
      <c r="Q824" s="39"/>
      <c r="R824" s="40" t="n">
        <f>=IF(AND(ISBLANK(Q824), ISBLANK(U824)), "", "7 Günlük Fiyat")</f>
        <v>0.0</v>
      </c>
      <c r="S824" s="41" t="n">
        <f>=IF(OR(Q824="", R824=""), "-", IF(ISNUMBER(SEARCH("7 Günlük", R824)), IF(Q824&lt;=M824, O824, "-"), "-"))</f>
        <v>0.0</v>
      </c>
      <c r="T824" s="42" t="str">
        <f>=IF(ISBLANK(Q824), "", "Hayır")</f>
      </c>
      <c r="U824" s="43"/>
      <c r="V824" s="44" t="inlineStr">
        <is>
          <t>50461ed1-c2c8-4393-967e-55d58a3e2664</t>
        </is>
      </c>
    </row>
    <row r="825">
      <c r="A825" s="23" t="inlineStr">
        <is>
          <t>Toz Ve Nem Alıcı Yolluk Paspas Iş Yeri Paspası Iç Ve Dış Mekan Paspası Rampalı Toz Alıcı Paspas</t>
        </is>
      </c>
      <c r="B825" s="24" t="inlineStr">
        <is>
          <t>770010727</t>
        </is>
      </c>
      <c r="C825" s="25" t="inlineStr">
        <is>
          <t>TOZKONTROL-YP1-GRI-100120</t>
        </is>
      </c>
      <c r="D825" s="26" t="inlineStr">
        <is>
          <t>TOZKONTROL-YP1-GRI-100120</t>
        </is>
      </c>
      <c r="E825" s="27" t="inlineStr">
        <is>
          <t>100 x 120</t>
        </is>
      </c>
      <c r="F825" s="28" t="inlineStr">
        <is>
          <t>TOZKONTROL-YP1</t>
        </is>
      </c>
      <c r="G825" s="29" t="inlineStr">
        <is>
          <t>Kapı Önü Paspası</t>
        </is>
      </c>
      <c r="H825" s="30" t="inlineStr">
        <is>
          <t>Paspas Yap</t>
        </is>
      </c>
      <c r="I825" s="31" t="n">
        <v>93.0</v>
      </c>
      <c r="J825" s="32" t="n">
        <v>2759.0</v>
      </c>
      <c r="K825" s="33" t="n">
        <v>2390.97</v>
      </c>
      <c r="L825" s="34" t="n">
        <v>22.0</v>
      </c>
      <c r="M825" s="35" t="n">
        <v>1551.03</v>
      </c>
      <c r="N825" s="36" t="inlineStr">
        <is>
          <t>25 Ağustos 08.00-1 Eylül 07.59</t>
        </is>
      </c>
      <c r="O825" s="37" t="n">
        <v>13.6</v>
      </c>
      <c r="P825" s="38" t="n">
        <v>2390.97</v>
      </c>
      <c r="Q825" s="39"/>
      <c r="R825" s="40" t="n">
        <f>=IF(AND(ISBLANK(Q825), ISBLANK(U825)), "", "7 Günlük Fiyat")</f>
        <v>0.0</v>
      </c>
      <c r="S825" s="41" t="n">
        <f>=IF(OR(Q825="", R825=""), "-", IF(ISNUMBER(SEARCH("7 Günlük", R825)), IF(Q825&lt;=M825, O825, "-"), "-"))</f>
        <v>0.0</v>
      </c>
      <c r="T825" s="42" t="str">
        <f>=IF(ISBLANK(Q825), "", "Hayır")</f>
      </c>
      <c r="U825" s="43"/>
      <c r="V825" s="44" t="inlineStr">
        <is>
          <t>50461ed1-c2c8-4393-967e-55d58a3e2664</t>
        </is>
      </c>
    </row>
    <row r="826">
      <c r="A826" s="23" t="inlineStr">
        <is>
          <t>Toz Ve Nem Alıcı Yolluk Paspas Iş Yeri Paspası Iç Ve Dış Mekan Paspası Rampalı Toz Alıcı Paspas</t>
        </is>
      </c>
      <c r="B826" s="24" t="inlineStr">
        <is>
          <t>770010727</t>
        </is>
      </c>
      <c r="C826" s="25" t="inlineStr">
        <is>
          <t>TOZKONTROL-YP2-80x550-GRI</t>
        </is>
      </c>
      <c r="D826" s="26" t="inlineStr">
        <is>
          <t>TOZKONTROL-YP2-80x550-GRI</t>
        </is>
      </c>
      <c r="E826" s="27" t="inlineStr">
        <is>
          <t>80 x 550</t>
        </is>
      </c>
      <c r="F826" s="28" t="inlineStr">
        <is>
          <t>TOZKONTROL-YP1</t>
        </is>
      </c>
      <c r="G826" s="29" t="inlineStr">
        <is>
          <t>Kapı Önü Paspası</t>
        </is>
      </c>
      <c r="H826" s="30" t="inlineStr">
        <is>
          <t>Paspas Yap</t>
        </is>
      </c>
      <c r="I826" s="31" t="n">
        <v>93.0</v>
      </c>
      <c r="J826" s="32" t="n">
        <v>7711.0</v>
      </c>
      <c r="K826" s="33" t="n">
        <v>6899.5</v>
      </c>
      <c r="L826" s="34" t="n">
        <v>22.0</v>
      </c>
      <c r="M826" s="35" t="n">
        <v>4817.29</v>
      </c>
      <c r="N826" s="36" t="inlineStr">
        <is>
          <t>25 Ağustos 08.00-1 Eylül 07.59</t>
        </is>
      </c>
      <c r="O826" s="37" t="n">
        <v>14.8</v>
      </c>
      <c r="P826" s="38" t="n">
        <v>6899.5</v>
      </c>
      <c r="Q826" s="39"/>
      <c r="R826" s="40" t="n">
        <f>=IF(AND(ISBLANK(Q826), ISBLANK(U826)), "", "7 Günlük Fiyat")</f>
        <v>0.0</v>
      </c>
      <c r="S826" s="41" t="n">
        <f>=IF(OR(Q826="", R826=""), "-", IF(ISNUMBER(SEARCH("7 Günlük", R826)), IF(Q826&lt;=M826, O826, "-"), "-"))</f>
        <v>0.0</v>
      </c>
      <c r="T826" s="42" t="str">
        <f>=IF(ISBLANK(Q826), "", "Hayır")</f>
      </c>
      <c r="U826" s="43"/>
      <c r="V826" s="44" t="inlineStr">
        <is>
          <t>50461ed1-c2c8-4393-967e-55d58a3e2664</t>
        </is>
      </c>
    </row>
    <row r="827">
      <c r="A827" s="23" t="inlineStr">
        <is>
          <t>Toz Ve Nem Alıcı Yolluk Paspas Iş Yeri Paspası Iç Ve Dış Mekan Paspası Rampalı Toz Alıcı Paspas</t>
        </is>
      </c>
      <c r="B827" s="24" t="inlineStr">
        <is>
          <t>770010727</t>
        </is>
      </c>
      <c r="C827" s="25" t="inlineStr">
        <is>
          <t>TOZKONTROL-YP2-100x1050-GRI</t>
        </is>
      </c>
      <c r="D827" s="26" t="inlineStr">
        <is>
          <t>TOZKONTROL-YP2-100x1050-GRI</t>
        </is>
      </c>
      <c r="E827" s="27" t="inlineStr">
        <is>
          <t>100 x 1050</t>
        </is>
      </c>
      <c r="F827" s="28" t="inlineStr">
        <is>
          <t>TOZKONTROL-YP1</t>
        </is>
      </c>
      <c r="G827" s="29" t="inlineStr">
        <is>
          <t>Kapı Önü Paspası</t>
        </is>
      </c>
      <c r="H827" s="30" t="inlineStr">
        <is>
          <t>Paspas Yap</t>
        </is>
      </c>
      <c r="I827" s="31" t="n">
        <v>93.0</v>
      </c>
      <c r="J827" s="32" t="n">
        <v>20223.0</v>
      </c>
      <c r="K827" s="33" t="n">
        <v>20223.0</v>
      </c>
      <c r="L827" s="34" t="n">
        <v>22.0</v>
      </c>
      <c r="M827" s="35" t="n">
        <v>14324.33</v>
      </c>
      <c r="N827" s="36" t="inlineStr">
        <is>
          <t>25 Ağustos 08.00-1 Eylül 07.59</t>
        </is>
      </c>
      <c r="O827" s="37" t="n">
        <v>16.6</v>
      </c>
      <c r="P827" s="38" t="n">
        <v>20223.0</v>
      </c>
      <c r="Q827" s="39"/>
      <c r="R827" s="40" t="n">
        <f>=IF(AND(ISBLANK(Q827), ISBLANK(U827)), "", "7 Günlük Fiyat")</f>
        <v>0.0</v>
      </c>
      <c r="S827" s="41" t="n">
        <f>=IF(OR(Q827="", R827=""), "-", IF(ISNUMBER(SEARCH("7 Günlük", R827)), IF(Q827&lt;=M827, O827, "-"), "-"))</f>
        <v>0.0</v>
      </c>
      <c r="T827" s="42" t="str">
        <f>=IF(ISBLANK(Q827), "", "Hayır")</f>
      </c>
      <c r="U827" s="43"/>
      <c r="V827" s="44" t="inlineStr">
        <is>
          <t>50461ed1-c2c8-4393-967e-55d58a3e2664</t>
        </is>
      </c>
    </row>
    <row r="828">
      <c r="A828" s="23" t="inlineStr">
        <is>
          <t>Toz Ve Nem Alıcı Yolluk Paspas Iş Yeri Paspası Iç Ve Dış Mekan Paspası Rampalı Toz Alıcı Paspas</t>
        </is>
      </c>
      <c r="B828" s="24" t="inlineStr">
        <is>
          <t>770010727</t>
        </is>
      </c>
      <c r="C828" s="25" t="inlineStr">
        <is>
          <t>TOZKONTROL-YP2-100x1500-GRI</t>
        </is>
      </c>
      <c r="D828" s="26" t="inlineStr">
        <is>
          <t>TOZKONTROL-YP2-100x1500-GRI</t>
        </is>
      </c>
      <c r="E828" s="27" t="inlineStr">
        <is>
          <t>100 x 1500</t>
        </is>
      </c>
      <c r="F828" s="28" t="inlineStr">
        <is>
          <t>TOZKONTROL-YP1</t>
        </is>
      </c>
      <c r="G828" s="29" t="inlineStr">
        <is>
          <t>Kapı Önü Paspası</t>
        </is>
      </c>
      <c r="H828" s="30" t="inlineStr">
        <is>
          <t>Paspas Yap</t>
        </is>
      </c>
      <c r="I828" s="31" t="n">
        <v>93.0</v>
      </c>
      <c r="J828" s="32" t="n">
        <v>26967.0</v>
      </c>
      <c r="K828" s="33" t="n">
        <v>26967.0</v>
      </c>
      <c r="L828" s="34" t="n">
        <v>22.0</v>
      </c>
      <c r="M828" s="35" t="n">
        <v>19286.26</v>
      </c>
      <c r="N828" s="36" t="inlineStr">
        <is>
          <t>25 Ağustos 08.00-1 Eylül 07.59</t>
        </is>
      </c>
      <c r="O828" s="37" t="n">
        <v>14.8</v>
      </c>
      <c r="P828" s="38" t="n">
        <v>26967.0</v>
      </c>
      <c r="Q828" s="39"/>
      <c r="R828" s="40" t="n">
        <f>=IF(AND(ISBLANK(Q828), ISBLANK(U828)), "", "7 Günlük Fiyat")</f>
        <v>0.0</v>
      </c>
      <c r="S828" s="41" t="n">
        <f>=IF(OR(Q828="", R828=""), "-", IF(ISNUMBER(SEARCH("7 Günlük", R828)), IF(Q828&lt;=M828, O828, "-"), "-"))</f>
        <v>0.0</v>
      </c>
      <c r="T828" s="42" t="str">
        <f>=IF(ISBLANK(Q828), "", "Hayır")</f>
      </c>
      <c r="U828" s="43"/>
      <c r="V828" s="44" t="inlineStr">
        <is>
          <t>50461ed1-c2c8-4393-967e-55d58a3e2664</t>
        </is>
      </c>
    </row>
    <row r="829">
      <c r="A829" s="23" t="inlineStr">
        <is>
          <t>Toz Ve Nem Alıcı Yolluk Paspas Iş Yeri Paspası Iç Ve Dış Mekan Paspası Rampalı Toz Alıcı Paspas</t>
        </is>
      </c>
      <c r="B829" s="24" t="inlineStr">
        <is>
          <t>770010727</t>
        </is>
      </c>
      <c r="C829" s="25" t="inlineStr">
        <is>
          <t>TOZKONTROL-YP2-80x650-GRI</t>
        </is>
      </c>
      <c r="D829" s="26" t="inlineStr">
        <is>
          <t>TOZKONTROL-YP2-80x650-GRI</t>
        </is>
      </c>
      <c r="E829" s="27" t="inlineStr">
        <is>
          <t>80 x 650</t>
        </is>
      </c>
      <c r="F829" s="28" t="inlineStr">
        <is>
          <t>TOZKONTROL-YP1</t>
        </is>
      </c>
      <c r="G829" s="29" t="inlineStr">
        <is>
          <t>Kapı Önü Paspası</t>
        </is>
      </c>
      <c r="H829" s="30" t="inlineStr">
        <is>
          <t>Paspas Yap</t>
        </is>
      </c>
      <c r="I829" s="31" t="n">
        <v>93.0</v>
      </c>
      <c r="J829" s="32" t="n">
        <v>9409.0</v>
      </c>
      <c r="K829" s="33" t="n">
        <v>8747.12</v>
      </c>
      <c r="L829" s="34" t="n">
        <v>22.0</v>
      </c>
      <c r="M829" s="35" t="n">
        <v>6184.08</v>
      </c>
      <c r="N829" s="36" t="inlineStr">
        <is>
          <t>25 Ağustos 08.00-1 Eylül 07.59</t>
        </is>
      </c>
      <c r="O829" s="37" t="n">
        <v>15.5</v>
      </c>
      <c r="P829" s="38" t="n">
        <v>8747.12</v>
      </c>
      <c r="Q829" s="39"/>
      <c r="R829" s="40" t="n">
        <f>=IF(AND(ISBLANK(Q829), ISBLANK(U829)), "", "7 Günlük Fiyat")</f>
        <v>0.0</v>
      </c>
      <c r="S829" s="41" t="n">
        <f>=IF(OR(Q829="", R829=""), "-", IF(ISNUMBER(SEARCH("7 Günlük", R829)), IF(Q829&lt;=M829, O829, "-"), "-"))</f>
        <v>0.0</v>
      </c>
      <c r="T829" s="42" t="str">
        <f>=IF(ISBLANK(Q829), "", "Hayır")</f>
      </c>
      <c r="U829" s="43"/>
      <c r="V829" s="44" t="inlineStr">
        <is>
          <t>50461ed1-c2c8-4393-967e-55d58a3e2664</t>
        </is>
      </c>
    </row>
    <row r="830">
      <c r="A830" s="23" t="inlineStr">
        <is>
          <t>Toz Ve Nem Alıcı Yolluk Paspas Iş Yeri Paspası Iç Ve Dış Mekan Paspası Rampalı Toz Alıcı Paspas</t>
        </is>
      </c>
      <c r="B830" s="24" t="inlineStr">
        <is>
          <t>770010727</t>
        </is>
      </c>
      <c r="C830" s="25" t="inlineStr">
        <is>
          <t>TOZKONTROL-YP2-120x200-GRI</t>
        </is>
      </c>
      <c r="D830" s="26" t="inlineStr">
        <is>
          <t>TOZKONTROL-YP2-120x200-GRI</t>
        </is>
      </c>
      <c r="E830" s="27" t="inlineStr">
        <is>
          <t>120 x 200</t>
        </is>
      </c>
      <c r="F830" s="28" t="inlineStr">
        <is>
          <t>TOZKONTROL-YP1</t>
        </is>
      </c>
      <c r="G830" s="29" t="inlineStr">
        <is>
          <t>Kapı Önü Paspası</t>
        </is>
      </c>
      <c r="H830" s="30" t="inlineStr">
        <is>
          <t>Paspas Yap</t>
        </is>
      </c>
      <c r="I830" s="31" t="n">
        <v>93.0</v>
      </c>
      <c r="J830" s="32" t="n">
        <v>4496.0</v>
      </c>
      <c r="K830" s="33" t="n">
        <v>3975.43</v>
      </c>
      <c r="L830" s="34" t="n">
        <v>22.0</v>
      </c>
      <c r="M830" s="35" t="n">
        <v>2523.42</v>
      </c>
      <c r="N830" s="36" t="inlineStr">
        <is>
          <t>25 Ağustos 08.00-1 Eylül 07.59</t>
        </is>
      </c>
      <c r="O830" s="37" t="n">
        <v>13.0</v>
      </c>
      <c r="P830" s="38" t="n">
        <v>3975.43</v>
      </c>
      <c r="Q830" s="39"/>
      <c r="R830" s="40" t="n">
        <f>=IF(AND(ISBLANK(Q830), ISBLANK(U830)), "", "7 Günlük Fiyat")</f>
        <v>0.0</v>
      </c>
      <c r="S830" s="41" t="n">
        <f>=IF(OR(Q830="", R830=""), "-", IF(ISNUMBER(SEARCH("7 Günlük", R830)), IF(Q830&lt;=M830, O830, "-"), "-"))</f>
        <v>0.0</v>
      </c>
      <c r="T830" s="42" t="str">
        <f>=IF(ISBLANK(Q830), "", "Hayır")</f>
      </c>
      <c r="U830" s="43"/>
      <c r="V830" s="44" t="inlineStr">
        <is>
          <t>50461ed1-c2c8-4393-967e-55d58a3e2664</t>
        </is>
      </c>
    </row>
    <row r="831">
      <c r="A831" s="23" t="inlineStr">
        <is>
          <t>Toz Ve Nem Alıcı Yolluk Paspas Iş Yeri Paspası Iç Ve Dış Mekan Paspası Rampalı Toz Alıcı Paspas</t>
        </is>
      </c>
      <c r="B831" s="24" t="inlineStr">
        <is>
          <t>770010727</t>
        </is>
      </c>
      <c r="C831" s="25" t="inlineStr">
        <is>
          <t>TOZKONTROL-YP2-80x1250-GRI</t>
        </is>
      </c>
      <c r="D831" s="26" t="inlineStr">
        <is>
          <t>TOZKONTROL-YP2-80x1250-GRI</t>
        </is>
      </c>
      <c r="E831" s="27" t="inlineStr">
        <is>
          <t>80 x 1250</t>
        </is>
      </c>
      <c r="F831" s="28" t="inlineStr">
        <is>
          <t>TOZKONTROL-YP1</t>
        </is>
      </c>
      <c r="G831" s="29" t="inlineStr">
        <is>
          <t>Kapı Önü Paspası</t>
        </is>
      </c>
      <c r="H831" s="30" t="inlineStr">
        <is>
          <t>Paspas Yap</t>
        </is>
      </c>
      <c r="I831" s="31" t="n">
        <v>93.0</v>
      </c>
      <c r="J831" s="32" t="n">
        <v>16738.0</v>
      </c>
      <c r="K831" s="33" t="n">
        <v>16738.0</v>
      </c>
      <c r="L831" s="34" t="n">
        <v>22.0</v>
      </c>
      <c r="M831" s="35" t="n">
        <v>11855.52</v>
      </c>
      <c r="N831" s="36" t="inlineStr">
        <is>
          <t>25 Ağustos 08.00-1 Eylül 07.59</t>
        </is>
      </c>
      <c r="O831" s="37" t="n">
        <v>16.6</v>
      </c>
      <c r="P831" s="38" t="n">
        <v>16738.0</v>
      </c>
      <c r="Q831" s="39"/>
      <c r="R831" s="40" t="n">
        <f>=IF(AND(ISBLANK(Q831), ISBLANK(U831)), "", "7 Günlük Fiyat")</f>
        <v>0.0</v>
      </c>
      <c r="S831" s="41" t="n">
        <f>=IF(OR(Q831="", R831=""), "-", IF(ISNUMBER(SEARCH("7 Günlük", R831)), IF(Q831&lt;=M831, O831, "-"), "-"))</f>
        <v>0.0</v>
      </c>
      <c r="T831" s="42" t="str">
        <f>=IF(ISBLANK(Q831), "", "Hayır")</f>
      </c>
      <c r="U831" s="43"/>
      <c r="V831" s="44" t="inlineStr">
        <is>
          <t>50461ed1-c2c8-4393-967e-55d58a3e2664</t>
        </is>
      </c>
    </row>
    <row r="832">
      <c r="A832" s="23" t="inlineStr">
        <is>
          <t>Toz Ve Nem Alıcı Yolluk Paspas Iş Yeri Paspası Iç Ve Dış Mekan Paspası Rampalı Toz Alıcı Paspas</t>
        </is>
      </c>
      <c r="B832" s="24" t="inlineStr">
        <is>
          <t>770010727</t>
        </is>
      </c>
      <c r="C832" s="25" t="inlineStr">
        <is>
          <t>TOZKONTROL-YP1-GRI-80300</t>
        </is>
      </c>
      <c r="D832" s="26" t="inlineStr">
        <is>
          <t>TOZKONTROL-YP1-GRI-80300</t>
        </is>
      </c>
      <c r="E832" s="27" t="inlineStr">
        <is>
          <t>80 x 300</t>
        </is>
      </c>
      <c r="F832" s="28" t="inlineStr">
        <is>
          <t>TOZKONTROL-YP1</t>
        </is>
      </c>
      <c r="G832" s="29" t="inlineStr">
        <is>
          <t>Kapı Önü Paspası</t>
        </is>
      </c>
      <c r="H832" s="30" t="inlineStr">
        <is>
          <t>Paspas Yap</t>
        </is>
      </c>
      <c r="I832" s="31" t="n">
        <v>93.0</v>
      </c>
      <c r="J832" s="32" t="n">
        <v>4496.0</v>
      </c>
      <c r="K832" s="33" t="n">
        <v>3860.25</v>
      </c>
      <c r="L832" s="34" t="n">
        <v>22.0</v>
      </c>
      <c r="M832" s="35" t="n">
        <v>2808.66</v>
      </c>
      <c r="N832" s="36" t="inlineStr">
        <is>
          <t>25 Ağustos 08.00-1 Eylül 07.59</t>
        </is>
      </c>
      <c r="O832" s="37" t="n">
        <v>15.1</v>
      </c>
      <c r="P832" s="38" t="n">
        <v>3860.25</v>
      </c>
      <c r="Q832" s="39"/>
      <c r="R832" s="40" t="n">
        <f>=IF(AND(ISBLANK(Q832), ISBLANK(U832)), "", "7 Günlük Fiyat")</f>
        <v>0.0</v>
      </c>
      <c r="S832" s="41" t="n">
        <f>=IF(OR(Q832="", R832=""), "-", IF(ISNUMBER(SEARCH("7 Günlük", R832)), IF(Q832&lt;=M832, O832, "-"), "-"))</f>
        <v>0.0</v>
      </c>
      <c r="T832" s="42" t="str">
        <f>=IF(ISBLANK(Q832), "", "Hayır")</f>
      </c>
      <c r="U832" s="43"/>
      <c r="V832" s="44" t="inlineStr">
        <is>
          <t>50461ed1-c2c8-4393-967e-55d58a3e2664</t>
        </is>
      </c>
    </row>
    <row r="833">
      <c r="A833" s="23" t="inlineStr">
        <is>
          <t>Toz Ve Nem Alıcı Yolluk Paspas Iş Yeri Paspası Iç Ve Dış Mekan Paspası Rampalı Toz Alıcı Paspas</t>
        </is>
      </c>
      <c r="B833" s="24" t="inlineStr">
        <is>
          <t>770010727</t>
        </is>
      </c>
      <c r="C833" s="25" t="inlineStr">
        <is>
          <t>TOZKONTROL-YP2-100x1250-GRI</t>
        </is>
      </c>
      <c r="D833" s="26" t="inlineStr">
        <is>
          <t>TOZKONTROL-YP2-100x1250-GRI</t>
        </is>
      </c>
      <c r="E833" s="27" t="inlineStr">
        <is>
          <t>100 x 1250</t>
        </is>
      </c>
      <c r="F833" s="28" t="inlineStr">
        <is>
          <t>TOZKONTROL-YP1</t>
        </is>
      </c>
      <c r="G833" s="29" t="inlineStr">
        <is>
          <t>Kapı Önü Paspası</t>
        </is>
      </c>
      <c r="H833" s="30" t="inlineStr">
        <is>
          <t>Paspas Yap</t>
        </is>
      </c>
      <c r="I833" s="31" t="n">
        <v>93.0</v>
      </c>
      <c r="J833" s="32" t="n">
        <v>23175.0</v>
      </c>
      <c r="K833" s="33" t="n">
        <v>23175.0</v>
      </c>
      <c r="L833" s="34" t="n">
        <v>22.0</v>
      </c>
      <c r="M833" s="35" t="n">
        <v>16574.3</v>
      </c>
      <c r="N833" s="36" t="inlineStr">
        <is>
          <t>25 Ağustos 08.00-1 Eylül 07.59</t>
        </is>
      </c>
      <c r="O833" s="37" t="n">
        <v>14.8</v>
      </c>
      <c r="P833" s="38" t="n">
        <v>23175.0</v>
      </c>
      <c r="Q833" s="39"/>
      <c r="R833" s="40" t="n">
        <f>=IF(AND(ISBLANK(Q833), ISBLANK(U833)), "", "7 Günlük Fiyat")</f>
        <v>0.0</v>
      </c>
      <c r="S833" s="41" t="n">
        <f>=IF(OR(Q833="", R833=""), "-", IF(ISNUMBER(SEARCH("7 Günlük", R833)), IF(Q833&lt;=M833, O833, "-"), "-"))</f>
        <v>0.0</v>
      </c>
      <c r="T833" s="42" t="str">
        <f>=IF(ISBLANK(Q833), "", "Hayır")</f>
      </c>
      <c r="U833" s="43"/>
      <c r="V833" s="44" t="inlineStr">
        <is>
          <t>50461ed1-c2c8-4393-967e-55d58a3e2664</t>
        </is>
      </c>
    </row>
    <row r="834">
      <c r="A834" s="23" t="inlineStr">
        <is>
          <t>Toz Ve Nem Alıcı Yolluk Paspas Iş Yeri Paspası Iç Ve Dış Mekan Paspası Rampalı Toz Alıcı Paspas</t>
        </is>
      </c>
      <c r="B834" s="24" t="inlineStr">
        <is>
          <t>770010727</t>
        </is>
      </c>
      <c r="C834" s="25" t="inlineStr">
        <is>
          <t>TOZKONTROL-YP2-120x850-GRI</t>
        </is>
      </c>
      <c r="D834" s="26" t="inlineStr">
        <is>
          <t>TOZKONTROL-YP2-120x850-GRI</t>
        </is>
      </c>
      <c r="E834" s="27" t="inlineStr">
        <is>
          <t>120 x 850</t>
        </is>
      </c>
      <c r="F834" s="28" t="inlineStr">
        <is>
          <t>TOZKONTROL-YP1</t>
        </is>
      </c>
      <c r="G834" s="29" t="inlineStr">
        <is>
          <t>Kapı Önü Paspası</t>
        </is>
      </c>
      <c r="H834" s="30" t="inlineStr">
        <is>
          <t>Paspas Yap</t>
        </is>
      </c>
      <c r="I834" s="31" t="n">
        <v>93.0</v>
      </c>
      <c r="J834" s="32" t="n">
        <v>19685.0</v>
      </c>
      <c r="K834" s="33" t="n">
        <v>19685.0</v>
      </c>
      <c r="L834" s="34" t="n">
        <v>22.0</v>
      </c>
      <c r="M834" s="35" t="n">
        <v>13943.31</v>
      </c>
      <c r="N834" s="36" t="inlineStr">
        <is>
          <t>25 Ağustos 08.00-1 Eylül 07.59</t>
        </is>
      </c>
      <c r="O834" s="37" t="n">
        <v>16.6</v>
      </c>
      <c r="P834" s="38" t="n">
        <v>19685.0</v>
      </c>
      <c r="Q834" s="39"/>
      <c r="R834" s="40" t="n">
        <f>=IF(AND(ISBLANK(Q834), ISBLANK(U834)), "", "7 Günlük Fiyat")</f>
        <v>0.0</v>
      </c>
      <c r="S834" s="41" t="n">
        <f>=IF(OR(Q834="", R834=""), "-", IF(ISNUMBER(SEARCH("7 Günlük", R834)), IF(Q834&lt;=M834, O834, "-"), "-"))</f>
        <v>0.0</v>
      </c>
      <c r="T834" s="42" t="str">
        <f>=IF(ISBLANK(Q834), "", "Hayır")</f>
      </c>
      <c r="U834" s="43"/>
      <c r="V834" s="44" t="inlineStr">
        <is>
          <t>50461ed1-c2c8-4393-967e-55d58a3e2664</t>
        </is>
      </c>
    </row>
    <row r="835">
      <c r="A835" s="23" t="inlineStr">
        <is>
          <t>Toz Ve Nem Alıcı Yolluk Paspas Iş Yeri Paspası Iç Ve Dış Mekan Paspası Rampalı Toz Alıcı Paspas</t>
        </is>
      </c>
      <c r="B835" s="24" t="inlineStr">
        <is>
          <t>770010727</t>
        </is>
      </c>
      <c r="C835" s="25" t="inlineStr">
        <is>
          <t>TOZKONTROL-YP2-100x350-GRI</t>
        </is>
      </c>
      <c r="D835" s="26" t="inlineStr">
        <is>
          <t>TOZKONTROL-YP2-100x350-GRI</t>
        </is>
      </c>
      <c r="E835" s="27" t="inlineStr">
        <is>
          <t>100 x 350</t>
        </is>
      </c>
      <c r="F835" s="28" t="inlineStr">
        <is>
          <t>TOZKONTROL-YP1</t>
        </is>
      </c>
      <c r="G835" s="29" t="inlineStr">
        <is>
          <t>Kapı Önü Paspası</t>
        </is>
      </c>
      <c r="H835" s="30" t="inlineStr">
        <is>
          <t>Paspas Yap</t>
        </is>
      </c>
      <c r="I835" s="31" t="n">
        <v>93.0</v>
      </c>
      <c r="J835" s="32" t="n">
        <v>6309.0</v>
      </c>
      <c r="K835" s="33" t="n">
        <v>5840.0</v>
      </c>
      <c r="L835" s="34" t="n">
        <v>22.0</v>
      </c>
      <c r="M835" s="35" t="n">
        <v>4254.31</v>
      </c>
      <c r="N835" s="36" t="inlineStr">
        <is>
          <t>25 Ağustos 08.00-1 Eylül 07.59</t>
        </is>
      </c>
      <c r="O835" s="37" t="n">
        <v>16.0</v>
      </c>
      <c r="P835" s="38" t="n">
        <v>5840.0</v>
      </c>
      <c r="Q835" s="39"/>
      <c r="R835" s="40" t="n">
        <f>=IF(AND(ISBLANK(Q835), ISBLANK(U835)), "", "7 Günlük Fiyat")</f>
        <v>0.0</v>
      </c>
      <c r="S835" s="41" t="n">
        <f>=IF(OR(Q835="", R835=""), "-", IF(ISNUMBER(SEARCH("7 Günlük", R835)), IF(Q835&lt;=M835, O835, "-"), "-"))</f>
        <v>0.0</v>
      </c>
      <c r="T835" s="42" t="str">
        <f>=IF(ISBLANK(Q835), "", "Hayır")</f>
      </c>
      <c r="U835" s="43"/>
      <c r="V835" s="44" t="inlineStr">
        <is>
          <t>50461ed1-c2c8-4393-967e-55d58a3e2664</t>
        </is>
      </c>
    </row>
    <row r="836">
      <c r="A836" s="23" t="inlineStr">
        <is>
          <t>Toz Ve Nem Alıcı Yolluk Paspas Iş Yeri Paspası Iç Ve Dış Mekan Paspası Rampalı Toz Alıcı Paspas</t>
        </is>
      </c>
      <c r="B836" s="24" t="inlineStr">
        <is>
          <t>770010727</t>
        </is>
      </c>
      <c r="C836" s="25" t="inlineStr">
        <is>
          <t>TOZKONTROL-YP2-80x1350-GRI</t>
        </is>
      </c>
      <c r="D836" s="26" t="inlineStr">
        <is>
          <t>TOZKONTROL-YP2-80x1350-GRI</t>
        </is>
      </c>
      <c r="E836" s="27" t="inlineStr">
        <is>
          <t>80 x 1350</t>
        </is>
      </c>
      <c r="F836" s="28" t="inlineStr">
        <is>
          <t>TOZKONTROL-YP1</t>
        </is>
      </c>
      <c r="G836" s="29" t="inlineStr">
        <is>
          <t>Kapı Önü Paspası</t>
        </is>
      </c>
      <c r="H836" s="30" t="inlineStr">
        <is>
          <t>Paspas Yap</t>
        </is>
      </c>
      <c r="I836" s="31" t="n">
        <v>93.0</v>
      </c>
      <c r="J836" s="32" t="n">
        <v>20833.0</v>
      </c>
      <c r="K836" s="33" t="n">
        <v>20833.0</v>
      </c>
      <c r="L836" s="34" t="n">
        <v>22.0</v>
      </c>
      <c r="M836" s="35" t="n">
        <v>14899.34</v>
      </c>
      <c r="N836" s="36" t="inlineStr">
        <is>
          <t>25 Ağustos 08.00-1 Eylül 07.59</t>
        </is>
      </c>
      <c r="O836" s="37" t="n">
        <v>14.8</v>
      </c>
      <c r="P836" s="38" t="n">
        <v>20833.0</v>
      </c>
      <c r="Q836" s="39"/>
      <c r="R836" s="40" t="n">
        <f>=IF(AND(ISBLANK(Q836), ISBLANK(U836)), "", "7 Günlük Fiyat")</f>
        <v>0.0</v>
      </c>
      <c r="S836" s="41" t="n">
        <f>=IF(OR(Q836="", R836=""), "-", IF(ISNUMBER(SEARCH("7 Günlük", R836)), IF(Q836&lt;=M836, O836, "-"), "-"))</f>
        <v>0.0</v>
      </c>
      <c r="T836" s="42" t="str">
        <f>=IF(ISBLANK(Q836), "", "Hayır")</f>
      </c>
      <c r="U836" s="43"/>
      <c r="V836" s="44" t="inlineStr">
        <is>
          <t>50461ed1-c2c8-4393-967e-55d58a3e2664</t>
        </is>
      </c>
    </row>
    <row r="837">
      <c r="A837" s="23" t="inlineStr">
        <is>
          <t>Toz Ve Nem Alıcı Yolluk Paspas Iş Yeri Paspası Iç Ve Dış Mekan Paspası Rampalı Toz Alıcı Paspas</t>
        </is>
      </c>
      <c r="B837" s="24" t="inlineStr">
        <is>
          <t>770010727</t>
        </is>
      </c>
      <c r="C837" s="25" t="inlineStr">
        <is>
          <t>TOZKONTROL-YP2-80x450-GRI</t>
        </is>
      </c>
      <c r="D837" s="26" t="inlineStr">
        <is>
          <t>TOZKONTROL-YP2-80x450-GRI</t>
        </is>
      </c>
      <c r="E837" s="27" t="inlineStr">
        <is>
          <t>80 x 450</t>
        </is>
      </c>
      <c r="F837" s="28" t="inlineStr">
        <is>
          <t>TOZKONTROL-YP1</t>
        </is>
      </c>
      <c r="G837" s="29" t="inlineStr">
        <is>
          <t>Kapı Önü Paspası</t>
        </is>
      </c>
      <c r="H837" s="30" t="inlineStr">
        <is>
          <t>Paspas Yap</t>
        </is>
      </c>
      <c r="I837" s="31" t="n">
        <v>93.0</v>
      </c>
      <c r="J837" s="32" t="n">
        <v>6557.0</v>
      </c>
      <c r="K837" s="33" t="n">
        <v>6074.71</v>
      </c>
      <c r="L837" s="34" t="n">
        <v>22.0</v>
      </c>
      <c r="M837" s="35" t="n">
        <v>4431.16</v>
      </c>
      <c r="N837" s="36" t="inlineStr">
        <is>
          <t>25 Ağustos 08.00-1 Eylül 07.59</t>
        </is>
      </c>
      <c r="O837" s="37" t="n">
        <v>16.1</v>
      </c>
      <c r="P837" s="38" t="n">
        <v>6074.71</v>
      </c>
      <c r="Q837" s="39"/>
      <c r="R837" s="40" t="n">
        <f>=IF(AND(ISBLANK(Q837), ISBLANK(U837)), "", "7 Günlük Fiyat")</f>
        <v>0.0</v>
      </c>
      <c r="S837" s="41" t="n">
        <f>=IF(OR(Q837="", R837=""), "-", IF(ISNUMBER(SEARCH("7 Günlük", R837)), IF(Q837&lt;=M837, O837, "-"), "-"))</f>
        <v>0.0</v>
      </c>
      <c r="T837" s="42" t="str">
        <f>=IF(ISBLANK(Q837), "", "Hayır")</f>
      </c>
      <c r="U837" s="43"/>
      <c r="V837" s="44" t="inlineStr">
        <is>
          <t>50461ed1-c2c8-4393-967e-55d58a3e2664</t>
        </is>
      </c>
    </row>
    <row r="838">
      <c r="A838" s="23" t="inlineStr">
        <is>
          <t>Toz Ve Nem Alıcı Yolluk Paspas Iş Yeri Paspası Iç Ve Dış Mekan Paspası Rampalı Toz Alıcı Paspas</t>
        </is>
      </c>
      <c r="B838" s="24" t="inlineStr">
        <is>
          <t>770010727</t>
        </is>
      </c>
      <c r="C838" s="25" t="inlineStr">
        <is>
          <t>TOZKONTROL-YP2-120x600-GRI</t>
        </is>
      </c>
      <c r="D838" s="26" t="inlineStr">
        <is>
          <t>TOZKONTROL-YP2-120x600-GRI</t>
        </is>
      </c>
      <c r="E838" s="27" t="inlineStr">
        <is>
          <t>120 x 600</t>
        </is>
      </c>
      <c r="F838" s="28" t="inlineStr">
        <is>
          <t>TOZKONTROL-YP1</t>
        </is>
      </c>
      <c r="G838" s="29" t="inlineStr">
        <is>
          <t>Kapı Önü Paspası</t>
        </is>
      </c>
      <c r="H838" s="30" t="inlineStr">
        <is>
          <t>Paspas Yap</t>
        </is>
      </c>
      <c r="I838" s="31" t="n">
        <v>93.0</v>
      </c>
      <c r="J838" s="32" t="n">
        <v>12542.0</v>
      </c>
      <c r="K838" s="33" t="n">
        <v>12542.0</v>
      </c>
      <c r="L838" s="34" t="n">
        <v>22.0</v>
      </c>
      <c r="M838" s="35" t="n">
        <v>8969.79</v>
      </c>
      <c r="N838" s="36" t="inlineStr">
        <is>
          <t>25 Ağustos 08.00-1 Eylül 07.59</t>
        </is>
      </c>
      <c r="O838" s="37" t="n">
        <v>14.8</v>
      </c>
      <c r="P838" s="38" t="n">
        <v>12542.0</v>
      </c>
      <c r="Q838" s="39"/>
      <c r="R838" s="40" t="n">
        <f>=IF(AND(ISBLANK(Q838), ISBLANK(U838)), "", "7 Günlük Fiyat")</f>
        <v>0.0</v>
      </c>
      <c r="S838" s="41" t="n">
        <f>=IF(OR(Q838="", R838=""), "-", IF(ISNUMBER(SEARCH("7 Günlük", R838)), IF(Q838&lt;=M838, O838, "-"), "-"))</f>
        <v>0.0</v>
      </c>
      <c r="T838" s="42" t="str">
        <f>=IF(ISBLANK(Q838), "", "Hayır")</f>
      </c>
      <c r="U838" s="43"/>
      <c r="V838" s="44" t="inlineStr">
        <is>
          <t>50461ed1-c2c8-4393-967e-55d58a3e2664</t>
        </is>
      </c>
    </row>
    <row r="839">
      <c r="A839" s="23" t="inlineStr">
        <is>
          <t>Toz Ve Nem Alıcı Yolluk Paspas Iş Yeri Paspası Iç Ve Dış Mekan Paspası Rampalı Toz Alıcı Paspas</t>
        </is>
      </c>
      <c r="B839" s="24" t="inlineStr">
        <is>
          <t>770010727</t>
        </is>
      </c>
      <c r="C839" s="25" t="inlineStr">
        <is>
          <t>TOZKONTROL-YP2-120x800-GRI</t>
        </is>
      </c>
      <c r="D839" s="26" t="inlineStr">
        <is>
          <t>TOZKONTROL-YP2-120x800-GRI</t>
        </is>
      </c>
      <c r="E839" s="27" t="inlineStr">
        <is>
          <t>120 x 800</t>
        </is>
      </c>
      <c r="F839" s="28" t="inlineStr">
        <is>
          <t>TOZKONTROL-YP1</t>
        </is>
      </c>
      <c r="G839" s="29" t="inlineStr">
        <is>
          <t>Kapı Önü Paspası</t>
        </is>
      </c>
      <c r="H839" s="30" t="inlineStr">
        <is>
          <t>Paspas Yap</t>
        </is>
      </c>
      <c r="I839" s="31" t="n">
        <v>93.0</v>
      </c>
      <c r="J839" s="32" t="n">
        <v>16099.0</v>
      </c>
      <c r="K839" s="33" t="n">
        <v>16099.0</v>
      </c>
      <c r="L839" s="34" t="n">
        <v>22.0</v>
      </c>
      <c r="M839" s="35" t="n">
        <v>11403.47</v>
      </c>
      <c r="N839" s="36" t="inlineStr">
        <is>
          <t>25 Ağustos 08.00-1 Eylül 07.59</t>
        </is>
      </c>
      <c r="O839" s="37" t="n">
        <v>16.6</v>
      </c>
      <c r="P839" s="38" t="n">
        <v>16099.0</v>
      </c>
      <c r="Q839" s="39"/>
      <c r="R839" s="40" t="n">
        <f>=IF(AND(ISBLANK(Q839), ISBLANK(U839)), "", "7 Günlük Fiyat")</f>
        <v>0.0</v>
      </c>
      <c r="S839" s="41" t="n">
        <f>=IF(OR(Q839="", R839=""), "-", IF(ISNUMBER(SEARCH("7 Günlük", R839)), IF(Q839&lt;=M839, O839, "-"), "-"))</f>
        <v>0.0</v>
      </c>
      <c r="T839" s="42" t="str">
        <f>=IF(ISBLANK(Q839), "", "Hayır")</f>
      </c>
      <c r="U839" s="43"/>
      <c r="V839" s="44" t="inlineStr">
        <is>
          <t>50461ed1-c2c8-4393-967e-55d58a3e2664</t>
        </is>
      </c>
    </row>
    <row r="840">
      <c r="A840" s="23" t="inlineStr">
        <is>
          <t>Toz Ve Nem Alıcı Yolluk Paspas Iş Yeri Paspası Iç Ve Dış Mekan Paspası Rampalı Toz Alıcı Paspas</t>
        </is>
      </c>
      <c r="B840" s="24" t="inlineStr">
        <is>
          <t>770010727</t>
        </is>
      </c>
      <c r="C840" s="25" t="inlineStr">
        <is>
          <t>TOZKONTROL-YP1-GRI-80120</t>
        </is>
      </c>
      <c r="D840" s="26" t="inlineStr">
        <is>
          <t>TOZKONTROL-YP1-GRI-80120</t>
        </is>
      </c>
      <c r="E840" s="27" t="inlineStr">
        <is>
          <t>80 x 120</t>
        </is>
      </c>
      <c r="F840" s="28" t="inlineStr">
        <is>
          <t>TOZKONTROL-YP1</t>
        </is>
      </c>
      <c r="G840" s="29" t="inlineStr">
        <is>
          <t>Kapı Önü Paspası</t>
        </is>
      </c>
      <c r="H840" s="30" t="inlineStr">
        <is>
          <t>Paspas Yap</t>
        </is>
      </c>
      <c r="I840" s="31" t="n">
        <v>93.0</v>
      </c>
      <c r="J840" s="32" t="n">
        <v>2128.0</v>
      </c>
      <c r="K840" s="33" t="n">
        <v>1962.12</v>
      </c>
      <c r="L840" s="34" t="n">
        <v>22.0</v>
      </c>
      <c r="M840" s="35" t="n">
        <v>1468.39</v>
      </c>
      <c r="N840" s="36" t="inlineStr">
        <is>
          <t>25 Ağustos 08.00-1 Eylül 07.59</t>
        </is>
      </c>
      <c r="O840" s="37" t="n">
        <v>16.6</v>
      </c>
      <c r="P840" s="38" t="n">
        <v>1962.12</v>
      </c>
      <c r="Q840" s="39"/>
      <c r="R840" s="40" t="n">
        <f>=IF(AND(ISBLANK(Q840), ISBLANK(U840)), "", "7 Günlük Fiyat")</f>
        <v>0.0</v>
      </c>
      <c r="S840" s="41" t="n">
        <f>=IF(OR(Q840="", R840=""), "-", IF(ISNUMBER(SEARCH("7 Günlük", R840)), IF(Q840&lt;=M840, O840, "-"), "-"))</f>
        <v>0.0</v>
      </c>
      <c r="T840" s="42" t="str">
        <f>=IF(ISBLANK(Q840), "", "Hayır")</f>
      </c>
      <c r="U840" s="43"/>
      <c r="V840" s="44" t="inlineStr">
        <is>
          <t>50461ed1-c2c8-4393-967e-55d58a3e2664</t>
        </is>
      </c>
    </row>
    <row r="841">
      <c r="A841" s="23" t="inlineStr">
        <is>
          <t>Toz Ve Nem Alıcı Yolluk Paspas Iş Yeri Paspası Iç Ve Dış Mekan Paspası Rampalı Toz Alıcı Paspas</t>
        </is>
      </c>
      <c r="B841" s="24" t="inlineStr">
        <is>
          <t>770010727</t>
        </is>
      </c>
      <c r="C841" s="25" t="inlineStr">
        <is>
          <t>TOZKONTROL-YP2-120x1300-GRI</t>
        </is>
      </c>
      <c r="D841" s="26" t="inlineStr">
        <is>
          <t>TOZKONTROL-YP2-120x1300-GRI</t>
        </is>
      </c>
      <c r="E841" s="27" t="inlineStr">
        <is>
          <t>120 x 1300</t>
        </is>
      </c>
      <c r="F841" s="28" t="inlineStr">
        <is>
          <t>TOZKONTROL-YP1</t>
        </is>
      </c>
      <c r="G841" s="29" t="inlineStr">
        <is>
          <t>Kapı Önü Paspası</t>
        </is>
      </c>
      <c r="H841" s="30" t="inlineStr">
        <is>
          <t>Paspas Yap</t>
        </is>
      </c>
      <c r="I841" s="31" t="n">
        <v>93.0</v>
      </c>
      <c r="J841" s="32" t="n">
        <v>27622.0</v>
      </c>
      <c r="K841" s="33" t="n">
        <v>27622.0</v>
      </c>
      <c r="L841" s="34" t="n">
        <v>22.0</v>
      </c>
      <c r="M841" s="35" t="n">
        <v>19754.7</v>
      </c>
      <c r="N841" s="36" t="inlineStr">
        <is>
          <t>25 Ağustos 08.00-1 Eylül 07.59</t>
        </is>
      </c>
      <c r="O841" s="37" t="n">
        <v>14.8</v>
      </c>
      <c r="P841" s="38" t="n">
        <v>27622.0</v>
      </c>
      <c r="Q841" s="39"/>
      <c r="R841" s="40" t="n">
        <f>=IF(AND(ISBLANK(Q841), ISBLANK(U841)), "", "7 Günlük Fiyat")</f>
        <v>0.0</v>
      </c>
      <c r="S841" s="41" t="n">
        <f>=IF(OR(Q841="", R841=""), "-", IF(ISNUMBER(SEARCH("7 Günlük", R841)), IF(Q841&lt;=M841, O841, "-"), "-"))</f>
        <v>0.0</v>
      </c>
      <c r="T841" s="42" t="str">
        <f>=IF(ISBLANK(Q841), "", "Hayır")</f>
      </c>
      <c r="U841" s="43"/>
      <c r="V841" s="44" t="inlineStr">
        <is>
          <t>50461ed1-c2c8-4393-967e-55d58a3e2664</t>
        </is>
      </c>
    </row>
    <row r="842">
      <c r="A842" s="23" t="inlineStr">
        <is>
          <t>Toz Ve Nem Alıcı Yolluk Paspas Iş Yeri Paspası Iç Ve Dış Mekan Paspası Rampalı Toz Alıcı Paspas</t>
        </is>
      </c>
      <c r="B842" s="24" t="inlineStr">
        <is>
          <t>770010727</t>
        </is>
      </c>
      <c r="C842" s="25" t="inlineStr">
        <is>
          <t>TOZKONTROL-YP1-GRI-80350</t>
        </is>
      </c>
      <c r="D842" s="26" t="inlineStr">
        <is>
          <t>TOZKONTROL-YP1-GRI-80350</t>
        </is>
      </c>
      <c r="E842" s="27" t="inlineStr">
        <is>
          <t>80 x 350</t>
        </is>
      </c>
      <c r="F842" s="28" t="inlineStr">
        <is>
          <t>TOZKONTROL-YP1</t>
        </is>
      </c>
      <c r="G842" s="29" t="inlineStr">
        <is>
          <t>Kapı Önü Paspası</t>
        </is>
      </c>
      <c r="H842" s="30" t="inlineStr">
        <is>
          <t>Paspas Yap</t>
        </is>
      </c>
      <c r="I842" s="31" t="n">
        <v>93.0</v>
      </c>
      <c r="J842" s="32" t="n">
        <v>5078.0</v>
      </c>
      <c r="K842" s="33" t="n">
        <v>4367.07</v>
      </c>
      <c r="L842" s="34" t="n">
        <v>22.0</v>
      </c>
      <c r="M842" s="35" t="n">
        <v>3208.17</v>
      </c>
      <c r="N842" s="36" t="inlineStr">
        <is>
          <t>25 Ağustos 08.00-1 Eylül 07.59</t>
        </is>
      </c>
      <c r="O842" s="37" t="n">
        <v>15.3</v>
      </c>
      <c r="P842" s="38" t="n">
        <v>4367.07</v>
      </c>
      <c r="Q842" s="39"/>
      <c r="R842" s="40" t="n">
        <f>=IF(AND(ISBLANK(Q842), ISBLANK(U842)), "", "7 Günlük Fiyat")</f>
        <v>0.0</v>
      </c>
      <c r="S842" s="41" t="n">
        <f>=IF(OR(Q842="", R842=""), "-", IF(ISNUMBER(SEARCH("7 Günlük", R842)), IF(Q842&lt;=M842, O842, "-"), "-"))</f>
        <v>0.0</v>
      </c>
      <c r="T842" s="42" t="str">
        <f>=IF(ISBLANK(Q842), "", "Hayır")</f>
      </c>
      <c r="U842" s="43"/>
      <c r="V842" s="44" t="inlineStr">
        <is>
          <t>50461ed1-c2c8-4393-967e-55d58a3e2664</t>
        </is>
      </c>
    </row>
    <row r="843">
      <c r="A843" s="23" t="inlineStr">
        <is>
          <t>Toz Ve Nem Alıcı Yolluk Paspas Iş Yeri Paspası Iç Ve Dış Mekan Paspası Rampalı Toz Alıcı Paspas</t>
        </is>
      </c>
      <c r="B843" s="24" t="inlineStr">
        <is>
          <t>770010727</t>
        </is>
      </c>
      <c r="C843" s="25" t="inlineStr">
        <is>
          <t>TOZKONTROL-YP2-120x1450-GRI</t>
        </is>
      </c>
      <c r="D843" s="26" t="inlineStr">
        <is>
          <t>TOZKONTROL-YP2-120x1450-GRI</t>
        </is>
      </c>
      <c r="E843" s="27" t="inlineStr">
        <is>
          <t>120 x 1450</t>
        </is>
      </c>
      <c r="F843" s="28" t="inlineStr">
        <is>
          <t>TOZKONTROL-YP1</t>
        </is>
      </c>
      <c r="G843" s="29" t="inlineStr">
        <is>
          <t>Kapı Önü Paspası</t>
        </is>
      </c>
      <c r="H843" s="30" t="inlineStr">
        <is>
          <t>Paspas Yap</t>
        </is>
      </c>
      <c r="I843" s="31" t="n">
        <v>93.0</v>
      </c>
      <c r="J843" s="32" t="n">
        <v>30370.0</v>
      </c>
      <c r="K843" s="33" t="n">
        <v>30370.0</v>
      </c>
      <c r="L843" s="34" t="n">
        <v>22.0</v>
      </c>
      <c r="M843" s="35" t="n">
        <v>21720.02</v>
      </c>
      <c r="N843" s="36" t="inlineStr">
        <is>
          <t>25 Ağustos 08.00-1 Eylül 07.59</t>
        </is>
      </c>
      <c r="O843" s="37" t="n">
        <v>14.8</v>
      </c>
      <c r="P843" s="38" t="n">
        <v>30370.0</v>
      </c>
      <c r="Q843" s="39"/>
      <c r="R843" s="40" t="n">
        <f>=IF(AND(ISBLANK(Q843), ISBLANK(U843)), "", "7 Günlük Fiyat")</f>
        <v>0.0</v>
      </c>
      <c r="S843" s="41" t="n">
        <f>=IF(OR(Q843="", R843=""), "-", IF(ISNUMBER(SEARCH("7 Günlük", R843)), IF(Q843&lt;=M843, O843, "-"), "-"))</f>
        <v>0.0</v>
      </c>
      <c r="T843" s="42" t="str">
        <f>=IF(ISBLANK(Q843), "", "Hayır")</f>
      </c>
      <c r="U843" s="43"/>
      <c r="V843" s="44" t="inlineStr">
        <is>
          <t>50461ed1-c2c8-4393-967e-55d58a3e2664</t>
        </is>
      </c>
    </row>
    <row r="844">
      <c r="A844" s="23" t="inlineStr">
        <is>
          <t>Toz Ve Nem Alıcı Yolluk Paspas Iş Yeri Paspası Iç Ve Dış Mekan Paspası Rampalı Toz Alıcı Paspas</t>
        </is>
      </c>
      <c r="B844" s="24" t="inlineStr">
        <is>
          <t>770010727</t>
        </is>
      </c>
      <c r="C844" s="25" t="inlineStr">
        <is>
          <t>TOZKONTROL-YP2-80x1500-GRI</t>
        </is>
      </c>
      <c r="D844" s="26" t="inlineStr">
        <is>
          <t>TOZKONTROL-YP2-80x1500-GRI</t>
        </is>
      </c>
      <c r="E844" s="27" t="inlineStr">
        <is>
          <t>80 x 1500</t>
        </is>
      </c>
      <c r="F844" s="28" t="inlineStr">
        <is>
          <t>TOZKONTROL-YP1</t>
        </is>
      </c>
      <c r="G844" s="29" t="inlineStr">
        <is>
          <t>Kapı Önü Paspası</t>
        </is>
      </c>
      <c r="H844" s="30" t="inlineStr">
        <is>
          <t>Paspas Yap</t>
        </is>
      </c>
      <c r="I844" s="31" t="n">
        <v>93.0</v>
      </c>
      <c r="J844" s="32" t="n">
        <v>22715.0</v>
      </c>
      <c r="K844" s="33" t="n">
        <v>22715.0</v>
      </c>
      <c r="L844" s="34" t="n">
        <v>22.0</v>
      </c>
      <c r="M844" s="35" t="n">
        <v>16245.31</v>
      </c>
      <c r="N844" s="36" t="inlineStr">
        <is>
          <t>25 Ağustos 08.00-1 Eylül 07.59</t>
        </is>
      </c>
      <c r="O844" s="37" t="n">
        <v>14.8</v>
      </c>
      <c r="P844" s="38" t="n">
        <v>22715.0</v>
      </c>
      <c r="Q844" s="39"/>
      <c r="R844" s="40" t="n">
        <f>=IF(AND(ISBLANK(Q844), ISBLANK(U844)), "", "7 Günlük Fiyat")</f>
        <v>0.0</v>
      </c>
      <c r="S844" s="41" t="n">
        <f>=IF(OR(Q844="", R844=""), "-", IF(ISNUMBER(SEARCH("7 Günlük", R844)), IF(Q844&lt;=M844, O844, "-"), "-"))</f>
        <v>0.0</v>
      </c>
      <c r="T844" s="42" t="str">
        <f>=IF(ISBLANK(Q844), "", "Hayır")</f>
      </c>
      <c r="U844" s="43"/>
      <c r="V844" s="44" t="inlineStr">
        <is>
          <t>50461ed1-c2c8-4393-967e-55d58a3e2664</t>
        </is>
      </c>
    </row>
    <row r="845">
      <c r="A845" s="23" t="inlineStr">
        <is>
          <t>Toz Ve Nem Alıcı Yolluk Paspas Iş Yeri Paspası Iç Ve Dış Mekan Paspası Rampalı Toz Alıcı Paspas</t>
        </is>
      </c>
      <c r="B845" s="24" t="inlineStr">
        <is>
          <t>770010727</t>
        </is>
      </c>
      <c r="C845" s="25" t="inlineStr">
        <is>
          <t>TOZKONTROL-YP2-80x900-GRI</t>
        </is>
      </c>
      <c r="D845" s="26" t="inlineStr">
        <is>
          <t>TOZKONTROL-YP2-80x900-GRI</t>
        </is>
      </c>
      <c r="E845" s="27" t="inlineStr">
        <is>
          <t>80 x 900</t>
        </is>
      </c>
      <c r="F845" s="28" t="inlineStr">
        <is>
          <t>TOZKONTROL-YP1</t>
        </is>
      </c>
      <c r="G845" s="29" t="inlineStr">
        <is>
          <t>Kapı Önü Paspası</t>
        </is>
      </c>
      <c r="H845" s="30" t="inlineStr">
        <is>
          <t>Paspas Yap</t>
        </is>
      </c>
      <c r="I845" s="31" t="n">
        <v>93.0</v>
      </c>
      <c r="J845" s="32" t="n">
        <v>12542.0</v>
      </c>
      <c r="K845" s="33" t="n">
        <v>12542.0</v>
      </c>
      <c r="L845" s="34" t="n">
        <v>22.0</v>
      </c>
      <c r="M845" s="35" t="n">
        <v>8969.79</v>
      </c>
      <c r="N845" s="36" t="inlineStr">
        <is>
          <t>25 Ağustos 08.00-1 Eylül 07.59</t>
        </is>
      </c>
      <c r="O845" s="37" t="n">
        <v>14.8</v>
      </c>
      <c r="P845" s="38" t="n">
        <v>12542.0</v>
      </c>
      <c r="Q845" s="39"/>
      <c r="R845" s="40" t="n">
        <f>=IF(AND(ISBLANK(Q845), ISBLANK(U845)), "", "7 Günlük Fiyat")</f>
        <v>0.0</v>
      </c>
      <c r="S845" s="41" t="n">
        <f>=IF(OR(Q845="", R845=""), "-", IF(ISNUMBER(SEARCH("7 Günlük", R845)), IF(Q845&lt;=M845, O845, "-"), "-"))</f>
        <v>0.0</v>
      </c>
      <c r="T845" s="42" t="str">
        <f>=IF(ISBLANK(Q845), "", "Hayır")</f>
      </c>
      <c r="U845" s="43"/>
      <c r="V845" s="44" t="inlineStr">
        <is>
          <t>50461ed1-c2c8-4393-967e-55d58a3e2664</t>
        </is>
      </c>
    </row>
    <row r="846">
      <c r="A846" s="23" t="inlineStr">
        <is>
          <t>Toz Ve Nem Alıcı Yolluk Paspas Iş Yeri Paspası Iç Ve Dış Mekan Paspası Rampalı Toz Alıcı Paspas</t>
        </is>
      </c>
      <c r="B846" s="24" t="inlineStr">
        <is>
          <t>770010727</t>
        </is>
      </c>
      <c r="C846" s="25" t="inlineStr">
        <is>
          <t>TOZKONTROL-YP2-80x1000-GRI</t>
        </is>
      </c>
      <c r="D846" s="26" t="inlineStr">
        <is>
          <t>TOZKONTROL-YP2-80x1000-GRI</t>
        </is>
      </c>
      <c r="E846" s="27" t="inlineStr">
        <is>
          <t>80 x 1000</t>
        </is>
      </c>
      <c r="F846" s="28" t="inlineStr">
        <is>
          <t>TOZKONTROL-YP1</t>
        </is>
      </c>
      <c r="G846" s="29" t="inlineStr">
        <is>
          <t>Kapı Önü Paspası</t>
        </is>
      </c>
      <c r="H846" s="30" t="inlineStr">
        <is>
          <t>Paspas Yap</t>
        </is>
      </c>
      <c r="I846" s="31" t="n">
        <v>93.0</v>
      </c>
      <c r="J846" s="32" t="n">
        <v>13749.0</v>
      </c>
      <c r="K846" s="33" t="n">
        <v>13749.0</v>
      </c>
      <c r="L846" s="34" t="n">
        <v>22.0</v>
      </c>
      <c r="M846" s="35" t="n">
        <v>9738.54</v>
      </c>
      <c r="N846" s="36" t="inlineStr">
        <is>
          <t>25 Ağustos 08.00-1 Eylül 07.59</t>
        </is>
      </c>
      <c r="O846" s="37" t="n">
        <v>16.6</v>
      </c>
      <c r="P846" s="38" t="n">
        <v>13749.0</v>
      </c>
      <c r="Q846" s="39"/>
      <c r="R846" s="40" t="n">
        <f>=IF(AND(ISBLANK(Q846), ISBLANK(U846)), "", "7 Günlük Fiyat")</f>
        <v>0.0</v>
      </c>
      <c r="S846" s="41" t="n">
        <f>=IF(OR(Q846="", R846=""), "-", IF(ISNUMBER(SEARCH("7 Günlük", R846)), IF(Q846&lt;=M846, O846, "-"), "-"))</f>
        <v>0.0</v>
      </c>
      <c r="T846" s="42" t="str">
        <f>=IF(ISBLANK(Q846), "", "Hayır")</f>
      </c>
      <c r="U846" s="43"/>
      <c r="V846" s="44" t="inlineStr">
        <is>
          <t>50461ed1-c2c8-4393-967e-55d58a3e2664</t>
        </is>
      </c>
    </row>
    <row r="847">
      <c r="A847" s="23" t="inlineStr">
        <is>
          <t>Toz Ve Nem Alıcı Yolluk Paspas Iş Yeri Paspası Iç Ve Dış Mekan Paspası Rampalı Toz Alıcı Paspas</t>
        </is>
      </c>
      <c r="B847" s="24" t="inlineStr">
        <is>
          <t>770010727</t>
        </is>
      </c>
      <c r="C847" s="25" t="inlineStr">
        <is>
          <t>TOZKONTROL-YP1-GRI-100600</t>
        </is>
      </c>
      <c r="D847" s="26" t="inlineStr">
        <is>
          <t>TOZKONTROL-YP1-GRI-100600</t>
        </is>
      </c>
      <c r="E847" s="27" t="inlineStr">
        <is>
          <t>100 x 600</t>
        </is>
      </c>
      <c r="F847" s="28" t="inlineStr">
        <is>
          <t>TOZKONTROL-YP1</t>
        </is>
      </c>
      <c r="G847" s="29" t="inlineStr">
        <is>
          <t>Kapı Önü Paspası</t>
        </is>
      </c>
      <c r="H847" s="30" t="inlineStr">
        <is>
          <t>Paspas Yap</t>
        </is>
      </c>
      <c r="I847" s="31" t="n">
        <v>93.0</v>
      </c>
      <c r="J847" s="32" t="n">
        <v>10655.0</v>
      </c>
      <c r="K847" s="33" t="n">
        <v>9454.59</v>
      </c>
      <c r="L847" s="34" t="n">
        <v>22.0</v>
      </c>
      <c r="M847" s="35" t="n">
        <v>6709.63</v>
      </c>
      <c r="N847" s="36" t="inlineStr">
        <is>
          <t>25 Ağustos 08.00-1 Eylül 07.59</t>
        </is>
      </c>
      <c r="O847" s="37" t="n">
        <v>15.2</v>
      </c>
      <c r="P847" s="38" t="n">
        <v>9454.59</v>
      </c>
      <c r="Q847" s="39"/>
      <c r="R847" s="40" t="n">
        <f>=IF(AND(ISBLANK(Q847), ISBLANK(U847)), "", "7 Günlük Fiyat")</f>
        <v>0.0</v>
      </c>
      <c r="S847" s="41" t="n">
        <f>=IF(OR(Q847="", R847=""), "-", IF(ISNUMBER(SEARCH("7 Günlük", R847)), IF(Q847&lt;=M847, O847, "-"), "-"))</f>
        <v>0.0</v>
      </c>
      <c r="T847" s="42" t="str">
        <f>=IF(ISBLANK(Q847), "", "Hayır")</f>
      </c>
      <c r="U847" s="43"/>
      <c r="V847" s="44" t="inlineStr">
        <is>
          <t>50461ed1-c2c8-4393-967e-55d58a3e2664</t>
        </is>
      </c>
    </row>
    <row r="848">
      <c r="A848" s="23" t="inlineStr">
        <is>
          <t>Toz Ve Nem Alıcı Yolluk Paspas Iş Yeri Paspası Iç Ve Dış Mekan Paspası Rampalı Toz Alıcı Paspas</t>
        </is>
      </c>
      <c r="B848" s="24" t="inlineStr">
        <is>
          <t>770010727</t>
        </is>
      </c>
      <c r="C848" s="25" t="inlineStr">
        <is>
          <t>TOZKONTROL-YP2-80x800-GRI</t>
        </is>
      </c>
      <c r="D848" s="26" t="inlineStr">
        <is>
          <t>TOZKONTROL-YP2-80x800-GRI</t>
        </is>
      </c>
      <c r="E848" s="27" t="inlineStr">
        <is>
          <t>80 x 800</t>
        </is>
      </c>
      <c r="F848" s="28" t="inlineStr">
        <is>
          <t>TOZKONTROL-YP1</t>
        </is>
      </c>
      <c r="G848" s="29" t="inlineStr">
        <is>
          <t>Kapı Önü Paspası</t>
        </is>
      </c>
      <c r="H848" s="30" t="inlineStr">
        <is>
          <t>Paspas Yap</t>
        </is>
      </c>
      <c r="I848" s="31" t="n">
        <v>93.0</v>
      </c>
      <c r="J848" s="32" t="n">
        <v>11335.0</v>
      </c>
      <c r="K848" s="33" t="n">
        <v>10201.1</v>
      </c>
      <c r="L848" s="34" t="n">
        <v>22.0</v>
      </c>
      <c r="M848" s="35" t="n">
        <v>7144.69</v>
      </c>
      <c r="N848" s="36" t="inlineStr">
        <is>
          <t>25 Ağustos 08.00-1 Eylül 07.59</t>
        </is>
      </c>
      <c r="O848" s="37" t="n">
        <v>14.9</v>
      </c>
      <c r="P848" s="38" t="n">
        <v>10201.1</v>
      </c>
      <c r="Q848" s="39"/>
      <c r="R848" s="40" t="n">
        <f>=IF(AND(ISBLANK(Q848), ISBLANK(U848)), "", "7 Günlük Fiyat")</f>
        <v>0.0</v>
      </c>
      <c r="S848" s="41" t="n">
        <f>=IF(OR(Q848="", R848=""), "-", IF(ISNUMBER(SEARCH("7 Günlük", R848)), IF(Q848&lt;=M848, O848, "-"), "-"))</f>
        <v>0.0</v>
      </c>
      <c r="T848" s="42" t="str">
        <f>=IF(ISBLANK(Q848), "", "Hayır")</f>
      </c>
      <c r="U848" s="43"/>
      <c r="V848" s="44" t="inlineStr">
        <is>
          <t>50461ed1-c2c8-4393-967e-55d58a3e2664</t>
        </is>
      </c>
    </row>
    <row r="849">
      <c r="A849" s="23" t="inlineStr">
        <is>
          <t>Toz Ve Nem Alıcı Yolluk Paspas Iş Yeri Paspası Iç Ve Dış Mekan Paspası Rampalı Toz Alıcı Paspas</t>
        </is>
      </c>
      <c r="B849" s="24" t="inlineStr">
        <is>
          <t>770010727</t>
        </is>
      </c>
      <c r="C849" s="25" t="inlineStr">
        <is>
          <t>TOZKONTROL-YP2-100x1100-GRI</t>
        </is>
      </c>
      <c r="D849" s="26" t="inlineStr">
        <is>
          <t>TOZKONTROL-YP2-100x1100-GRI</t>
        </is>
      </c>
      <c r="E849" s="27" t="inlineStr">
        <is>
          <t>100 x 1100</t>
        </is>
      </c>
      <c r="F849" s="28" t="inlineStr">
        <is>
          <t>TOZKONTROL-YP1</t>
        </is>
      </c>
      <c r="G849" s="29" t="inlineStr">
        <is>
          <t>Kapı Önü Paspası</t>
        </is>
      </c>
      <c r="H849" s="30" t="inlineStr">
        <is>
          <t>Paspas Yap</t>
        </is>
      </c>
      <c r="I849" s="31" t="n">
        <v>93.0</v>
      </c>
      <c r="J849" s="32" t="n">
        <v>20962.0</v>
      </c>
      <c r="K849" s="33" t="n">
        <v>20962.0</v>
      </c>
      <c r="L849" s="34" t="n">
        <v>22.0</v>
      </c>
      <c r="M849" s="35" t="n">
        <v>14991.6</v>
      </c>
      <c r="N849" s="36" t="inlineStr">
        <is>
          <t>25 Ağustos 08.00-1 Eylül 07.59</t>
        </is>
      </c>
      <c r="O849" s="37" t="n">
        <v>14.8</v>
      </c>
      <c r="P849" s="38" t="n">
        <v>20962.0</v>
      </c>
      <c r="Q849" s="39"/>
      <c r="R849" s="40" t="n">
        <f>=IF(AND(ISBLANK(Q849), ISBLANK(U849)), "", "7 Günlük Fiyat")</f>
        <v>0.0</v>
      </c>
      <c r="S849" s="41" t="n">
        <f>=IF(OR(Q849="", R849=""), "-", IF(ISNUMBER(SEARCH("7 Günlük", R849)), IF(Q849&lt;=M849, O849, "-"), "-"))</f>
        <v>0.0</v>
      </c>
      <c r="T849" s="42" t="str">
        <f>=IF(ISBLANK(Q849), "", "Hayır")</f>
      </c>
      <c r="U849" s="43"/>
      <c r="V849" s="44" t="inlineStr">
        <is>
          <t>50461ed1-c2c8-4393-967e-55d58a3e2664</t>
        </is>
      </c>
    </row>
    <row r="850">
      <c r="A850" s="23" t="inlineStr">
        <is>
          <t>Toz Ve Nem Alıcı Yolluk Paspas Iş Yeri Paspası Iç Ve Dış Mekan Paspası Rampalı Toz Alıcı Paspas</t>
        </is>
      </c>
      <c r="B850" s="24" t="inlineStr">
        <is>
          <t>770010727</t>
        </is>
      </c>
      <c r="C850" s="25" t="inlineStr">
        <is>
          <t>TOZKONTROL-YP2-80x1100-GRI</t>
        </is>
      </c>
      <c r="D850" s="26" t="inlineStr">
        <is>
          <t>TOZKONTROL-YP2-80x1100-GRI</t>
        </is>
      </c>
      <c r="E850" s="27" t="inlineStr">
        <is>
          <t>80 x 1100</t>
        </is>
      </c>
      <c r="F850" s="28" t="inlineStr">
        <is>
          <t>TOZKONTROL-YP1</t>
        </is>
      </c>
      <c r="G850" s="29" t="inlineStr">
        <is>
          <t>Kapı Önü Paspası</t>
        </is>
      </c>
      <c r="H850" s="30" t="inlineStr">
        <is>
          <t>Paspas Yap</t>
        </is>
      </c>
      <c r="I850" s="31" t="n">
        <v>93.0</v>
      </c>
      <c r="J850" s="32" t="n">
        <v>14955.0</v>
      </c>
      <c r="K850" s="33" t="n">
        <v>14955.0</v>
      </c>
      <c r="L850" s="34" t="n">
        <v>22.0</v>
      </c>
      <c r="M850" s="35" t="n">
        <v>10593.42</v>
      </c>
      <c r="N850" s="36" t="inlineStr">
        <is>
          <t>25 Ağustos 08.00-1 Eylül 07.59</t>
        </is>
      </c>
      <c r="O850" s="37" t="n">
        <v>16.6</v>
      </c>
      <c r="P850" s="38" t="n">
        <v>14955.0</v>
      </c>
      <c r="Q850" s="39"/>
      <c r="R850" s="40" t="n">
        <f>=IF(AND(ISBLANK(Q850), ISBLANK(U850)), "", "7 Günlük Fiyat")</f>
        <v>0.0</v>
      </c>
      <c r="S850" s="41" t="n">
        <f>=IF(OR(Q850="", R850=""), "-", IF(ISNUMBER(SEARCH("7 Günlük", R850)), IF(Q850&lt;=M850, O850, "-"), "-"))</f>
        <v>0.0</v>
      </c>
      <c r="T850" s="42" t="str">
        <f>=IF(ISBLANK(Q850), "", "Hayır")</f>
      </c>
      <c r="U850" s="43"/>
      <c r="V850" s="44" t="inlineStr">
        <is>
          <t>50461ed1-c2c8-4393-967e-55d58a3e2664</t>
        </is>
      </c>
    </row>
    <row r="851">
      <c r="A851" s="23" t="inlineStr">
        <is>
          <t>Toz Ve Nem Alıcı Yolluk Paspas Iş Yeri Paspası Iç Ve Dış Mekan Paspası Rampalı Toz Alıcı Paspas</t>
        </is>
      </c>
      <c r="B851" s="24" t="inlineStr">
        <is>
          <t>770010727</t>
        </is>
      </c>
      <c r="C851" s="25" t="inlineStr">
        <is>
          <t>TOZKONTROL-YP2-80x400-GRI</t>
        </is>
      </c>
      <c r="D851" s="26" t="inlineStr">
        <is>
          <t>TOZKONTROL-YP2-80x400-GRI</t>
        </is>
      </c>
      <c r="E851" s="27" t="inlineStr">
        <is>
          <t>80 x 400</t>
        </is>
      </c>
      <c r="F851" s="28" t="inlineStr">
        <is>
          <t>TOZKONTROL-YP1</t>
        </is>
      </c>
      <c r="G851" s="29" t="inlineStr">
        <is>
          <t>Kapı Önü Paspası</t>
        </is>
      </c>
      <c r="H851" s="30" t="inlineStr">
        <is>
          <t>Paspas Yap</t>
        </is>
      </c>
      <c r="I851" s="31" t="n">
        <v>93.0</v>
      </c>
      <c r="J851" s="32" t="n">
        <v>5963.0</v>
      </c>
      <c r="K851" s="33" t="n">
        <v>5493.44</v>
      </c>
      <c r="L851" s="34" t="n">
        <v>22.0</v>
      </c>
      <c r="M851" s="35" t="n">
        <v>3866.78</v>
      </c>
      <c r="N851" s="36" t="inlineStr">
        <is>
          <t>25 Ağustos 08.00-1 Eylül 07.59</t>
        </is>
      </c>
      <c r="O851" s="37" t="n">
        <v>15.3</v>
      </c>
      <c r="P851" s="38" t="n">
        <v>5493.44</v>
      </c>
      <c r="Q851" s="39"/>
      <c r="R851" s="40" t="n">
        <f>=IF(AND(ISBLANK(Q851), ISBLANK(U851)), "", "7 Günlük Fiyat")</f>
        <v>0.0</v>
      </c>
      <c r="S851" s="41" t="n">
        <f>=IF(OR(Q851="", R851=""), "-", IF(ISNUMBER(SEARCH("7 Günlük", R851)), IF(Q851&lt;=M851, O851, "-"), "-"))</f>
        <v>0.0</v>
      </c>
      <c r="T851" s="42" t="str">
        <f>=IF(ISBLANK(Q851), "", "Hayır")</f>
      </c>
      <c r="U851" s="43"/>
      <c r="V851" s="44" t="inlineStr">
        <is>
          <t>50461ed1-c2c8-4393-967e-55d58a3e2664</t>
        </is>
      </c>
    </row>
    <row r="852">
      <c r="A852" s="23" t="inlineStr">
        <is>
          <t>Toz Ve Nem Alıcı Yolluk Paspas Iş Yeri Paspası Iç Ve Dış Mekan Paspası Rampalı Toz Alıcı Paspas</t>
        </is>
      </c>
      <c r="B852" s="24" t="inlineStr">
        <is>
          <t>770010727</t>
        </is>
      </c>
      <c r="C852" s="25" t="inlineStr">
        <is>
          <t>TOZKONTROL-YP1-GRI-100300</t>
        </is>
      </c>
      <c r="D852" s="26" t="inlineStr">
        <is>
          <t>TOZKONTROL-YP1-GRI-100300</t>
        </is>
      </c>
      <c r="E852" s="27" t="inlineStr">
        <is>
          <t>100 x 300</t>
        </is>
      </c>
      <c r="F852" s="28" t="inlineStr">
        <is>
          <t>TOZKONTROL-YP1</t>
        </is>
      </c>
      <c r="G852" s="29" t="inlineStr">
        <is>
          <t>Kapı Önü Paspası</t>
        </is>
      </c>
      <c r="H852" s="30" t="inlineStr">
        <is>
          <t>Paspas Yap</t>
        </is>
      </c>
      <c r="I852" s="31" t="n">
        <v>92.0</v>
      </c>
      <c r="J852" s="32" t="n">
        <v>5278.0</v>
      </c>
      <c r="K852" s="33" t="n">
        <v>4831.68</v>
      </c>
      <c r="L852" s="34" t="n">
        <v>22.0</v>
      </c>
      <c r="M852" s="35" t="n">
        <v>3486.72</v>
      </c>
      <c r="N852" s="36" t="inlineStr">
        <is>
          <t>25 Ağustos 08.00-1 Eylül 07.59</t>
        </is>
      </c>
      <c r="O852" s="37" t="n">
        <v>15.4</v>
      </c>
      <c r="P852" s="38" t="n">
        <v>4831.68</v>
      </c>
      <c r="Q852" s="39"/>
      <c r="R852" s="40" t="n">
        <f>=IF(AND(ISBLANK(Q852), ISBLANK(U852)), "", "7 Günlük Fiyat")</f>
        <v>0.0</v>
      </c>
      <c r="S852" s="41" t="n">
        <f>=IF(OR(Q852="", R852=""), "-", IF(ISNUMBER(SEARCH("7 Günlük", R852)), IF(Q852&lt;=M852, O852, "-"), "-"))</f>
        <v>0.0</v>
      </c>
      <c r="T852" s="42" t="str">
        <f>=IF(ISBLANK(Q852), "", "Hayır")</f>
      </c>
      <c r="U852" s="43"/>
      <c r="V852" s="44" t="inlineStr">
        <is>
          <t>50461ed1-c2c8-4393-967e-55d58a3e2664</t>
        </is>
      </c>
    </row>
    <row r="853">
      <c r="A853" s="23" t="inlineStr">
        <is>
          <t>Toz Ve Nem Alıcı Yolluk Paspas Iş Yeri Paspası Iç Ve Dış Mekan Paspası Rampalı Toz Alıcı Paspas</t>
        </is>
      </c>
      <c r="B853" s="24" t="inlineStr">
        <is>
          <t>770010727</t>
        </is>
      </c>
      <c r="C853" s="25" t="inlineStr">
        <is>
          <t>TOZKONTROL-YP2-100x1350-GRI</t>
        </is>
      </c>
      <c r="D853" s="26" t="inlineStr">
        <is>
          <t>TOZKONTROL-YP2-100x1350-GRI</t>
        </is>
      </c>
      <c r="E853" s="27" t="inlineStr">
        <is>
          <t>100 x 1350</t>
        </is>
      </c>
      <c r="F853" s="28" t="inlineStr">
        <is>
          <t>TOZKONTROL-YP1</t>
        </is>
      </c>
      <c r="G853" s="29" t="inlineStr">
        <is>
          <t>Kapı Önü Paspası</t>
        </is>
      </c>
      <c r="H853" s="30" t="inlineStr">
        <is>
          <t>Paspas Yap</t>
        </is>
      </c>
      <c r="I853" s="31" t="n">
        <v>93.0</v>
      </c>
      <c r="J853" s="32" t="n">
        <v>24752.0</v>
      </c>
      <c r="K853" s="33" t="n">
        <v>24752.0</v>
      </c>
      <c r="L853" s="34" t="n">
        <v>22.0</v>
      </c>
      <c r="M853" s="35" t="n">
        <v>17702.14</v>
      </c>
      <c r="N853" s="36" t="inlineStr">
        <is>
          <t>25 Ağustos 08.00-1 Eylül 07.59</t>
        </is>
      </c>
      <c r="O853" s="37" t="n">
        <v>14.8</v>
      </c>
      <c r="P853" s="38" t="n">
        <v>24752.0</v>
      </c>
      <c r="Q853" s="39"/>
      <c r="R853" s="40" t="n">
        <f>=IF(AND(ISBLANK(Q853), ISBLANK(U853)), "", "7 Günlük Fiyat")</f>
        <v>0.0</v>
      </c>
      <c r="S853" s="41" t="n">
        <f>=IF(OR(Q853="", R853=""), "-", IF(ISNUMBER(SEARCH("7 Günlük", R853)), IF(Q853&lt;=M853, O853, "-"), "-"))</f>
        <v>0.0</v>
      </c>
      <c r="T853" s="42" t="str">
        <f>=IF(ISBLANK(Q853), "", "Hayır")</f>
      </c>
      <c r="U853" s="43"/>
      <c r="V853" s="44" t="inlineStr">
        <is>
          <t>50461ed1-c2c8-4393-967e-55d58a3e2664</t>
        </is>
      </c>
    </row>
    <row r="854">
      <c r="A854" s="23" t="inlineStr">
        <is>
          <t>Toz Ve Nem Alıcı Yolluk Paspas Iş Yeri Paspası Iç Ve Dış Mekan Paspası Rampalı Toz Alıcı Paspas</t>
        </is>
      </c>
      <c r="B854" s="24" t="inlineStr">
        <is>
          <t>770010727</t>
        </is>
      </c>
      <c r="C854" s="25" t="inlineStr">
        <is>
          <t>TOZKONTROL-YP2-120x1200-GRI</t>
        </is>
      </c>
      <c r="D854" s="26" t="inlineStr">
        <is>
          <t>TOZKONTROL-YP2-120x1200-GRI</t>
        </is>
      </c>
      <c r="E854" s="27" t="inlineStr">
        <is>
          <t>120 x 1200</t>
        </is>
      </c>
      <c r="F854" s="28" t="inlineStr">
        <is>
          <t>TOZKONTROL-YP1</t>
        </is>
      </c>
      <c r="G854" s="29" t="inlineStr">
        <is>
          <t>Kapı Önü Paspası</t>
        </is>
      </c>
      <c r="H854" s="30" t="inlineStr">
        <is>
          <t>Paspas Yap</t>
        </is>
      </c>
      <c r="I854" s="31" t="n">
        <v>93.0</v>
      </c>
      <c r="J854" s="32" t="n">
        <v>25926.0</v>
      </c>
      <c r="K854" s="33" t="n">
        <v>25926.0</v>
      </c>
      <c r="L854" s="34" t="n">
        <v>22.0</v>
      </c>
      <c r="M854" s="35" t="n">
        <v>18541.76</v>
      </c>
      <c r="N854" s="36" t="inlineStr">
        <is>
          <t>25 Ağustos 08.00-1 Eylül 07.59</t>
        </is>
      </c>
      <c r="O854" s="37" t="n">
        <v>14.8</v>
      </c>
      <c r="P854" s="38" t="n">
        <v>25926.0</v>
      </c>
      <c r="Q854" s="39"/>
      <c r="R854" s="40" t="n">
        <f>=IF(AND(ISBLANK(Q854), ISBLANK(U854)), "", "7 Günlük Fiyat")</f>
        <v>0.0</v>
      </c>
      <c r="S854" s="41" t="n">
        <f>=IF(OR(Q854="", R854=""), "-", IF(ISNUMBER(SEARCH("7 Günlük", R854)), IF(Q854&lt;=M854, O854, "-"), "-"))</f>
        <v>0.0</v>
      </c>
      <c r="T854" s="42" t="str">
        <f>=IF(ISBLANK(Q854), "", "Hayır")</f>
      </c>
      <c r="U854" s="43"/>
      <c r="V854" s="44" t="inlineStr">
        <is>
          <t>50461ed1-c2c8-4393-967e-55d58a3e2664</t>
        </is>
      </c>
    </row>
    <row r="855">
      <c r="A855" s="23" t="inlineStr">
        <is>
          <t>Toz Ve Nem Alıcı Yolluk Paspas Iş Yeri Paspası Iç Ve Dış Mekan Paspası Rampalı Toz Alıcı Paspas</t>
        </is>
      </c>
      <c r="B855" s="24" t="inlineStr">
        <is>
          <t>770010727</t>
        </is>
      </c>
      <c r="C855" s="25" t="inlineStr">
        <is>
          <t>TOZKONTROL-YP2-120x1100-GRI</t>
        </is>
      </c>
      <c r="D855" s="26" t="inlineStr">
        <is>
          <t>TOZKONTROL-YP2-120x1100-GRI</t>
        </is>
      </c>
      <c r="E855" s="27" t="inlineStr">
        <is>
          <t>120 x 1100</t>
        </is>
      </c>
      <c r="F855" s="28" t="inlineStr">
        <is>
          <t>TOZKONTROL-YP1</t>
        </is>
      </c>
      <c r="G855" s="29" t="inlineStr">
        <is>
          <t>Kapı Önü Paspası</t>
        </is>
      </c>
      <c r="H855" s="30" t="inlineStr">
        <is>
          <t>Paspas Yap</t>
        </is>
      </c>
      <c r="I855" s="31" t="n">
        <v>93.0</v>
      </c>
      <c r="J855" s="32" t="n">
        <v>24129.0</v>
      </c>
      <c r="K855" s="33" t="n">
        <v>24129.0</v>
      </c>
      <c r="L855" s="34" t="n">
        <v>22.0</v>
      </c>
      <c r="M855" s="35" t="n">
        <v>17256.58</v>
      </c>
      <c r="N855" s="36" t="inlineStr">
        <is>
          <t>25 Ağustos 08.00-1 Eylül 07.59</t>
        </is>
      </c>
      <c r="O855" s="37" t="n">
        <v>14.8</v>
      </c>
      <c r="P855" s="38" t="n">
        <v>24129.0</v>
      </c>
      <c r="Q855" s="39"/>
      <c r="R855" s="40" t="n">
        <f>=IF(AND(ISBLANK(Q855), ISBLANK(U855)), "", "7 Günlük Fiyat")</f>
        <v>0.0</v>
      </c>
      <c r="S855" s="41" t="n">
        <f>=IF(OR(Q855="", R855=""), "-", IF(ISNUMBER(SEARCH("7 Günlük", R855)), IF(Q855&lt;=M855, O855, "-"), "-"))</f>
        <v>0.0</v>
      </c>
      <c r="T855" s="42" t="str">
        <f>=IF(ISBLANK(Q855), "", "Hayır")</f>
      </c>
      <c r="U855" s="43"/>
      <c r="V855" s="44" t="inlineStr">
        <is>
          <t>50461ed1-c2c8-4393-967e-55d58a3e2664</t>
        </is>
      </c>
    </row>
    <row r="856">
      <c r="A856" s="23" t="inlineStr">
        <is>
          <t>Toz Ve Nem Alıcı Yolluk Paspas Iş Yeri Paspası Iç Ve Dış Mekan Paspası Rampalı Toz Alıcı Paspas</t>
        </is>
      </c>
      <c r="B856" s="24" t="inlineStr">
        <is>
          <t>770010727</t>
        </is>
      </c>
      <c r="C856" s="25" t="inlineStr">
        <is>
          <t>TOZKONTROL-YP2-80x100-GRI</t>
        </is>
      </c>
      <c r="D856" s="26" t="inlineStr">
        <is>
          <t>TOZKONTROL-YP2-80x100-GRI</t>
        </is>
      </c>
      <c r="E856" s="27" t="inlineStr">
        <is>
          <t>80 x 100</t>
        </is>
      </c>
      <c r="F856" s="28" t="inlineStr">
        <is>
          <t>TOZKONTROL-YP1</t>
        </is>
      </c>
      <c r="G856" s="29" t="inlineStr">
        <is>
          <t>Kapı Önü Paspası</t>
        </is>
      </c>
      <c r="H856" s="30" t="inlineStr">
        <is>
          <t>Paspas Yap</t>
        </is>
      </c>
      <c r="I856" s="31" t="n">
        <v>93.0</v>
      </c>
      <c r="J856" s="32" t="n">
        <v>1877.0</v>
      </c>
      <c r="K856" s="33" t="n">
        <v>1616.45</v>
      </c>
      <c r="L856" s="34" t="n">
        <v>22.0</v>
      </c>
      <c r="M856" s="35" t="n">
        <v>1255.32</v>
      </c>
      <c r="N856" s="36" t="inlineStr">
        <is>
          <t>25 Ağustos 08.00-1 Eylül 07.59</t>
        </is>
      </c>
      <c r="O856" s="37" t="n">
        <v>16.2</v>
      </c>
      <c r="P856" s="38" t="n">
        <v>1616.45</v>
      </c>
      <c r="Q856" s="39"/>
      <c r="R856" s="40" t="n">
        <f>=IF(AND(ISBLANK(Q856), ISBLANK(U856)), "", "7 Günlük Fiyat")</f>
        <v>0.0</v>
      </c>
      <c r="S856" s="41" t="n">
        <f>=IF(OR(Q856="", R856=""), "-", IF(ISNUMBER(SEARCH("7 Günlük", R856)), IF(Q856&lt;=M856, O856, "-"), "-"))</f>
        <v>0.0</v>
      </c>
      <c r="T856" s="42" t="str">
        <f>=IF(ISBLANK(Q856), "", "Hayır")</f>
      </c>
      <c r="U856" s="43"/>
      <c r="V856" s="44" t="inlineStr">
        <is>
          <t>50461ed1-c2c8-4393-967e-55d58a3e2664</t>
        </is>
      </c>
    </row>
    <row r="857">
      <c r="A857" s="23" t="inlineStr">
        <is>
          <t>Toz Ve Nem Alıcı Yolluk Paspas Iş Yeri Paspası Iç Ve Dış Mekan Paspası Rampalı Toz Alıcı Paspas</t>
        </is>
      </c>
      <c r="B857" s="24" t="inlineStr">
        <is>
          <t>770010727</t>
        </is>
      </c>
      <c r="C857" s="25" t="inlineStr">
        <is>
          <t>TOZKONTROL-YP2-100x800-GRI</t>
        </is>
      </c>
      <c r="D857" s="26" t="inlineStr">
        <is>
          <t>TOZKONTROL-YP2-100x800-GRI</t>
        </is>
      </c>
      <c r="E857" s="27" t="inlineStr">
        <is>
          <t>100 x 800</t>
        </is>
      </c>
      <c r="F857" s="28" t="inlineStr">
        <is>
          <t>TOZKONTROL-YP1</t>
        </is>
      </c>
      <c r="G857" s="29" t="inlineStr">
        <is>
          <t>Kapı Önü Paspası</t>
        </is>
      </c>
      <c r="H857" s="30" t="inlineStr">
        <is>
          <t>Paspas Yap</t>
        </is>
      </c>
      <c r="I857" s="31" t="n">
        <v>93.0</v>
      </c>
      <c r="J857" s="32" t="n">
        <v>13749.0</v>
      </c>
      <c r="K857" s="33" t="n">
        <v>13749.0</v>
      </c>
      <c r="L857" s="34" t="n">
        <v>22.0</v>
      </c>
      <c r="M857" s="35" t="n">
        <v>9542.79</v>
      </c>
      <c r="N857" s="36" t="inlineStr">
        <is>
          <t>25 Ağustos 08.00-1 Eylül 07.59</t>
        </is>
      </c>
      <c r="O857" s="37" t="n">
        <v>16.2</v>
      </c>
      <c r="P857" s="38" t="n">
        <v>13749.0</v>
      </c>
      <c r="Q857" s="39"/>
      <c r="R857" s="40" t="n">
        <f>=IF(AND(ISBLANK(Q857), ISBLANK(U857)), "", "7 Günlük Fiyat")</f>
        <v>0.0</v>
      </c>
      <c r="S857" s="41" t="n">
        <f>=IF(OR(Q857="", R857=""), "-", IF(ISNUMBER(SEARCH("7 Günlük", R857)), IF(Q857&lt;=M857, O857, "-"), "-"))</f>
        <v>0.0</v>
      </c>
      <c r="T857" s="42" t="str">
        <f>=IF(ISBLANK(Q857), "", "Hayır")</f>
      </c>
      <c r="U857" s="43"/>
      <c r="V857" s="44" t="inlineStr">
        <is>
          <t>50461ed1-c2c8-4393-967e-55d58a3e2664</t>
        </is>
      </c>
    </row>
    <row r="858">
      <c r="A858" s="23" t="inlineStr">
        <is>
          <t>Toz Ve Nem Alıcı Yolluk Paspas Iş Yeri Paspası Iç Ve Dış Mekan Paspası Rampalı Toz Alıcı Paspas</t>
        </is>
      </c>
      <c r="B858" s="24" t="inlineStr">
        <is>
          <t>770010727</t>
        </is>
      </c>
      <c r="C858" s="25" t="inlineStr">
        <is>
          <t>TOZKONTROL-YP2-80x250-GRI</t>
        </is>
      </c>
      <c r="D858" s="26" t="inlineStr">
        <is>
          <t>TOZKONTROL-YP2-80x250-GRI</t>
        </is>
      </c>
      <c r="E858" s="27" t="inlineStr">
        <is>
          <t>80 x 250</t>
        </is>
      </c>
      <c r="F858" s="28" t="inlineStr">
        <is>
          <t>TOZKONTROL-YP1</t>
        </is>
      </c>
      <c r="G858" s="29" t="inlineStr">
        <is>
          <t>Kapı Önü Paspası</t>
        </is>
      </c>
      <c r="H858" s="30" t="inlineStr">
        <is>
          <t>Paspas Yap</t>
        </is>
      </c>
      <c r="I858" s="31" t="n">
        <v>93.0</v>
      </c>
      <c r="J858" s="32" t="n">
        <v>3729.0</v>
      </c>
      <c r="K858" s="33" t="n">
        <v>3253.84</v>
      </c>
      <c r="L858" s="34" t="n">
        <v>22.0</v>
      </c>
      <c r="M858" s="35" t="n">
        <v>2377.68</v>
      </c>
      <c r="N858" s="36" t="inlineStr">
        <is>
          <t>25 Ağustos 08.00-1 Eylül 07.59</t>
        </is>
      </c>
      <c r="O858" s="37" t="n">
        <v>15.0</v>
      </c>
      <c r="P858" s="38" t="n">
        <v>3253.84</v>
      </c>
      <c r="Q858" s="39"/>
      <c r="R858" s="40" t="n">
        <f>=IF(AND(ISBLANK(Q858), ISBLANK(U858)), "", "7 Günlük Fiyat")</f>
        <v>0.0</v>
      </c>
      <c r="S858" s="41" t="n">
        <f>=IF(OR(Q858="", R858=""), "-", IF(ISNUMBER(SEARCH("7 Günlük", R858)), IF(Q858&lt;=M858, O858, "-"), "-"))</f>
        <v>0.0</v>
      </c>
      <c r="T858" s="42" t="str">
        <f>=IF(ISBLANK(Q858), "", "Hayır")</f>
      </c>
      <c r="U858" s="43"/>
      <c r="V858" s="44" t="inlineStr">
        <is>
          <t>50461ed1-c2c8-4393-967e-55d58a3e2664</t>
        </is>
      </c>
    </row>
    <row r="859">
      <c r="A859" s="23" t="inlineStr">
        <is>
          <t>Toz Ve Nem Alıcı Yolluk Paspas Iş Yeri Paspası Iç Ve Dış Mekan Paspası Rampalı Toz Alıcı Paspas</t>
        </is>
      </c>
      <c r="B859" s="24" t="inlineStr">
        <is>
          <t>770010727</t>
        </is>
      </c>
      <c r="C859" s="25" t="inlineStr">
        <is>
          <t>TOZKONTROL-YP2-120x1350-GRI</t>
        </is>
      </c>
      <c r="D859" s="26" t="inlineStr">
        <is>
          <t>TOZKONTROL-YP2-120x1350-GRI</t>
        </is>
      </c>
      <c r="E859" s="27" t="inlineStr">
        <is>
          <t>120 x 1350</t>
        </is>
      </c>
      <c r="F859" s="28" t="inlineStr">
        <is>
          <t>TOZKONTROL-YP1</t>
        </is>
      </c>
      <c r="G859" s="29" t="inlineStr">
        <is>
          <t>Kapı Önü Paspası</t>
        </is>
      </c>
      <c r="H859" s="30" t="inlineStr">
        <is>
          <t>Paspas Yap</t>
        </is>
      </c>
      <c r="I859" s="31" t="n">
        <v>93.0</v>
      </c>
      <c r="J859" s="32" t="n">
        <v>28572.0</v>
      </c>
      <c r="K859" s="33" t="n">
        <v>28572.0</v>
      </c>
      <c r="L859" s="34" t="n">
        <v>22.0</v>
      </c>
      <c r="M859" s="35" t="n">
        <v>20434.12</v>
      </c>
      <c r="N859" s="36" t="inlineStr">
        <is>
          <t>25 Ağustos 08.00-1 Eylül 07.59</t>
        </is>
      </c>
      <c r="O859" s="37" t="n">
        <v>14.8</v>
      </c>
      <c r="P859" s="38" t="n">
        <v>28572.0</v>
      </c>
      <c r="Q859" s="39"/>
      <c r="R859" s="40" t="n">
        <f>=IF(AND(ISBLANK(Q859), ISBLANK(U859)), "", "7 Günlük Fiyat")</f>
        <v>0.0</v>
      </c>
      <c r="S859" s="41" t="n">
        <f>=IF(OR(Q859="", R859=""), "-", IF(ISNUMBER(SEARCH("7 Günlük", R859)), IF(Q859&lt;=M859, O859, "-"), "-"))</f>
        <v>0.0</v>
      </c>
      <c r="T859" s="42" t="str">
        <f>=IF(ISBLANK(Q859), "", "Hayır")</f>
      </c>
      <c r="U859" s="43"/>
      <c r="V859" s="44" t="inlineStr">
        <is>
          <t>50461ed1-c2c8-4393-967e-55d58a3e2664</t>
        </is>
      </c>
    </row>
    <row r="860">
      <c r="A860" s="23" t="inlineStr">
        <is>
          <t>Toz Ve Nem Alıcı Yolluk Paspas Iş Yeri Paspası Iç Ve Dış Mekan Paspası Rampalı Toz Alıcı Paspas</t>
        </is>
      </c>
      <c r="B860" s="24" t="inlineStr">
        <is>
          <t>770010727</t>
        </is>
      </c>
      <c r="C860" s="25" t="inlineStr">
        <is>
          <t>TOZKONTROL-YP2-40x70-GRI</t>
        </is>
      </c>
      <c r="D860" s="26" t="inlineStr">
        <is>
          <t>TOZKONTROL-YP2-40x70-GRI</t>
        </is>
      </c>
      <c r="E860" s="27" t="inlineStr">
        <is>
          <t>40 x 70</t>
        </is>
      </c>
      <c r="F860" s="28" t="inlineStr">
        <is>
          <t>TOZKONTROL-YP1</t>
        </is>
      </c>
      <c r="G860" s="29" t="inlineStr">
        <is>
          <t>Kapı Önü Paspası</t>
        </is>
      </c>
      <c r="H860" s="30" t="inlineStr">
        <is>
          <t>Paspas Yap</t>
        </is>
      </c>
      <c r="I860" s="31" t="n">
        <v>91.0</v>
      </c>
      <c r="J860" s="32" t="n">
        <v>799.0</v>
      </c>
      <c r="K860" s="33" t="n">
        <v>799.0</v>
      </c>
      <c r="L860" s="34" t="n">
        <v>22.0</v>
      </c>
      <c r="M860" s="35" t="n">
        <v>637.71</v>
      </c>
      <c r="N860" s="36" t="inlineStr">
        <is>
          <t>25 Ağustos 08.00-1 Eylül 07.59</t>
        </is>
      </c>
      <c r="O860" s="37" t="n">
        <v>17.8</v>
      </c>
      <c r="P860" s="38" t="n">
        <v>799.0</v>
      </c>
      <c r="Q860" s="39"/>
      <c r="R860" s="40" t="n">
        <f>=IF(AND(ISBLANK(Q860), ISBLANK(U860)), "", "7 Günlük Fiyat")</f>
        <v>0.0</v>
      </c>
      <c r="S860" s="41" t="n">
        <f>=IF(OR(Q860="", R860=""), "-", IF(ISNUMBER(SEARCH("7 Günlük", R860)), IF(Q860&lt;=M860, O860, "-"), "-"))</f>
        <v>0.0</v>
      </c>
      <c r="T860" s="42" t="str">
        <f>=IF(ISBLANK(Q860), "", "Hayır")</f>
      </c>
      <c r="U860" s="43"/>
      <c r="V860" s="44" t="inlineStr">
        <is>
          <t>50461ed1-c2c8-4393-967e-55d58a3e2664</t>
        </is>
      </c>
    </row>
    <row r="861">
      <c r="A861" s="23" t="inlineStr">
        <is>
          <t>Toz Ve Nem Alıcı Yolluk Paspas Iş Yeri Paspası Iç Ve Dış Mekan Paspası Rampalı Toz Alıcı Paspas</t>
        </is>
      </c>
      <c r="B861" s="24" t="inlineStr">
        <is>
          <t>770010727</t>
        </is>
      </c>
      <c r="C861" s="25" t="inlineStr">
        <is>
          <t>TOZKONTROL-YP2-100x950-GRI</t>
        </is>
      </c>
      <c r="D861" s="26" t="inlineStr">
        <is>
          <t>TOZKONTROL-YP2-100x950-GRI</t>
        </is>
      </c>
      <c r="E861" s="27" t="inlineStr">
        <is>
          <t>100 x 950</t>
        </is>
      </c>
      <c r="F861" s="28" t="inlineStr">
        <is>
          <t>TOZKONTROL-YP1</t>
        </is>
      </c>
      <c r="G861" s="29" t="inlineStr">
        <is>
          <t>Kapı Önü Paspası</t>
        </is>
      </c>
      <c r="H861" s="30" t="inlineStr">
        <is>
          <t>Paspas Yap</t>
        </is>
      </c>
      <c r="I861" s="31" t="n">
        <v>93.0</v>
      </c>
      <c r="J861" s="32" t="n">
        <v>15908.0</v>
      </c>
      <c r="K861" s="33" t="n">
        <v>15908.0</v>
      </c>
      <c r="L861" s="34" t="n">
        <v>22.0</v>
      </c>
      <c r="M861" s="35" t="n">
        <v>11377.08</v>
      </c>
      <c r="N861" s="36" t="inlineStr">
        <is>
          <t>25 Ağustos 08.00-1 Eylül 07.59</t>
        </is>
      </c>
      <c r="O861" s="37" t="n">
        <v>14.8</v>
      </c>
      <c r="P861" s="38" t="n">
        <v>15908.0</v>
      </c>
      <c r="Q861" s="39"/>
      <c r="R861" s="40" t="n">
        <f>=IF(AND(ISBLANK(Q861), ISBLANK(U861)), "", "7 Günlük Fiyat")</f>
        <v>0.0</v>
      </c>
      <c r="S861" s="41" t="n">
        <f>=IF(OR(Q861="", R861=""), "-", IF(ISNUMBER(SEARCH("7 Günlük", R861)), IF(Q861&lt;=M861, O861, "-"), "-"))</f>
        <v>0.0</v>
      </c>
      <c r="T861" s="42" t="str">
        <f>=IF(ISBLANK(Q861), "", "Hayır")</f>
      </c>
      <c r="U861" s="43"/>
      <c r="V861" s="44" t="inlineStr">
        <is>
          <t>50461ed1-c2c8-4393-967e-55d58a3e2664</t>
        </is>
      </c>
    </row>
    <row r="862">
      <c r="A862" s="23" t="inlineStr">
        <is>
          <t>Toz Ve Nem Alıcı Yolluk Paspas Iş Yeri Paspası Iç Ve Dış Mekan Paspası Rampalı Toz Alıcı Paspas</t>
        </is>
      </c>
      <c r="B862" s="24" t="inlineStr">
        <is>
          <t>770010727</t>
        </is>
      </c>
      <c r="C862" s="25" t="inlineStr">
        <is>
          <t>TOZKONTROL-YP2-100x1150-GRI</t>
        </is>
      </c>
      <c r="D862" s="26" t="inlineStr">
        <is>
          <t>TOZKONTROL-YP2-100x1150-GRI</t>
        </is>
      </c>
      <c r="E862" s="27" t="inlineStr">
        <is>
          <t>100 x 1150</t>
        </is>
      </c>
      <c r="F862" s="28" t="inlineStr">
        <is>
          <t>TOZKONTROL-YP1</t>
        </is>
      </c>
      <c r="G862" s="29" t="inlineStr">
        <is>
          <t>Kapı Önü Paspası</t>
        </is>
      </c>
      <c r="H862" s="30" t="inlineStr">
        <is>
          <t>Paspas Yap</t>
        </is>
      </c>
      <c r="I862" s="31" t="n">
        <v>93.0</v>
      </c>
      <c r="J862" s="32" t="n">
        <v>21700.0</v>
      </c>
      <c r="K862" s="33" t="n">
        <v>21700.0</v>
      </c>
      <c r="L862" s="34" t="n">
        <v>22.0</v>
      </c>
      <c r="M862" s="35" t="n">
        <v>15370.32</v>
      </c>
      <c r="N862" s="36" t="inlineStr">
        <is>
          <t>25 Ağustos 08.00-1 Eylül 07.59</t>
        </is>
      </c>
      <c r="O862" s="37" t="n">
        <v>16.6</v>
      </c>
      <c r="P862" s="38" t="n">
        <v>21700.0</v>
      </c>
      <c r="Q862" s="39"/>
      <c r="R862" s="40" t="n">
        <f>=IF(AND(ISBLANK(Q862), ISBLANK(U862)), "", "7 Günlük Fiyat")</f>
        <v>0.0</v>
      </c>
      <c r="S862" s="41" t="n">
        <f>=IF(OR(Q862="", R862=""), "-", IF(ISNUMBER(SEARCH("7 Günlük", R862)), IF(Q862&lt;=M862, O862, "-"), "-"))</f>
        <v>0.0</v>
      </c>
      <c r="T862" s="42" t="str">
        <f>=IF(ISBLANK(Q862), "", "Hayır")</f>
      </c>
      <c r="U862" s="43"/>
      <c r="V862" s="44" t="inlineStr">
        <is>
          <t>50461ed1-c2c8-4393-967e-55d58a3e2664</t>
        </is>
      </c>
    </row>
    <row r="863">
      <c r="A863" s="23" t="inlineStr">
        <is>
          <t>Toz Ve Nem Alıcı Yolluk Paspas Iş Yeri Paspası Iç Ve Dış Mekan Paspası Rampalı Toz Alıcı Paspas</t>
        </is>
      </c>
      <c r="B863" s="24" t="inlineStr">
        <is>
          <t>770010727</t>
        </is>
      </c>
      <c r="C863" s="25" t="inlineStr">
        <is>
          <t>TOZKONTROL-YP2-120x1050-GRI</t>
        </is>
      </c>
      <c r="D863" s="26" t="inlineStr">
        <is>
          <t>TOZKONTROL-YP2-120x1050-GRI</t>
        </is>
      </c>
      <c r="E863" s="27" t="inlineStr">
        <is>
          <t>120 x 1050</t>
        </is>
      </c>
      <c r="F863" s="28" t="inlineStr">
        <is>
          <t>TOZKONTROL-YP1</t>
        </is>
      </c>
      <c r="G863" s="29" t="inlineStr">
        <is>
          <t>Kapı Önü Paspası</t>
        </is>
      </c>
      <c r="H863" s="30" t="inlineStr">
        <is>
          <t>Paspas Yap</t>
        </is>
      </c>
      <c r="I863" s="31" t="n">
        <v>93.0</v>
      </c>
      <c r="J863" s="32" t="n">
        <v>23280.0</v>
      </c>
      <c r="K863" s="33" t="n">
        <v>23280.0</v>
      </c>
      <c r="L863" s="34" t="n">
        <v>22.0</v>
      </c>
      <c r="M863" s="35" t="n">
        <v>16649.39</v>
      </c>
      <c r="N863" s="36" t="inlineStr">
        <is>
          <t>25 Ağustos 08.00-1 Eylül 07.59</t>
        </is>
      </c>
      <c r="O863" s="37" t="n">
        <v>14.8</v>
      </c>
      <c r="P863" s="38" t="n">
        <v>23280.0</v>
      </c>
      <c r="Q863" s="39"/>
      <c r="R863" s="40" t="n">
        <f>=IF(AND(ISBLANK(Q863), ISBLANK(U863)), "", "7 Günlük Fiyat")</f>
        <v>0.0</v>
      </c>
      <c r="S863" s="41" t="n">
        <f>=IF(OR(Q863="", R863=""), "-", IF(ISNUMBER(SEARCH("7 Günlük", R863)), IF(Q863&lt;=M863, O863, "-"), "-"))</f>
        <v>0.0</v>
      </c>
      <c r="T863" s="42" t="str">
        <f>=IF(ISBLANK(Q863), "", "Hayır")</f>
      </c>
      <c r="U863" s="43"/>
      <c r="V863" s="44" t="inlineStr">
        <is>
          <t>50461ed1-c2c8-4393-967e-55d58a3e2664</t>
        </is>
      </c>
    </row>
    <row r="864">
      <c r="A864" s="23" t="inlineStr">
        <is>
          <t>Toz Ve Nem Alıcı Yolluk Paspas Iş Yeri Paspası Iç Ve Dış Mekan Paspası Rampalı Toz Alıcı Paspas</t>
        </is>
      </c>
      <c r="B864" s="24" t="inlineStr">
        <is>
          <t>770010727</t>
        </is>
      </c>
      <c r="C864" s="25" t="inlineStr">
        <is>
          <t>TOZKONTROL-YP1-GRI-100500</t>
        </is>
      </c>
      <c r="D864" s="26" t="inlineStr">
        <is>
          <t>TOZKONTROL-YP1-GRI-100500</t>
        </is>
      </c>
      <c r="E864" s="27" t="inlineStr">
        <is>
          <t>100 x 500</t>
        </is>
      </c>
      <c r="F864" s="28" t="inlineStr">
        <is>
          <t>TOZKONTROL-YP1</t>
        </is>
      </c>
      <c r="G864" s="29" t="inlineStr">
        <is>
          <t>Kapı Önü Paspası</t>
        </is>
      </c>
      <c r="H864" s="30" t="inlineStr">
        <is>
          <t>Paspas Yap</t>
        </is>
      </c>
      <c r="I864" s="31" t="n">
        <v>93.0</v>
      </c>
      <c r="J864" s="32" t="n">
        <v>8475.0</v>
      </c>
      <c r="K864" s="33" t="n">
        <v>7847.55</v>
      </c>
      <c r="L864" s="34" t="n">
        <v>22.0</v>
      </c>
      <c r="M864" s="35" t="n">
        <v>5609.09</v>
      </c>
      <c r="N864" s="36" t="inlineStr">
        <is>
          <t>25 Ağustos 08.00-1 Eylül 07.59</t>
        </is>
      </c>
      <c r="O864" s="37" t="n">
        <v>15.5</v>
      </c>
      <c r="P864" s="38" t="n">
        <v>7847.55</v>
      </c>
      <c r="Q864" s="39"/>
      <c r="R864" s="40" t="n">
        <f>=IF(AND(ISBLANK(Q864), ISBLANK(U864)), "", "7 Günlük Fiyat")</f>
        <v>0.0</v>
      </c>
      <c r="S864" s="41" t="n">
        <f>=IF(OR(Q864="", R864=""), "-", IF(ISNUMBER(SEARCH("7 Günlük", R864)), IF(Q864&lt;=M864, O864, "-"), "-"))</f>
        <v>0.0</v>
      </c>
      <c r="T864" s="42" t="str">
        <f>=IF(ISBLANK(Q864), "", "Hayır")</f>
      </c>
      <c r="U864" s="43"/>
      <c r="V864" s="44" t="inlineStr">
        <is>
          <t>50461ed1-c2c8-4393-967e-55d58a3e2664</t>
        </is>
      </c>
    </row>
    <row r="865">
      <c r="A865" s="23" t="inlineStr">
        <is>
          <t>Toz Ve Nem Alıcı Yolluk Paspas Iş Yeri Paspası Iç Ve Dış Mekan Paspası Rampalı Toz Alıcı Paspas</t>
        </is>
      </c>
      <c r="B865" s="24" t="inlineStr">
        <is>
          <t>770010727</t>
        </is>
      </c>
      <c r="C865" s="25" t="inlineStr">
        <is>
          <t>TOZKONTROL-YP2-100x1200-GRI</t>
        </is>
      </c>
      <c r="D865" s="26" t="inlineStr">
        <is>
          <t>TOZKONTROL-YP2-100x1200-GRI</t>
        </is>
      </c>
      <c r="E865" s="27" t="inlineStr">
        <is>
          <t>100 x 1200</t>
        </is>
      </c>
      <c r="F865" s="28" t="inlineStr">
        <is>
          <t>TOZKONTROL-YP1</t>
        </is>
      </c>
      <c r="G865" s="29" t="inlineStr">
        <is>
          <t>Kapı Önü Paspası</t>
        </is>
      </c>
      <c r="H865" s="30" t="inlineStr">
        <is>
          <t>Paspas Yap</t>
        </is>
      </c>
      <c r="I865" s="31" t="n">
        <v>93.0</v>
      </c>
      <c r="J865" s="32" t="n">
        <v>22715.0</v>
      </c>
      <c r="K865" s="33" t="n">
        <v>22715.0</v>
      </c>
      <c r="L865" s="34" t="n">
        <v>22.0</v>
      </c>
      <c r="M865" s="35" t="n">
        <v>16245.31</v>
      </c>
      <c r="N865" s="36" t="inlineStr">
        <is>
          <t>25 Ağustos 08.00-1 Eylül 07.59</t>
        </is>
      </c>
      <c r="O865" s="37" t="n">
        <v>14.8</v>
      </c>
      <c r="P865" s="38" t="n">
        <v>22715.0</v>
      </c>
      <c r="Q865" s="39"/>
      <c r="R865" s="40" t="n">
        <f>=IF(AND(ISBLANK(Q865), ISBLANK(U865)), "", "7 Günlük Fiyat")</f>
        <v>0.0</v>
      </c>
      <c r="S865" s="41" t="n">
        <f>=IF(OR(Q865="", R865=""), "-", IF(ISNUMBER(SEARCH("7 Günlük", R865)), IF(Q865&lt;=M865, O865, "-"), "-"))</f>
        <v>0.0</v>
      </c>
      <c r="T865" s="42" t="str">
        <f>=IF(ISBLANK(Q865), "", "Hayır")</f>
      </c>
      <c r="U865" s="43"/>
      <c r="V865" s="44" t="inlineStr">
        <is>
          <t>50461ed1-c2c8-4393-967e-55d58a3e2664</t>
        </is>
      </c>
    </row>
    <row r="866">
      <c r="A866" s="23" t="inlineStr">
        <is>
          <t>Toz Ve Nem Alıcı Yolluk Paspas Iş Yeri Paspası Iç Ve Dış Mekan Paspası Rampalı Toz Alıcı Paspas</t>
        </is>
      </c>
      <c r="B866" s="24" t="inlineStr">
        <is>
          <t>770010727</t>
        </is>
      </c>
      <c r="C866" s="25" t="inlineStr">
        <is>
          <t>TOZKONTROL-YP1-GRI-100700</t>
        </is>
      </c>
      <c r="D866" s="26" t="inlineStr">
        <is>
          <t>TOZKONTROL-YP1-GRI-100700</t>
        </is>
      </c>
      <c r="E866" s="27" t="inlineStr">
        <is>
          <t>100 x 700</t>
        </is>
      </c>
      <c r="F866" s="28" t="inlineStr">
        <is>
          <t>TOZKONTROL-YP1</t>
        </is>
      </c>
      <c r="G866" s="29" t="inlineStr">
        <is>
          <t>Kapı Önü Paspası</t>
        </is>
      </c>
      <c r="H866" s="30" t="inlineStr">
        <is>
          <t>Paspas Yap</t>
        </is>
      </c>
      <c r="I866" s="31" t="n">
        <v>93.0</v>
      </c>
      <c r="J866" s="32" t="n">
        <v>12074.0</v>
      </c>
      <c r="K866" s="33" t="n">
        <v>10605.78</v>
      </c>
      <c r="L866" s="34" t="n">
        <v>22.0</v>
      </c>
      <c r="M866" s="35" t="n">
        <v>6538.72</v>
      </c>
      <c r="N866" s="36" t="inlineStr">
        <is>
          <t>25 Ağustos 08.00-1 Eylül 07.59</t>
        </is>
      </c>
      <c r="O866" s="37" t="n">
        <v>12.1</v>
      </c>
      <c r="P866" s="38" t="n">
        <v>10605.78</v>
      </c>
      <c r="Q866" s="39"/>
      <c r="R866" s="40" t="n">
        <f>=IF(AND(ISBLANK(Q866), ISBLANK(U866)), "", "7 Günlük Fiyat")</f>
        <v>0.0</v>
      </c>
      <c r="S866" s="41" t="n">
        <f>=IF(OR(Q866="", R866=""), "-", IF(ISNUMBER(SEARCH("7 Günlük", R866)), IF(Q866&lt;=M866, O866, "-"), "-"))</f>
        <v>0.0</v>
      </c>
      <c r="T866" s="42" t="str">
        <f>=IF(ISBLANK(Q866), "", "Hayır")</f>
      </c>
      <c r="U866" s="43"/>
      <c r="V866" s="44" t="inlineStr">
        <is>
          <t>50461ed1-c2c8-4393-967e-55d58a3e2664</t>
        </is>
      </c>
    </row>
    <row r="867">
      <c r="A867" s="23" t="inlineStr">
        <is>
          <t>Toz Ve Nem Alıcı Yolluk Paspas Iş Yeri Paspası Iç Ve Dış Mekan Paspası Rampalı Toz Alıcı Paspas</t>
        </is>
      </c>
      <c r="B867" s="24" t="inlineStr">
        <is>
          <t>770010727</t>
        </is>
      </c>
      <c r="C867" s="25" t="inlineStr">
        <is>
          <t>TOZKONTROL-YP2-100x150-GRI</t>
        </is>
      </c>
      <c r="D867" s="26" t="inlineStr">
        <is>
          <t>TOZKONTROL-YP2-100x150-GRI</t>
        </is>
      </c>
      <c r="E867" s="27" t="inlineStr">
        <is>
          <t>100 x 150</t>
        </is>
      </c>
      <c r="F867" s="28" t="inlineStr">
        <is>
          <t>TOZKONTROL-YP1</t>
        </is>
      </c>
      <c r="G867" s="29" t="inlineStr">
        <is>
          <t>Kapı Önü Paspası</t>
        </is>
      </c>
      <c r="H867" s="30" t="inlineStr">
        <is>
          <t>Paspas Yap</t>
        </is>
      </c>
      <c r="I867" s="31" t="n">
        <v>93.0</v>
      </c>
      <c r="J867" s="32" t="n">
        <v>2980.0</v>
      </c>
      <c r="K867" s="33" t="n">
        <v>2621.32</v>
      </c>
      <c r="L867" s="34" t="n">
        <v>22.0</v>
      </c>
      <c r="M867" s="35" t="n">
        <v>1848.51</v>
      </c>
      <c r="N867" s="36" t="inlineStr">
        <is>
          <t>25 Ağustos 08.00-1 Eylül 07.59</t>
        </is>
      </c>
      <c r="O867" s="37" t="n">
        <v>14.8</v>
      </c>
      <c r="P867" s="38" t="n">
        <v>2621.32</v>
      </c>
      <c r="Q867" s="39"/>
      <c r="R867" s="40" t="n">
        <f>=IF(AND(ISBLANK(Q867), ISBLANK(U867)), "", "7 Günlük Fiyat")</f>
        <v>0.0</v>
      </c>
      <c r="S867" s="41" t="n">
        <f>=IF(OR(Q867="", R867=""), "-", IF(ISNUMBER(SEARCH("7 Günlük", R867)), IF(Q867&lt;=M867, O867, "-"), "-"))</f>
        <v>0.0</v>
      </c>
      <c r="T867" s="42" t="str">
        <f>=IF(ISBLANK(Q867), "", "Hayır")</f>
      </c>
      <c r="U867" s="43"/>
      <c r="V867" s="44" t="inlineStr">
        <is>
          <t>50461ed1-c2c8-4393-967e-55d58a3e2664</t>
        </is>
      </c>
    </row>
    <row r="868">
      <c r="A868" s="23" t="inlineStr">
        <is>
          <t>Toz Ve Nem Alıcı Yolluk Paspas Iş Yeri Paspası Iç Ve Dış Mekan Paspası Rampalı Toz Alıcı Paspas</t>
        </is>
      </c>
      <c r="B868" s="24" t="inlineStr">
        <is>
          <t>770010727</t>
        </is>
      </c>
      <c r="C868" s="25" t="inlineStr">
        <is>
          <t>TOZKONTROL-YP2-80x1050-GRI</t>
        </is>
      </c>
      <c r="D868" s="26" t="inlineStr">
        <is>
          <t>TOZKONTROL-YP2-80x1050-GRI</t>
        </is>
      </c>
      <c r="E868" s="27" t="inlineStr">
        <is>
          <t>80 x 1050</t>
        </is>
      </c>
      <c r="F868" s="28" t="inlineStr">
        <is>
          <t>TOZKONTROL-YP1</t>
        </is>
      </c>
      <c r="G868" s="29" t="inlineStr">
        <is>
          <t>Kapı Önü Paspası</t>
        </is>
      </c>
      <c r="H868" s="30" t="inlineStr">
        <is>
          <t>Paspas Yap</t>
        </is>
      </c>
      <c r="I868" s="31" t="n">
        <v>93.0</v>
      </c>
      <c r="J868" s="32" t="n">
        <v>14351.0</v>
      </c>
      <c r="K868" s="33" t="n">
        <v>14351.0</v>
      </c>
      <c r="L868" s="34" t="n">
        <v>22.0</v>
      </c>
      <c r="M868" s="35" t="n">
        <v>10263.55</v>
      </c>
      <c r="N868" s="36" t="inlineStr">
        <is>
          <t>25 Ağustos 08.00-1 Eylül 07.59</t>
        </is>
      </c>
      <c r="O868" s="37" t="n">
        <v>14.8</v>
      </c>
      <c r="P868" s="38" t="n">
        <v>14351.0</v>
      </c>
      <c r="Q868" s="39"/>
      <c r="R868" s="40" t="n">
        <f>=IF(AND(ISBLANK(Q868), ISBLANK(U868)), "", "7 Günlük Fiyat")</f>
        <v>0.0</v>
      </c>
      <c r="S868" s="41" t="n">
        <f>=IF(OR(Q868="", R868=""), "-", IF(ISNUMBER(SEARCH("7 Günlük", R868)), IF(Q868&lt;=M868, O868, "-"), "-"))</f>
        <v>0.0</v>
      </c>
      <c r="T868" s="42" t="str">
        <f>=IF(ISBLANK(Q868), "", "Hayır")</f>
      </c>
      <c r="U868" s="43"/>
      <c r="V868" s="44" t="inlineStr">
        <is>
          <t>50461ed1-c2c8-4393-967e-55d58a3e2664</t>
        </is>
      </c>
    </row>
    <row r="869">
      <c r="A869" s="23" t="inlineStr">
        <is>
          <t>Toz Ve Nem Alıcı Yolluk Paspas Iş Yeri Paspası Iç Ve Dış Mekan Paspası Rampalı Toz Alıcı Paspas</t>
        </is>
      </c>
      <c r="B869" s="24" t="inlineStr">
        <is>
          <t>770010727</t>
        </is>
      </c>
      <c r="C869" s="25" t="inlineStr">
        <is>
          <t>TOZKONTROL-YP2-80x700-GRI</t>
        </is>
      </c>
      <c r="D869" s="26" t="inlineStr">
        <is>
          <t>TOZKONTROL-YP2-80x700-GRI</t>
        </is>
      </c>
      <c r="E869" s="27" t="inlineStr">
        <is>
          <t>80 x 700</t>
        </is>
      </c>
      <c r="F869" s="28" t="inlineStr">
        <is>
          <t>TOZKONTROL-YP1</t>
        </is>
      </c>
      <c r="G869" s="29" t="inlineStr">
        <is>
          <t>Kapı Önü Paspası</t>
        </is>
      </c>
      <c r="H869" s="30" t="inlineStr">
        <is>
          <t>Paspas Yap</t>
        </is>
      </c>
      <c r="I869" s="31" t="n">
        <v>93.0</v>
      </c>
      <c r="J869" s="32" t="n">
        <v>9991.0</v>
      </c>
      <c r="K869" s="33" t="n">
        <v>9226.03</v>
      </c>
      <c r="L869" s="34" t="n">
        <v>22.0</v>
      </c>
      <c r="M869" s="35" t="n">
        <v>6516.41</v>
      </c>
      <c r="N869" s="36" t="inlineStr">
        <is>
          <t>25 Ağustos 08.00-1 Eylül 07.59</t>
        </is>
      </c>
      <c r="O869" s="37" t="n">
        <v>15.4</v>
      </c>
      <c r="P869" s="38" t="n">
        <v>9226.03</v>
      </c>
      <c r="Q869" s="39"/>
      <c r="R869" s="40" t="n">
        <f>=IF(AND(ISBLANK(Q869), ISBLANK(U869)), "", "7 Günlük Fiyat")</f>
        <v>0.0</v>
      </c>
      <c r="S869" s="41" t="n">
        <f>=IF(OR(Q869="", R869=""), "-", IF(ISNUMBER(SEARCH("7 Günlük", R869)), IF(Q869&lt;=M869, O869, "-"), "-"))</f>
        <v>0.0</v>
      </c>
      <c r="T869" s="42" t="str">
        <f>=IF(ISBLANK(Q869), "", "Hayır")</f>
      </c>
      <c r="U869" s="43"/>
      <c r="V869" s="44" t="inlineStr">
        <is>
          <t>50461ed1-c2c8-4393-967e-55d58a3e2664</t>
        </is>
      </c>
    </row>
    <row r="870">
      <c r="A870" s="23" t="inlineStr">
        <is>
          <t>Toz Ve Nem Alıcı Yolluk Paspas Iş Yeri Paspası Iç Ve Dış Mekan Paspası Rampalı Toz Alıcı Paspas</t>
        </is>
      </c>
      <c r="B870" s="24" t="inlineStr">
        <is>
          <t>770010727</t>
        </is>
      </c>
      <c r="C870" s="25" t="inlineStr">
        <is>
          <t>TOZKONTROL-YP1-GRI-120500</t>
        </is>
      </c>
      <c r="D870" s="26" t="inlineStr">
        <is>
          <t>TOZKONTROL-YP1-GRI-120500</t>
        </is>
      </c>
      <c r="E870" s="27" t="inlineStr">
        <is>
          <t>120 x 500</t>
        </is>
      </c>
      <c r="F870" s="28" t="inlineStr">
        <is>
          <t>TOZKONTROL-YP1</t>
        </is>
      </c>
      <c r="G870" s="29" t="inlineStr">
        <is>
          <t>Kapı Önü Paspası</t>
        </is>
      </c>
      <c r="H870" s="30" t="inlineStr">
        <is>
          <t>Paspas Yap</t>
        </is>
      </c>
      <c r="I870" s="31" t="n">
        <v>93.0</v>
      </c>
      <c r="J870" s="32" t="n">
        <v>10655.0</v>
      </c>
      <c r="K870" s="33" t="n">
        <v>9971.2</v>
      </c>
      <c r="L870" s="34" t="n">
        <v>22.0</v>
      </c>
      <c r="M870" s="35" t="n">
        <v>7382.94</v>
      </c>
      <c r="N870" s="36" t="inlineStr">
        <is>
          <t>25 Ağustos 08.00-1 Eylül 07.59</t>
        </is>
      </c>
      <c r="O870" s="37" t="n">
        <v>16.3</v>
      </c>
      <c r="P870" s="38" t="n">
        <v>9971.2</v>
      </c>
      <c r="Q870" s="39"/>
      <c r="R870" s="40" t="n">
        <f>=IF(AND(ISBLANK(Q870), ISBLANK(U870)), "", "7 Günlük Fiyat")</f>
        <v>0.0</v>
      </c>
      <c r="S870" s="41" t="n">
        <f>=IF(OR(Q870="", R870=""), "-", IF(ISNUMBER(SEARCH("7 Günlük", R870)), IF(Q870&lt;=M870, O870, "-"), "-"))</f>
        <v>0.0</v>
      </c>
      <c r="T870" s="42" t="str">
        <f>=IF(ISBLANK(Q870), "", "Hayır")</f>
      </c>
      <c r="U870" s="43"/>
      <c r="V870" s="44" t="inlineStr">
        <is>
          <t>50461ed1-c2c8-4393-967e-55d58a3e2664</t>
        </is>
      </c>
    </row>
    <row r="871">
      <c r="A871" s="23" t="inlineStr">
        <is>
          <t>Toz Ve Nem Alıcı Yolluk Paspas Iş Yeri Paspası Iç Ve Dış Mekan Paspası Rampalı Toz Alıcı Paspas</t>
        </is>
      </c>
      <c r="B871" s="24" t="inlineStr">
        <is>
          <t>770010727</t>
        </is>
      </c>
      <c r="C871" s="25" t="inlineStr">
        <is>
          <t>TOZKONTROL-YP1-GRI-100200</t>
        </is>
      </c>
      <c r="D871" s="26" t="inlineStr">
        <is>
          <t>TOZKONTROL-YP1-GRI-100200</t>
        </is>
      </c>
      <c r="E871" s="27" t="inlineStr">
        <is>
          <t>100 x 200</t>
        </is>
      </c>
      <c r="F871" s="28" t="inlineStr">
        <is>
          <t>TOZKONTROL-YP1</t>
        </is>
      </c>
      <c r="G871" s="29" t="inlineStr">
        <is>
          <t>Kapı Önü Paspası</t>
        </is>
      </c>
      <c r="H871" s="30" t="inlineStr">
        <is>
          <t>Paspas Yap</t>
        </is>
      </c>
      <c r="I871" s="31" t="n">
        <v>93.0</v>
      </c>
      <c r="J871" s="32" t="n">
        <v>3729.0</v>
      </c>
      <c r="K871" s="33" t="n">
        <v>3100.65</v>
      </c>
      <c r="L871" s="34" t="n">
        <v>22.0</v>
      </c>
      <c r="M871" s="35" t="n">
        <v>2108.63</v>
      </c>
      <c r="N871" s="36" t="inlineStr">
        <is>
          <t>25 Ağustos 08.00-1 Eylül 07.59</t>
        </is>
      </c>
      <c r="O871" s="37" t="n">
        <v>13.0</v>
      </c>
      <c r="P871" s="38" t="n">
        <v>3100.65</v>
      </c>
      <c r="Q871" s="39"/>
      <c r="R871" s="40" t="n">
        <f>=IF(AND(ISBLANK(Q871), ISBLANK(U871)), "", "7 Günlük Fiyat")</f>
        <v>0.0</v>
      </c>
      <c r="S871" s="41" t="n">
        <f>=IF(OR(Q871="", R871=""), "-", IF(ISNUMBER(SEARCH("7 Günlük", R871)), IF(Q871&lt;=M871, O871, "-"), "-"))</f>
        <v>0.0</v>
      </c>
      <c r="T871" s="42" t="str">
        <f>=IF(ISBLANK(Q871), "", "Hayır")</f>
      </c>
      <c r="U871" s="43"/>
      <c r="V871" s="44" t="inlineStr">
        <is>
          <t>50461ed1-c2c8-4393-967e-55d58a3e2664</t>
        </is>
      </c>
    </row>
    <row r="872">
      <c r="A872" s="23" t="inlineStr">
        <is>
          <t>Toz Ve Nem Alıcı Yolluk Paspas Iş Yeri Paspası Iç Ve Dış Mekan Paspası Rampalı Toz Alıcı Paspas</t>
        </is>
      </c>
      <c r="B872" s="24" t="inlineStr">
        <is>
          <t>770010727</t>
        </is>
      </c>
      <c r="C872" s="25" t="inlineStr">
        <is>
          <t>TOZKONTROL-YP1-GRI-120450</t>
        </is>
      </c>
      <c r="D872" s="26" t="inlineStr">
        <is>
          <t>TOZKONTROL-YP1-GRI-120450</t>
        </is>
      </c>
      <c r="E872" s="27" t="inlineStr">
        <is>
          <t>120 x 450</t>
        </is>
      </c>
      <c r="F872" s="28" t="inlineStr">
        <is>
          <t>TOZKONTROL-YP1</t>
        </is>
      </c>
      <c r="G872" s="29" t="inlineStr">
        <is>
          <t>Kapı Önü Paspası</t>
        </is>
      </c>
      <c r="H872" s="30" t="inlineStr">
        <is>
          <t>Paspas Yap</t>
        </is>
      </c>
      <c r="I872" s="31" t="n">
        <v>93.0</v>
      </c>
      <c r="J872" s="32" t="n">
        <v>9548.0</v>
      </c>
      <c r="K872" s="33" t="n">
        <v>8285.36</v>
      </c>
      <c r="L872" s="34" t="n">
        <v>22.0</v>
      </c>
      <c r="M872" s="35" t="n">
        <v>5941.87</v>
      </c>
      <c r="N872" s="36" t="inlineStr">
        <is>
          <t>25 Ağustos 08.00-1 Eylül 07.59</t>
        </is>
      </c>
      <c r="O872" s="37" t="n">
        <v>14.9</v>
      </c>
      <c r="P872" s="38" t="n">
        <v>8285.36</v>
      </c>
      <c r="Q872" s="39"/>
      <c r="R872" s="40" t="n">
        <f>=IF(AND(ISBLANK(Q872), ISBLANK(U872)), "", "7 Günlük Fiyat")</f>
        <v>0.0</v>
      </c>
      <c r="S872" s="41" t="n">
        <f>=IF(OR(Q872="", R872=""), "-", IF(ISNUMBER(SEARCH("7 Günlük", R872)), IF(Q872&lt;=M872, O872, "-"), "-"))</f>
        <v>0.0</v>
      </c>
      <c r="T872" s="42" t="str">
        <f>=IF(ISBLANK(Q872), "", "Hayır")</f>
      </c>
      <c r="U872" s="43"/>
      <c r="V872" s="44" t="inlineStr">
        <is>
          <t>50461ed1-c2c8-4393-967e-55d58a3e2664</t>
        </is>
      </c>
    </row>
    <row r="873">
      <c r="A873" s="23" t="inlineStr">
        <is>
          <t>Toz Ve Nem Alıcı Yolluk Paspas Iş Yeri Paspası Iç Ve Dış Mekan Paspası Rampalı Toz Alıcı Paspas</t>
        </is>
      </c>
      <c r="B873" s="24" t="inlineStr">
        <is>
          <t>770010727</t>
        </is>
      </c>
      <c r="C873" s="25" t="inlineStr">
        <is>
          <t>TOZKONTROL-YP2-80x1300-GRI</t>
        </is>
      </c>
      <c r="D873" s="26" t="inlineStr">
        <is>
          <t>TOZKONTROL-YP2-80x1300-GRI</t>
        </is>
      </c>
      <c r="E873" s="27" t="inlineStr">
        <is>
          <t>80 x 1300</t>
        </is>
      </c>
      <c r="F873" s="28" t="inlineStr">
        <is>
          <t>TOZKONTROL-YP1</t>
        </is>
      </c>
      <c r="G873" s="29" t="inlineStr">
        <is>
          <t>Kapı Önü Paspası</t>
        </is>
      </c>
      <c r="H873" s="30" t="inlineStr">
        <is>
          <t>Paspas Yap</t>
        </is>
      </c>
      <c r="I873" s="31" t="n">
        <v>93.0</v>
      </c>
      <c r="J873" s="32" t="n">
        <v>20205.0</v>
      </c>
      <c r="K873" s="33" t="n">
        <v>20205.0</v>
      </c>
      <c r="L873" s="34" t="n">
        <v>22.0</v>
      </c>
      <c r="M873" s="35" t="n">
        <v>14450.21</v>
      </c>
      <c r="N873" s="36" t="inlineStr">
        <is>
          <t>25 Ağustos 08.00-1 Eylül 07.59</t>
        </is>
      </c>
      <c r="O873" s="37" t="n">
        <v>14.8</v>
      </c>
      <c r="P873" s="38" t="n">
        <v>20205.0</v>
      </c>
      <c r="Q873" s="39"/>
      <c r="R873" s="40" t="n">
        <f>=IF(AND(ISBLANK(Q873), ISBLANK(U873)), "", "7 Günlük Fiyat")</f>
        <v>0.0</v>
      </c>
      <c r="S873" s="41" t="n">
        <f>=IF(OR(Q873="", R873=""), "-", IF(ISNUMBER(SEARCH("7 Günlük", R873)), IF(Q873&lt;=M873, O873, "-"), "-"))</f>
        <v>0.0</v>
      </c>
      <c r="T873" s="42" t="str">
        <f>=IF(ISBLANK(Q873), "", "Hayır")</f>
      </c>
      <c r="U873" s="43"/>
      <c r="V873" s="44" t="inlineStr">
        <is>
          <t>50461ed1-c2c8-4393-967e-55d58a3e2664</t>
        </is>
      </c>
    </row>
    <row r="874">
      <c r="A874" s="23" t="inlineStr">
        <is>
          <t>Toz Ve Nem Alıcı Yolluk Paspas Iş Yeri Paspası Iç Ve Dış Mekan Paspası Rampalı Toz Alıcı Paspas</t>
        </is>
      </c>
      <c r="B874" s="24" t="inlineStr">
        <is>
          <t>770010727</t>
        </is>
      </c>
      <c r="C874" s="25" t="inlineStr">
        <is>
          <t>TOZKONTROL-YP2-120x1000-GRI</t>
        </is>
      </c>
      <c r="D874" s="26" t="inlineStr">
        <is>
          <t>TOZKONTROL-YP2-120x1000-GRI</t>
        </is>
      </c>
      <c r="E874" s="27" t="inlineStr">
        <is>
          <t>120 x 1000</t>
        </is>
      </c>
      <c r="F874" s="28" t="inlineStr">
        <is>
          <t>TOZKONTROL-YP1</t>
        </is>
      </c>
      <c r="G874" s="29" t="inlineStr">
        <is>
          <t>Kapı Önü Paspası</t>
        </is>
      </c>
      <c r="H874" s="30" t="inlineStr">
        <is>
          <t>Paspas Yap</t>
        </is>
      </c>
      <c r="I874" s="31" t="n">
        <v>93.0</v>
      </c>
      <c r="J874" s="32" t="n">
        <v>22715.0</v>
      </c>
      <c r="K874" s="33" t="n">
        <v>22715.0</v>
      </c>
      <c r="L874" s="34" t="n">
        <v>22.0</v>
      </c>
      <c r="M874" s="35" t="n">
        <v>16245.31</v>
      </c>
      <c r="N874" s="36" t="inlineStr">
        <is>
          <t>25 Ağustos 08.00-1 Eylül 07.59</t>
        </is>
      </c>
      <c r="O874" s="37" t="n">
        <v>14.8</v>
      </c>
      <c r="P874" s="38" t="n">
        <v>22715.0</v>
      </c>
      <c r="Q874" s="39"/>
      <c r="R874" s="40" t="n">
        <f>=IF(AND(ISBLANK(Q874), ISBLANK(U874)), "", "7 Günlük Fiyat")</f>
        <v>0.0</v>
      </c>
      <c r="S874" s="41" t="n">
        <f>=IF(OR(Q874="", R874=""), "-", IF(ISNUMBER(SEARCH("7 Günlük", R874)), IF(Q874&lt;=M874, O874, "-"), "-"))</f>
        <v>0.0</v>
      </c>
      <c r="T874" s="42" t="str">
        <f>=IF(ISBLANK(Q874), "", "Hayır")</f>
      </c>
      <c r="U874" s="43"/>
      <c r="V874" s="44" t="inlineStr">
        <is>
          <t>50461ed1-c2c8-4393-967e-55d58a3e2664</t>
        </is>
      </c>
    </row>
    <row r="875">
      <c r="A875" s="23" t="inlineStr">
        <is>
          <t>Toz Ve Nem Alıcı Yolluk Paspas Iş Yeri Paspası Iç Ve Dış Mekan Paspası Rampalı Toz Alıcı Paspas</t>
        </is>
      </c>
      <c r="B875" s="24" t="inlineStr">
        <is>
          <t>770010727</t>
        </is>
      </c>
      <c r="C875" s="25" t="inlineStr">
        <is>
          <t>TOZKONTROL-YP2-80x1200-GRI</t>
        </is>
      </c>
      <c r="D875" s="26" t="inlineStr">
        <is>
          <t>TOZKONTROL-YP2-80x1200-GRI</t>
        </is>
      </c>
      <c r="E875" s="27" t="inlineStr">
        <is>
          <t>80 x 1200</t>
        </is>
      </c>
      <c r="F875" s="28" t="inlineStr">
        <is>
          <t>TOZKONTROL-YP1</t>
        </is>
      </c>
      <c r="G875" s="29" t="inlineStr">
        <is>
          <t>Kapı Önü Paspası</t>
        </is>
      </c>
      <c r="H875" s="30" t="inlineStr">
        <is>
          <t>Paspas Yap</t>
        </is>
      </c>
      <c r="I875" s="31" t="n">
        <v>93.0</v>
      </c>
      <c r="J875" s="32" t="n">
        <v>16099.0</v>
      </c>
      <c r="K875" s="33" t="n">
        <v>16099.0</v>
      </c>
      <c r="L875" s="34" t="n">
        <v>22.0</v>
      </c>
      <c r="M875" s="35" t="n">
        <v>11174.28</v>
      </c>
      <c r="N875" s="36" t="inlineStr">
        <is>
          <t>25 Ağustos 08.00-1 Eylül 07.59</t>
        </is>
      </c>
      <c r="O875" s="37" t="n">
        <v>16.2</v>
      </c>
      <c r="P875" s="38" t="n">
        <v>16099.0</v>
      </c>
      <c r="Q875" s="39"/>
      <c r="R875" s="40" t="n">
        <f>=IF(AND(ISBLANK(Q875), ISBLANK(U875)), "", "7 Günlük Fiyat")</f>
        <v>0.0</v>
      </c>
      <c r="S875" s="41" t="n">
        <f>=IF(OR(Q875="", R875=""), "-", IF(ISNUMBER(SEARCH("7 Günlük", R875)), IF(Q875&lt;=M875, O875, "-"), "-"))</f>
        <v>0.0</v>
      </c>
      <c r="T875" s="42" t="str">
        <f>=IF(ISBLANK(Q875), "", "Hayır")</f>
      </c>
      <c r="U875" s="43"/>
      <c r="V875" s="44" t="inlineStr">
        <is>
          <t>50461ed1-c2c8-4393-967e-55d58a3e2664</t>
        </is>
      </c>
    </row>
    <row r="876">
      <c r="A876" s="23" t="inlineStr">
        <is>
          <t>Toz Ve Nem Alıcı Yolluk Paspas Iş Yeri Paspası Iç Ve Dış Mekan Paspası Rampalı Toz Alıcı Paspas</t>
        </is>
      </c>
      <c r="B876" s="24" t="inlineStr">
        <is>
          <t>770010727</t>
        </is>
      </c>
      <c r="C876" s="25" t="inlineStr">
        <is>
          <t>TOZKONTROL-YP2-80x200-GRI</t>
        </is>
      </c>
      <c r="D876" s="26" t="inlineStr">
        <is>
          <t>TOZKONTROL-YP2-80x200-GRI</t>
        </is>
      </c>
      <c r="E876" s="27" t="inlineStr">
        <is>
          <t>80 x 200</t>
        </is>
      </c>
      <c r="F876" s="28" t="inlineStr">
        <is>
          <t>TOZKONTROL-YP1</t>
        </is>
      </c>
      <c r="G876" s="29" t="inlineStr">
        <is>
          <t>Kapı Önü Paspası</t>
        </is>
      </c>
      <c r="H876" s="30" t="inlineStr">
        <is>
          <t>Paspas Yap</t>
        </is>
      </c>
      <c r="I876" s="31" t="n">
        <v>93.0</v>
      </c>
      <c r="J876" s="32" t="n">
        <v>3141.0</v>
      </c>
      <c r="K876" s="33" t="n">
        <v>2852.86</v>
      </c>
      <c r="L876" s="34" t="n">
        <v>22.0</v>
      </c>
      <c r="M876" s="35" t="n">
        <v>2104.99</v>
      </c>
      <c r="N876" s="36" t="inlineStr">
        <is>
          <t>25 Ağustos 08.00-1 Eylül 07.59</t>
        </is>
      </c>
      <c r="O876" s="37" t="n">
        <v>16.0</v>
      </c>
      <c r="P876" s="38" t="n">
        <v>2852.86</v>
      </c>
      <c r="Q876" s="39"/>
      <c r="R876" s="40" t="n">
        <f>=IF(AND(ISBLANK(Q876), ISBLANK(U876)), "", "7 Günlük Fiyat")</f>
        <v>0.0</v>
      </c>
      <c r="S876" s="41" t="n">
        <f>=IF(OR(Q876="", R876=""), "-", IF(ISNUMBER(SEARCH("7 Günlük", R876)), IF(Q876&lt;=M876, O876, "-"), "-"))</f>
        <v>0.0</v>
      </c>
      <c r="T876" s="42" t="str">
        <f>=IF(ISBLANK(Q876), "", "Hayır")</f>
      </c>
      <c r="U876" s="43"/>
      <c r="V876" s="44" t="inlineStr">
        <is>
          <t>50461ed1-c2c8-4393-967e-55d58a3e2664</t>
        </is>
      </c>
    </row>
    <row r="877">
      <c r="A877" s="23" t="inlineStr">
        <is>
          <t>Toz Ve Nem Alıcı Yolluk Paspas Iş Yeri Paspası Iç Ve Dış Mekan Paspası Rampalı Toz Alıcı Paspas</t>
        </is>
      </c>
      <c r="B877" s="24" t="inlineStr">
        <is>
          <t>770010727</t>
        </is>
      </c>
      <c r="C877" s="25" t="inlineStr">
        <is>
          <t>TOZKONTROL-YP2-80x1450-GRI</t>
        </is>
      </c>
      <c r="D877" s="26" t="inlineStr">
        <is>
          <t>TOZKONTROL-YP2-80x1450-GRI</t>
        </is>
      </c>
      <c r="E877" s="27" t="inlineStr">
        <is>
          <t>80 x 1450</t>
        </is>
      </c>
      <c r="F877" s="28" t="inlineStr">
        <is>
          <t>TOZKONTROL-YP1</t>
        </is>
      </c>
      <c r="G877" s="29" t="inlineStr">
        <is>
          <t>Kapı Önü Paspası</t>
        </is>
      </c>
      <c r="H877" s="30" t="inlineStr">
        <is>
          <t>Paspas Yap</t>
        </is>
      </c>
      <c r="I877" s="31" t="n">
        <v>93.0</v>
      </c>
      <c r="J877" s="32" t="n">
        <v>22087.0</v>
      </c>
      <c r="K877" s="33" t="n">
        <v>22087.0</v>
      </c>
      <c r="L877" s="34" t="n">
        <v>22.0</v>
      </c>
      <c r="M877" s="35" t="n">
        <v>15796.18</v>
      </c>
      <c r="N877" s="36" t="inlineStr">
        <is>
          <t>25 Ağustos 08.00-1 Eylül 07.59</t>
        </is>
      </c>
      <c r="O877" s="37" t="n">
        <v>14.8</v>
      </c>
      <c r="P877" s="38" t="n">
        <v>22087.0</v>
      </c>
      <c r="Q877" s="39"/>
      <c r="R877" s="40" t="n">
        <f>=IF(AND(ISBLANK(Q877), ISBLANK(U877)), "", "7 Günlük Fiyat")</f>
        <v>0.0</v>
      </c>
      <c r="S877" s="41" t="n">
        <f>=IF(OR(Q877="", R877=""), "-", IF(ISNUMBER(SEARCH("7 Günlük", R877)), IF(Q877&lt;=M877, O877, "-"), "-"))</f>
        <v>0.0</v>
      </c>
      <c r="T877" s="42" t="str">
        <f>=IF(ISBLANK(Q877), "", "Hayır")</f>
      </c>
      <c r="U877" s="43"/>
      <c r="V877" s="44" t="inlineStr">
        <is>
          <t>50461ed1-c2c8-4393-967e-55d58a3e2664</t>
        </is>
      </c>
    </row>
    <row r="878">
      <c r="A878" s="23" t="inlineStr">
        <is>
          <t>Toz Ve Nem Alıcı Yolluk Paspas Iş Yeri Paspası Iç Ve Dış Mekan Paspası Rampalı Toz Alıcı Paspas</t>
        </is>
      </c>
      <c r="B878" s="24" t="inlineStr">
        <is>
          <t>770010727</t>
        </is>
      </c>
      <c r="C878" s="25" t="inlineStr">
        <is>
          <t>TOZKONTROL-YP2-120x1400-GRI</t>
        </is>
      </c>
      <c r="D878" s="26" t="inlineStr">
        <is>
          <t>TOZKONTROL-YP2-120x1400-GRI</t>
        </is>
      </c>
      <c r="E878" s="27" t="inlineStr">
        <is>
          <t>120 x 1400</t>
        </is>
      </c>
      <c r="F878" s="28" t="inlineStr">
        <is>
          <t>TOZKONTROL-YP1</t>
        </is>
      </c>
      <c r="G878" s="29" t="inlineStr">
        <is>
          <t>Kapı Önü Paspası</t>
        </is>
      </c>
      <c r="H878" s="30" t="inlineStr">
        <is>
          <t>Paspas Yap</t>
        </is>
      </c>
      <c r="I878" s="31" t="n">
        <v>93.0</v>
      </c>
      <c r="J878" s="32" t="n">
        <v>29420.0</v>
      </c>
      <c r="K878" s="33" t="n">
        <v>29420.0</v>
      </c>
      <c r="L878" s="34" t="n">
        <v>22.0</v>
      </c>
      <c r="M878" s="35" t="n">
        <v>21040.6</v>
      </c>
      <c r="N878" s="36" t="inlineStr">
        <is>
          <t>25 Ağustos 08.00-1 Eylül 07.59</t>
        </is>
      </c>
      <c r="O878" s="37" t="n">
        <v>14.8</v>
      </c>
      <c r="P878" s="38" t="n">
        <v>29420.0</v>
      </c>
      <c r="Q878" s="39"/>
      <c r="R878" s="40" t="n">
        <f>=IF(AND(ISBLANK(Q878), ISBLANK(U878)), "", "7 Günlük Fiyat")</f>
        <v>0.0</v>
      </c>
      <c r="S878" s="41" t="n">
        <f>=IF(OR(Q878="", R878=""), "-", IF(ISNUMBER(SEARCH("7 Günlük", R878)), IF(Q878&lt;=M878, O878, "-"), "-"))</f>
        <v>0.0</v>
      </c>
      <c r="T878" s="42" t="str">
        <f>=IF(ISBLANK(Q878), "", "Hayır")</f>
      </c>
      <c r="U878" s="43"/>
      <c r="V878" s="44" t="inlineStr">
        <is>
          <t>50461ed1-c2c8-4393-967e-55d58a3e2664</t>
        </is>
      </c>
    </row>
    <row r="879">
      <c r="A879" s="23" t="inlineStr">
        <is>
          <t>Toz Ve Nem Alıcı Yolluk Paspas Iş Yeri Paspası Iç Ve Dış Mekan Paspası Rampalı Toz Alıcı Paspas</t>
        </is>
      </c>
      <c r="B879" s="24" t="inlineStr">
        <is>
          <t>770010727</t>
        </is>
      </c>
      <c r="C879" s="25" t="inlineStr">
        <is>
          <t>TOZKONTROL-YP1-GRI-1001300</t>
        </is>
      </c>
      <c r="D879" s="26" t="inlineStr">
        <is>
          <t>TOZKONTROL-YP1-GRI-1001300</t>
        </is>
      </c>
      <c r="E879" s="27" t="inlineStr">
        <is>
          <t>100 x 1300</t>
        </is>
      </c>
      <c r="F879" s="28" t="inlineStr">
        <is>
          <t>TOZKONTROL-YP1</t>
        </is>
      </c>
      <c r="G879" s="29" t="inlineStr">
        <is>
          <t>Kapı Önü Paspası</t>
        </is>
      </c>
      <c r="H879" s="30" t="inlineStr">
        <is>
          <t>Paspas Yap</t>
        </is>
      </c>
      <c r="I879" s="31" t="n">
        <v>93.0</v>
      </c>
      <c r="J879" s="32" t="n">
        <v>23914.0</v>
      </c>
      <c r="K879" s="33" t="n">
        <v>20193.43</v>
      </c>
      <c r="L879" s="34" t="n">
        <v>22.0</v>
      </c>
      <c r="M879" s="35" t="n">
        <v>12850.24</v>
      </c>
      <c r="N879" s="36" t="inlineStr">
        <is>
          <t>25 Ağustos 08.00-1 Eylül 07.59</t>
        </is>
      </c>
      <c r="O879" s="37" t="n">
        <v>12.6</v>
      </c>
      <c r="P879" s="38" t="n">
        <v>20193.43</v>
      </c>
      <c r="Q879" s="39"/>
      <c r="R879" s="40" t="n">
        <f>=IF(AND(ISBLANK(Q879), ISBLANK(U879)), "", "7 Günlük Fiyat")</f>
        <v>0.0</v>
      </c>
      <c r="S879" s="41" t="n">
        <f>=IF(OR(Q879="", R879=""), "-", IF(ISNUMBER(SEARCH("7 Günlük", R879)), IF(Q879&lt;=M879, O879, "-"), "-"))</f>
        <v>0.0</v>
      </c>
      <c r="T879" s="42" t="str">
        <f>=IF(ISBLANK(Q879), "", "Hayır")</f>
      </c>
      <c r="U879" s="43"/>
      <c r="V879" s="44" t="inlineStr">
        <is>
          <t>50461ed1-c2c8-4393-967e-55d58a3e2664</t>
        </is>
      </c>
    </row>
    <row r="880">
      <c r="A880" s="23" t="inlineStr">
        <is>
          <t>Toz Ve Nem Alıcı Yolluk Paspas Iş Yeri Paspası Iç Ve Dış Mekan Paspası Rampalı Toz Alıcı Paspas</t>
        </is>
      </c>
      <c r="B880" s="24" t="inlineStr">
        <is>
          <t>770010727</t>
        </is>
      </c>
      <c r="C880" s="25" t="inlineStr">
        <is>
          <t>TOZKONTROL-YP2-120x350-GRI</t>
        </is>
      </c>
      <c r="D880" s="26" t="inlineStr">
        <is>
          <t>TOZKONTROL-YP2-120x350-GRI</t>
        </is>
      </c>
      <c r="E880" s="27" t="inlineStr">
        <is>
          <t>120 x 350</t>
        </is>
      </c>
      <c r="F880" s="28" t="inlineStr">
        <is>
          <t>TOZKONTROL-YP1</t>
        </is>
      </c>
      <c r="G880" s="29" t="inlineStr">
        <is>
          <t>Kapı Önü Paspası</t>
        </is>
      </c>
      <c r="H880" s="30" t="inlineStr">
        <is>
          <t>Paspas Yap</t>
        </is>
      </c>
      <c r="I880" s="31" t="n">
        <v>93.0</v>
      </c>
      <c r="J880" s="32" t="n">
        <v>7217.0</v>
      </c>
      <c r="K880" s="33" t="n">
        <v>6276.32</v>
      </c>
      <c r="L880" s="34" t="n">
        <v>22.0</v>
      </c>
      <c r="M880" s="35" t="n">
        <v>4229.23</v>
      </c>
      <c r="N880" s="36" t="inlineStr">
        <is>
          <t>25 Ağustos 08.00-1 Eylül 07.59</t>
        </is>
      </c>
      <c r="O880" s="37" t="n">
        <v>13.8</v>
      </c>
      <c r="P880" s="38" t="n">
        <v>6276.32</v>
      </c>
      <c r="Q880" s="39"/>
      <c r="R880" s="40" t="n">
        <f>=IF(AND(ISBLANK(Q880), ISBLANK(U880)), "", "7 Günlük Fiyat")</f>
        <v>0.0</v>
      </c>
      <c r="S880" s="41" t="n">
        <f>=IF(OR(Q880="", R880=""), "-", IF(ISNUMBER(SEARCH("7 Günlük", R880)), IF(Q880&lt;=M880, O880, "-"), "-"))</f>
        <v>0.0</v>
      </c>
      <c r="T880" s="42" t="str">
        <f>=IF(ISBLANK(Q880), "", "Hayır")</f>
      </c>
      <c r="U880" s="43"/>
      <c r="V880" s="44" t="inlineStr">
        <is>
          <t>50461ed1-c2c8-4393-967e-55d58a3e2664</t>
        </is>
      </c>
    </row>
    <row r="881">
      <c r="A881" s="23" t="inlineStr">
        <is>
          <t>Toz Ve Nem Alıcı Yolluk Paspas Iş Yeri Paspası Iç Ve Dış Mekan Paspası Rampalı Toz Alıcı Paspas</t>
        </is>
      </c>
      <c r="B881" s="24" t="inlineStr">
        <is>
          <t>770010727</t>
        </is>
      </c>
      <c r="C881" s="25" t="inlineStr">
        <is>
          <t>TOZKONTROL-YP2-50x100-GRI</t>
        </is>
      </c>
      <c r="D881" s="26" t="inlineStr">
        <is>
          <t>TOZKONTROL-YP2-50x100-GRI</t>
        </is>
      </c>
      <c r="E881" s="27" t="inlineStr">
        <is>
          <t>50 x 100</t>
        </is>
      </c>
      <c r="F881" s="28" t="inlineStr">
        <is>
          <t>TOZKONTROL-YP1</t>
        </is>
      </c>
      <c r="G881" s="29" t="inlineStr">
        <is>
          <t>Kapı Önü Paspası</t>
        </is>
      </c>
      <c r="H881" s="30" t="inlineStr">
        <is>
          <t>Paspas Yap</t>
        </is>
      </c>
      <c r="I881" s="31" t="n">
        <v>93.0</v>
      </c>
      <c r="J881" s="32" t="n">
        <v>1264.0</v>
      </c>
      <c r="K881" s="33" t="n">
        <v>1088.85</v>
      </c>
      <c r="L881" s="34" t="n">
        <v>21.4</v>
      </c>
      <c r="M881" s="35" t="n">
        <v>896.71</v>
      </c>
      <c r="N881" s="36" t="inlineStr">
        <is>
          <t>25 Ağustos 08.00-1 Eylül 07.59</t>
        </is>
      </c>
      <c r="O881" s="37" t="n">
        <v>16.8</v>
      </c>
      <c r="P881" s="38" t="n">
        <v>1088.85</v>
      </c>
      <c r="Q881" s="39"/>
      <c r="R881" s="40" t="n">
        <f>=IF(AND(ISBLANK(Q881), ISBLANK(U881)), "", "7 Günlük Fiyat")</f>
        <v>0.0</v>
      </c>
      <c r="S881" s="41" t="n">
        <f>=IF(OR(Q881="", R881=""), "-", IF(ISNUMBER(SEARCH("7 Günlük", R881)), IF(Q881&lt;=M881, O881, "-"), "-"))</f>
        <v>0.0</v>
      </c>
      <c r="T881" s="42" t="str">
        <f>=IF(ISBLANK(Q881), "", "Hayır")</f>
      </c>
      <c r="U881" s="43"/>
      <c r="V881" s="44" t="inlineStr">
        <is>
          <t>50461ed1-c2c8-4393-967e-55d58a3e2664</t>
        </is>
      </c>
    </row>
    <row r="882">
      <c r="A882" s="23" t="inlineStr">
        <is>
          <t>Toz Ve Nem Alıcı Yolluk Paspas Iş Yeri Paspası Iç Ve Dış Mekan Paspası Rampalı Toz Alıcı Paspas</t>
        </is>
      </c>
      <c r="B882" s="24" t="inlineStr">
        <is>
          <t>770010727</t>
        </is>
      </c>
      <c r="C882" s="25" t="inlineStr">
        <is>
          <t>TOZKONTROL-YP2-120x900-GRI</t>
        </is>
      </c>
      <c r="D882" s="26" t="inlineStr">
        <is>
          <t>TOZKONTROL-YP2-120x900-GRI</t>
        </is>
      </c>
      <c r="E882" s="27" t="inlineStr">
        <is>
          <t>120 x 900</t>
        </is>
      </c>
      <c r="F882" s="28" t="inlineStr">
        <is>
          <t>TOZKONTROL-YP1</t>
        </is>
      </c>
      <c r="G882" s="29" t="inlineStr">
        <is>
          <t>Kapı Önü Paspası</t>
        </is>
      </c>
      <c r="H882" s="30" t="inlineStr">
        <is>
          <t>Paspas Yap</t>
        </is>
      </c>
      <c r="I882" s="31" t="n">
        <v>93.0</v>
      </c>
      <c r="J882" s="32" t="n">
        <v>20833.0</v>
      </c>
      <c r="K882" s="33" t="n">
        <v>20833.0</v>
      </c>
      <c r="L882" s="34" t="n">
        <v>22.0</v>
      </c>
      <c r="M882" s="35" t="n">
        <v>14899.34</v>
      </c>
      <c r="N882" s="36" t="inlineStr">
        <is>
          <t>25 Ağustos 08.00-1 Eylül 07.59</t>
        </is>
      </c>
      <c r="O882" s="37" t="n">
        <v>14.8</v>
      </c>
      <c r="P882" s="38" t="n">
        <v>20833.0</v>
      </c>
      <c r="Q882" s="39"/>
      <c r="R882" s="40" t="n">
        <f>=IF(AND(ISBLANK(Q882), ISBLANK(U882)), "", "7 Günlük Fiyat")</f>
        <v>0.0</v>
      </c>
      <c r="S882" s="41" t="n">
        <f>=IF(OR(Q882="", R882=""), "-", IF(ISNUMBER(SEARCH("7 Günlük", R882)), IF(Q882&lt;=M882, O882, "-"), "-"))</f>
        <v>0.0</v>
      </c>
      <c r="T882" s="42" t="str">
        <f>=IF(ISBLANK(Q882), "", "Hayır")</f>
      </c>
      <c r="U882" s="43"/>
      <c r="V882" s="44" t="inlineStr">
        <is>
          <t>50461ed1-c2c8-4393-967e-55d58a3e2664</t>
        </is>
      </c>
    </row>
    <row r="883">
      <c r="A883" s="23" t="inlineStr">
        <is>
          <t>Toz Ve Nem Alıcı Yolluk Paspas Iş Yeri Paspası Iç Ve Dış Mekan Paspası Rampalı Toz Alıcı Paspas</t>
        </is>
      </c>
      <c r="B883" s="24" t="inlineStr">
        <is>
          <t>770010727</t>
        </is>
      </c>
      <c r="C883" s="25" t="inlineStr">
        <is>
          <t>TOZKONTROL-YP2-120x250-GRI</t>
        </is>
      </c>
      <c r="D883" s="26" t="inlineStr">
        <is>
          <t>TOZKONTROL-YP2-120x250-GRI</t>
        </is>
      </c>
      <c r="E883" s="27" t="inlineStr">
        <is>
          <t>120 x 250</t>
        </is>
      </c>
      <c r="F883" s="28" t="inlineStr">
        <is>
          <t>TOZKONTROL-YP1</t>
        </is>
      </c>
      <c r="G883" s="29" t="inlineStr">
        <is>
          <t>Kapı Önü Paspası</t>
        </is>
      </c>
      <c r="H883" s="30" t="inlineStr">
        <is>
          <t>Paspas Yap</t>
        </is>
      </c>
      <c r="I883" s="31" t="n">
        <v>93.0</v>
      </c>
      <c r="J883" s="32" t="n">
        <v>5278.0</v>
      </c>
      <c r="K883" s="33" t="n">
        <v>4486.15</v>
      </c>
      <c r="L883" s="34" t="n">
        <v>22.0</v>
      </c>
      <c r="M883" s="35" t="n">
        <v>3215.73</v>
      </c>
      <c r="N883" s="36" t="inlineStr">
        <is>
          <t>25 Ağustos 08.00-1 Eylül 07.59</t>
        </is>
      </c>
      <c r="O883" s="37" t="n">
        <v>14.7</v>
      </c>
      <c r="P883" s="38" t="n">
        <v>4486.15</v>
      </c>
      <c r="Q883" s="39"/>
      <c r="R883" s="40" t="n">
        <f>=IF(AND(ISBLANK(Q883), ISBLANK(U883)), "", "7 Günlük Fiyat")</f>
        <v>0.0</v>
      </c>
      <c r="S883" s="41" t="n">
        <f>=IF(OR(Q883="", R883=""), "-", IF(ISNUMBER(SEARCH("7 Günlük", R883)), IF(Q883&lt;=M883, O883, "-"), "-"))</f>
        <v>0.0</v>
      </c>
      <c r="T883" s="42" t="str">
        <f>=IF(ISBLANK(Q883), "", "Hayır")</f>
      </c>
      <c r="U883" s="43"/>
      <c r="V883" s="44" t="inlineStr">
        <is>
          <t>50461ed1-c2c8-4393-967e-55d58a3e2664</t>
        </is>
      </c>
    </row>
    <row r="884">
      <c r="A884" s="23" t="inlineStr">
        <is>
          <t>Toz Ve Nem Alıcı Yolluk Paspas Iş Yeri Paspası Iç Ve Dış Mekan Paspası Rampalı Toz Alıcı Paspas</t>
        </is>
      </c>
      <c r="B884" s="24" t="inlineStr">
        <is>
          <t>770010727</t>
        </is>
      </c>
      <c r="C884" s="25" t="inlineStr">
        <is>
          <t>TOZKONTROL-YP2-120x1250-GRI</t>
        </is>
      </c>
      <c r="D884" s="26" t="inlineStr">
        <is>
          <t>TOZKONTROL-YP2-120x1250-GRI</t>
        </is>
      </c>
      <c r="E884" s="27" t="inlineStr">
        <is>
          <t>120 x 1250</t>
        </is>
      </c>
      <c r="F884" s="28" t="inlineStr">
        <is>
          <t>TOZKONTROL-YP1</t>
        </is>
      </c>
      <c r="G884" s="29" t="inlineStr">
        <is>
          <t>Kapı Önü Paspası</t>
        </is>
      </c>
      <c r="H884" s="30" t="inlineStr">
        <is>
          <t>Paspas Yap</t>
        </is>
      </c>
      <c r="I884" s="31" t="n">
        <v>93.0</v>
      </c>
      <c r="J884" s="32" t="n">
        <v>26967.0</v>
      </c>
      <c r="K884" s="33" t="n">
        <v>26967.0</v>
      </c>
      <c r="L884" s="34" t="n">
        <v>22.0</v>
      </c>
      <c r="M884" s="35" t="n">
        <v>19286.26</v>
      </c>
      <c r="N884" s="36" t="inlineStr">
        <is>
          <t>25 Ağustos 08.00-1 Eylül 07.59</t>
        </is>
      </c>
      <c r="O884" s="37" t="n">
        <v>14.8</v>
      </c>
      <c r="P884" s="38" t="n">
        <v>26967.0</v>
      </c>
      <c r="Q884" s="39"/>
      <c r="R884" s="40" t="n">
        <f>=IF(AND(ISBLANK(Q884), ISBLANK(U884)), "", "7 Günlük Fiyat")</f>
        <v>0.0</v>
      </c>
      <c r="S884" s="41" t="n">
        <f>=IF(OR(Q884="", R884=""), "-", IF(ISNUMBER(SEARCH("7 Günlük", R884)), IF(Q884&lt;=M884, O884, "-"), "-"))</f>
        <v>0.0</v>
      </c>
      <c r="T884" s="42" t="str">
        <f>=IF(ISBLANK(Q884), "", "Hayır")</f>
      </c>
      <c r="U884" s="43"/>
      <c r="V884" s="44" t="inlineStr">
        <is>
          <t>50461ed1-c2c8-4393-967e-55d58a3e2664</t>
        </is>
      </c>
    </row>
    <row r="885">
      <c r="A885" s="23" t="inlineStr">
        <is>
          <t>Toz Ve Nem Alıcı Yolluk Paspas Iş Yeri Paspası Iç Ve Dış Mekan Paspası Rampalı Toz Alıcı Paspas</t>
        </is>
      </c>
      <c r="B885" s="24" t="inlineStr">
        <is>
          <t>770010727</t>
        </is>
      </c>
      <c r="C885" s="25" t="inlineStr">
        <is>
          <t>TOZKONTROL-YP2-120x1500-GRI</t>
        </is>
      </c>
      <c r="D885" s="26" t="inlineStr">
        <is>
          <t>TOZKONTROL-YP2-120x1500-GRI</t>
        </is>
      </c>
      <c r="E885" s="27" t="inlineStr">
        <is>
          <t>120 x 1500</t>
        </is>
      </c>
      <c r="F885" s="28" t="inlineStr">
        <is>
          <t>TOZKONTROL-YP1</t>
        </is>
      </c>
      <c r="G885" s="29" t="inlineStr">
        <is>
          <t>Kapı Önü Paspası</t>
        </is>
      </c>
      <c r="H885" s="30" t="inlineStr">
        <is>
          <t>Paspas Yap</t>
        </is>
      </c>
      <c r="I885" s="31" t="n">
        <v>93.0</v>
      </c>
      <c r="J885" s="32" t="n">
        <v>31217.0</v>
      </c>
      <c r="K885" s="33" t="n">
        <v>31217.0</v>
      </c>
      <c r="L885" s="34" t="n">
        <v>22.0</v>
      </c>
      <c r="M885" s="35" t="n">
        <v>22325.77</v>
      </c>
      <c r="N885" s="36" t="inlineStr">
        <is>
          <t>25 Ağustos 08.00-1 Eylül 07.59</t>
        </is>
      </c>
      <c r="O885" s="37" t="n">
        <v>14.8</v>
      </c>
      <c r="P885" s="38" t="n">
        <v>31217.0</v>
      </c>
      <c r="Q885" s="39"/>
      <c r="R885" s="40" t="n">
        <f>=IF(AND(ISBLANK(Q885), ISBLANK(U885)), "", "7 Günlük Fiyat")</f>
        <v>0.0</v>
      </c>
      <c r="S885" s="41" t="n">
        <f>=IF(OR(Q885="", R885=""), "-", IF(ISNUMBER(SEARCH("7 Günlük", R885)), IF(Q885&lt;=M885, O885, "-"), "-"))</f>
        <v>0.0</v>
      </c>
      <c r="T885" s="42" t="str">
        <f>=IF(ISBLANK(Q885), "", "Hayır")</f>
      </c>
      <c r="U885" s="43"/>
      <c r="V885" s="44" t="inlineStr">
        <is>
          <t>50461ed1-c2c8-4393-967e-55d58a3e2664</t>
        </is>
      </c>
    </row>
    <row r="886">
      <c r="A886" s="23" t="inlineStr">
        <is>
          <t>Toz Ve Nem Alıcı Yolluk Paspas Iş Yeri Paspası Iç Ve Dış Mekan Paspası Rampalı Toz Alıcı Paspas</t>
        </is>
      </c>
      <c r="B886" s="24" t="inlineStr">
        <is>
          <t>770010727</t>
        </is>
      </c>
      <c r="C886" s="25" t="inlineStr">
        <is>
          <t>TOZKONTROL-YP2-120x950-GRI</t>
        </is>
      </c>
      <c r="D886" s="26" t="inlineStr">
        <is>
          <t>TOZKONTROL-YP2-120x950-GRI</t>
        </is>
      </c>
      <c r="E886" s="27" t="inlineStr">
        <is>
          <t>120 x 950</t>
        </is>
      </c>
      <c r="F886" s="28" t="inlineStr">
        <is>
          <t>TOZKONTROL-YP1</t>
        </is>
      </c>
      <c r="G886" s="29" t="inlineStr">
        <is>
          <t>Kapı Önü Paspası</t>
        </is>
      </c>
      <c r="H886" s="30" t="inlineStr">
        <is>
          <t>Paspas Yap</t>
        </is>
      </c>
      <c r="I886" s="31" t="n">
        <v>93.0</v>
      </c>
      <c r="J886" s="32" t="n">
        <v>21482.0</v>
      </c>
      <c r="K886" s="33" t="n">
        <v>21482.0</v>
      </c>
      <c r="L886" s="34" t="n">
        <v>22.0</v>
      </c>
      <c r="M886" s="35" t="n">
        <v>15363.5</v>
      </c>
      <c r="N886" s="36" t="inlineStr">
        <is>
          <t>25 Ağustos 08.00-1 Eylül 07.59</t>
        </is>
      </c>
      <c r="O886" s="37" t="n">
        <v>14.8</v>
      </c>
      <c r="P886" s="38" t="n">
        <v>21482.0</v>
      </c>
      <c r="Q886" s="39"/>
      <c r="R886" s="40" t="n">
        <f>=IF(AND(ISBLANK(Q886), ISBLANK(U886)), "", "7 Günlük Fiyat")</f>
        <v>0.0</v>
      </c>
      <c r="S886" s="41" t="n">
        <f>=IF(OR(Q886="", R886=""), "-", IF(ISNUMBER(SEARCH("7 Günlük", R886)), IF(Q886&lt;=M886, O886, "-"), "-"))</f>
        <v>0.0</v>
      </c>
      <c r="T886" s="42" t="str">
        <f>=IF(ISBLANK(Q886), "", "Hayır")</f>
      </c>
      <c r="U886" s="43"/>
      <c r="V886" s="44" t="inlineStr">
        <is>
          <t>50461ed1-c2c8-4393-967e-55d58a3e2664</t>
        </is>
      </c>
    </row>
    <row r="887">
      <c r="A887" s="23" t="inlineStr">
        <is>
          <t>Toz Ve Nem Alıcı Yolluk Paspas Iş Yeri Paspası Iç Ve Dış Mekan Paspası Rampalı Toz Alıcı Paspas</t>
        </is>
      </c>
      <c r="B887" s="24" t="inlineStr">
        <is>
          <t>770010727</t>
        </is>
      </c>
      <c r="C887" s="25" t="inlineStr">
        <is>
          <t>TOZKONTROL-YP1-GRI-100250</t>
        </is>
      </c>
      <c r="D887" s="26" t="inlineStr">
        <is>
          <t>TOZKONTROL-YP1-GRI-100250</t>
        </is>
      </c>
      <c r="E887" s="27" t="inlineStr">
        <is>
          <t>100 x 250</t>
        </is>
      </c>
      <c r="F887" s="28" t="inlineStr">
        <is>
          <t>TOZKONTROL-YP1</t>
        </is>
      </c>
      <c r="G887" s="29" t="inlineStr">
        <is>
          <t>Kapı Önü Paspası</t>
        </is>
      </c>
      <c r="H887" s="30" t="inlineStr">
        <is>
          <t>Paspas Yap</t>
        </is>
      </c>
      <c r="I887" s="31" t="n">
        <v>93.0</v>
      </c>
      <c r="J887" s="32" t="n">
        <v>4580.0</v>
      </c>
      <c r="K887" s="33" t="n">
        <v>4084.4</v>
      </c>
      <c r="L887" s="34" t="n">
        <v>22.0</v>
      </c>
      <c r="M887" s="35" t="n">
        <v>2913.6</v>
      </c>
      <c r="N887" s="36" t="inlineStr">
        <is>
          <t>25 Ağustos 08.00-1 Eylül 07.59</t>
        </is>
      </c>
      <c r="O887" s="37" t="n">
        <v>15.1</v>
      </c>
      <c r="P887" s="38" t="n">
        <v>4084.4</v>
      </c>
      <c r="Q887" s="39"/>
      <c r="R887" s="40" t="n">
        <f>=IF(AND(ISBLANK(Q887), ISBLANK(U887)), "", "7 Günlük Fiyat")</f>
        <v>0.0</v>
      </c>
      <c r="S887" s="41" t="n">
        <f>=IF(OR(Q887="", R887=""), "-", IF(ISNUMBER(SEARCH("7 Günlük", R887)), IF(Q887&lt;=M887, O887, "-"), "-"))</f>
        <v>0.0</v>
      </c>
      <c r="T887" s="42" t="str">
        <f>=IF(ISBLANK(Q887), "", "Hayır")</f>
      </c>
      <c r="U887" s="43"/>
      <c r="V887" s="44" t="inlineStr">
        <is>
          <t>50461ed1-c2c8-4393-967e-55d58a3e2664</t>
        </is>
      </c>
    </row>
    <row r="888">
      <c r="A888" s="23" t="inlineStr">
        <is>
          <t>Toz Ve Nem Alıcı Yolluk Paspas Iş Yeri Paspası Iç Ve Dış Mekan Paspası Rampalı Toz Alıcı Paspas</t>
        </is>
      </c>
      <c r="B888" s="24" t="inlineStr">
        <is>
          <t>770010727</t>
        </is>
      </c>
      <c r="C888" s="25" t="inlineStr">
        <is>
          <t>TOZKONTROL-YP1-GRI-80500</t>
        </is>
      </c>
      <c r="D888" s="26" t="inlineStr">
        <is>
          <t>TOZKONTROL-YP1-GRI-80500</t>
        </is>
      </c>
      <c r="E888" s="27" t="inlineStr">
        <is>
          <t>80 x 500</t>
        </is>
      </c>
      <c r="F888" s="28" t="inlineStr">
        <is>
          <t>TOZKONTROL-YP1</t>
        </is>
      </c>
      <c r="G888" s="29" t="inlineStr">
        <is>
          <t>Kapı Önü Paspası</t>
        </is>
      </c>
      <c r="H888" s="30" t="inlineStr">
        <is>
          <t>Paspas Yap</t>
        </is>
      </c>
      <c r="I888" s="31" t="n">
        <v>93.0</v>
      </c>
      <c r="J888" s="32" t="n">
        <v>7139.0</v>
      </c>
      <c r="K888" s="33" t="n">
        <v>6501.81</v>
      </c>
      <c r="L888" s="34" t="n">
        <v>22.0</v>
      </c>
      <c r="M888" s="35" t="n">
        <v>4980.79</v>
      </c>
      <c r="N888" s="36" t="inlineStr">
        <is>
          <t>25 Ağustos 08.00-1 Eylül 07.59</t>
        </is>
      </c>
      <c r="O888" s="37" t="n">
        <v>16.3</v>
      </c>
      <c r="P888" s="38" t="n">
        <v>6501.81</v>
      </c>
      <c r="Q888" s="39"/>
      <c r="R888" s="40" t="n">
        <f>=IF(AND(ISBLANK(Q888), ISBLANK(U888)), "", "7 Günlük Fiyat")</f>
        <v>0.0</v>
      </c>
      <c r="S888" s="41" t="n">
        <f>=IF(OR(Q888="", R888=""), "-", IF(ISNUMBER(SEARCH("7 Günlük", R888)), IF(Q888&lt;=M888, O888, "-"), "-"))</f>
        <v>0.0</v>
      </c>
      <c r="T888" s="42" t="str">
        <f>=IF(ISBLANK(Q888), "", "Hayır")</f>
      </c>
      <c r="U888" s="43"/>
      <c r="V888" s="44" t="inlineStr">
        <is>
          <t>50461ed1-c2c8-4393-967e-55d58a3e2664</t>
        </is>
      </c>
    </row>
    <row r="889">
      <c r="A889" s="23" t="inlineStr">
        <is>
          <t>Toz Ve Nem Alıcı Yolluk Paspas Iş Yeri Paspası Iç Ve Dış Mekan Paspası Rampalı Toz Alıcı Paspas</t>
        </is>
      </c>
      <c r="B889" s="24" t="inlineStr">
        <is>
          <t>770010727</t>
        </is>
      </c>
      <c r="C889" s="25" t="inlineStr">
        <is>
          <t>TOZKONTROL-YP2-120x550-GRI</t>
        </is>
      </c>
      <c r="D889" s="26" t="inlineStr">
        <is>
          <t>TOZKONTROL-YP2-120x550-GRI</t>
        </is>
      </c>
      <c r="E889" s="27" t="inlineStr">
        <is>
          <t>120 x 550</t>
        </is>
      </c>
      <c r="F889" s="28" t="inlineStr">
        <is>
          <t>TOZKONTROL-YP1</t>
        </is>
      </c>
      <c r="G889" s="29" t="inlineStr">
        <is>
          <t>Kapı Önü Paspası</t>
        </is>
      </c>
      <c r="H889" s="30" t="inlineStr">
        <is>
          <t>Paspas Yap</t>
        </is>
      </c>
      <c r="I889" s="31" t="n">
        <v>93.0</v>
      </c>
      <c r="J889" s="32" t="n">
        <v>11272.0</v>
      </c>
      <c r="K889" s="33" t="n">
        <v>9732.45</v>
      </c>
      <c r="L889" s="34" t="n">
        <v>22.0</v>
      </c>
      <c r="M889" s="35" t="n">
        <v>6869.63</v>
      </c>
      <c r="N889" s="36" t="inlineStr">
        <is>
          <t>25 Ağustos 08.00-1 Eylül 07.59</t>
        </is>
      </c>
      <c r="O889" s="37" t="n">
        <v>14.6</v>
      </c>
      <c r="P889" s="38" t="n">
        <v>9732.45</v>
      </c>
      <c r="Q889" s="39"/>
      <c r="R889" s="40" t="n">
        <f>=IF(AND(ISBLANK(Q889), ISBLANK(U889)), "", "7 Günlük Fiyat")</f>
        <v>0.0</v>
      </c>
      <c r="S889" s="41" t="n">
        <f>=IF(OR(Q889="", R889=""), "-", IF(ISNUMBER(SEARCH("7 Günlük", R889)), IF(Q889&lt;=M889, O889, "-"), "-"))</f>
        <v>0.0</v>
      </c>
      <c r="T889" s="42" t="str">
        <f>=IF(ISBLANK(Q889), "", "Hayır")</f>
      </c>
      <c r="U889" s="43"/>
      <c r="V889" s="44" t="inlineStr">
        <is>
          <t>50461ed1-c2c8-4393-967e-55d58a3e2664</t>
        </is>
      </c>
    </row>
    <row r="890">
      <c r="A890" s="23" t="inlineStr">
        <is>
          <t>Toz Ve Nem Alıcı Yolluk Paspas Iş Yeri Paspası Iç Ve Dış Mekan Paspası Rampalı Toz Alıcı Paspas</t>
        </is>
      </c>
      <c r="B890" s="24" t="inlineStr">
        <is>
          <t>770010727</t>
        </is>
      </c>
      <c r="C890" s="25" t="inlineStr">
        <is>
          <t>TOZKONTROL-YP2-100x650-GRI</t>
        </is>
      </c>
      <c r="D890" s="26" t="inlineStr">
        <is>
          <t>TOZKONTROL-YP2-100x650-GRI</t>
        </is>
      </c>
      <c r="E890" s="27" t="inlineStr">
        <is>
          <t>100 x 650</t>
        </is>
      </c>
      <c r="F890" s="28" t="inlineStr">
        <is>
          <t>TOZKONTROL-YP1</t>
        </is>
      </c>
      <c r="G890" s="29" t="inlineStr">
        <is>
          <t>Kapı Önü Paspası</t>
        </is>
      </c>
      <c r="H890" s="30" t="inlineStr">
        <is>
          <t>Paspas Yap</t>
        </is>
      </c>
      <c r="I890" s="31" t="n">
        <v>93.0</v>
      </c>
      <c r="J890" s="32" t="n">
        <v>11146.0</v>
      </c>
      <c r="K890" s="33" t="n">
        <v>10025.54</v>
      </c>
      <c r="L890" s="34" t="n">
        <v>22.0</v>
      </c>
      <c r="M890" s="35" t="n">
        <v>7055.37</v>
      </c>
      <c r="N890" s="36" t="inlineStr">
        <is>
          <t>25 Ağustos 08.00-1 Eylül 07.59</t>
        </is>
      </c>
      <c r="O890" s="37" t="n">
        <v>15.0</v>
      </c>
      <c r="P890" s="38" t="n">
        <v>10025.54</v>
      </c>
      <c r="Q890" s="39"/>
      <c r="R890" s="40" t="n">
        <f>=IF(AND(ISBLANK(Q890), ISBLANK(U890)), "", "7 Günlük Fiyat")</f>
        <v>0.0</v>
      </c>
      <c r="S890" s="41" t="n">
        <f>=IF(OR(Q890="", R890=""), "-", IF(ISNUMBER(SEARCH("7 Günlük", R890)), IF(Q890&lt;=M890, O890, "-"), "-"))</f>
        <v>0.0</v>
      </c>
      <c r="T890" s="42" t="str">
        <f>=IF(ISBLANK(Q890), "", "Hayır")</f>
      </c>
      <c r="U890" s="43"/>
      <c r="V890" s="44" t="inlineStr">
        <is>
          <t>50461ed1-c2c8-4393-967e-55d58a3e2664</t>
        </is>
      </c>
    </row>
    <row r="891">
      <c r="A891" s="23" t="inlineStr">
        <is>
          <t>Toz Ve Nem Alıcı Yolluk Paspas Iş Yeri Paspası Iç Ve Dış Mekan Paspası Rampalı Toz Alıcı Paspas</t>
        </is>
      </c>
      <c r="B891" s="24" t="inlineStr">
        <is>
          <t>770010727</t>
        </is>
      </c>
      <c r="C891" s="25" t="inlineStr">
        <is>
          <t>TOZKONTROL-YP2-100x750-GRI</t>
        </is>
      </c>
      <c r="D891" s="26" t="inlineStr">
        <is>
          <t>TOZKONTROL-YP2-100x750-GRI</t>
        </is>
      </c>
      <c r="E891" s="27" t="inlineStr">
        <is>
          <t>100 x 750</t>
        </is>
      </c>
      <c r="F891" s="28" t="inlineStr">
        <is>
          <t>TOZKONTROL-YP1</t>
        </is>
      </c>
      <c r="G891" s="29" t="inlineStr">
        <is>
          <t>Kapı Önü Paspası</t>
        </is>
      </c>
      <c r="H891" s="30" t="inlineStr">
        <is>
          <t>Paspas Yap</t>
        </is>
      </c>
      <c r="I891" s="31" t="n">
        <v>93.0</v>
      </c>
      <c r="J891" s="32" t="n">
        <v>12726.0</v>
      </c>
      <c r="K891" s="33" t="n">
        <v>12726.0</v>
      </c>
      <c r="L891" s="34" t="n">
        <v>22.0</v>
      </c>
      <c r="M891" s="35" t="n">
        <v>9101.38</v>
      </c>
      <c r="N891" s="36" t="inlineStr">
        <is>
          <t>25 Ağustos 08.00-1 Eylül 07.59</t>
        </is>
      </c>
      <c r="O891" s="37" t="n">
        <v>14.8</v>
      </c>
      <c r="P891" s="38" t="n">
        <v>12726.0</v>
      </c>
      <c r="Q891" s="39"/>
      <c r="R891" s="40" t="n">
        <f>=IF(AND(ISBLANK(Q891), ISBLANK(U891)), "", "7 Günlük Fiyat")</f>
        <v>0.0</v>
      </c>
      <c r="S891" s="41" t="n">
        <f>=IF(OR(Q891="", R891=""), "-", IF(ISNUMBER(SEARCH("7 Günlük", R891)), IF(Q891&lt;=M891, O891, "-"), "-"))</f>
        <v>0.0</v>
      </c>
      <c r="T891" s="42" t="str">
        <f>=IF(ISBLANK(Q891), "", "Hayır")</f>
      </c>
      <c r="U891" s="43"/>
      <c r="V891" s="44" t="inlineStr">
        <is>
          <t>50461ed1-c2c8-4393-967e-55d58a3e2664</t>
        </is>
      </c>
    </row>
    <row r="892">
      <c r="A892" s="23" t="inlineStr">
        <is>
          <t>Toz Ve Nem Alıcı Yolluk Paspas Iş Yeri Paspası Iç Ve Dış Mekan Paspası Rampalı Toz Alıcı Paspas</t>
        </is>
      </c>
      <c r="B892" s="24" t="inlineStr">
        <is>
          <t>770010727</t>
        </is>
      </c>
      <c r="C892" s="25" t="inlineStr">
        <is>
          <t>TOZKONTROL-YP2-80x600-GRI</t>
        </is>
      </c>
      <c r="D892" s="26" t="inlineStr">
        <is>
          <t>TOZKONTROL-YP2-80x600-GRI</t>
        </is>
      </c>
      <c r="E892" s="27" t="inlineStr">
        <is>
          <t>80 x 600</t>
        </is>
      </c>
      <c r="F892" s="28" t="inlineStr">
        <is>
          <t>TOZKONTROL-YP1</t>
        </is>
      </c>
      <c r="G892" s="29" t="inlineStr">
        <is>
          <t>Kapı Önü Paspası</t>
        </is>
      </c>
      <c r="H892" s="30" t="inlineStr">
        <is>
          <t>Paspas Yap</t>
        </is>
      </c>
      <c r="I892" s="31" t="n">
        <v>93.0</v>
      </c>
      <c r="J892" s="32" t="n">
        <v>8238.0</v>
      </c>
      <c r="K892" s="33" t="n">
        <v>7669.8</v>
      </c>
      <c r="L892" s="34" t="n">
        <v>22.0</v>
      </c>
      <c r="M892" s="35" t="n">
        <v>5507.43</v>
      </c>
      <c r="N892" s="36" t="inlineStr">
        <is>
          <t>25 Ağustos 08.00-1 Eylül 07.59</t>
        </is>
      </c>
      <c r="O892" s="37" t="n">
        <v>15.8</v>
      </c>
      <c r="P892" s="38" t="n">
        <v>7669.8</v>
      </c>
      <c r="Q892" s="39"/>
      <c r="R892" s="40" t="n">
        <f>=IF(AND(ISBLANK(Q892), ISBLANK(U892)), "", "7 Günlük Fiyat")</f>
        <v>0.0</v>
      </c>
      <c r="S892" s="41" t="n">
        <f>=IF(OR(Q892="", R892=""), "-", IF(ISNUMBER(SEARCH("7 Günlük", R892)), IF(Q892&lt;=M892, O892, "-"), "-"))</f>
        <v>0.0</v>
      </c>
      <c r="T892" s="42" t="str">
        <f>=IF(ISBLANK(Q892), "", "Hayır")</f>
      </c>
      <c r="U892" s="43"/>
      <c r="V892" s="44" t="inlineStr">
        <is>
          <t>50461ed1-c2c8-4393-967e-55d58a3e2664</t>
        </is>
      </c>
    </row>
    <row r="893">
      <c r="A893" s="23" t="inlineStr">
        <is>
          <t>Toz Ve Nem Alıcı Yolluk Paspas Iş Yeri Paspası Iç Ve Dış Mekan Paspası Rampalı Toz Alıcı Paspas</t>
        </is>
      </c>
      <c r="B893" s="24" t="inlineStr">
        <is>
          <t>770010727</t>
        </is>
      </c>
      <c r="C893" s="25" t="inlineStr">
        <is>
          <t>TOZKONTROL-YP1-GRI-100x1000</t>
        </is>
      </c>
      <c r="D893" s="26" t="inlineStr">
        <is>
          <t>TOZKONTROL-YP1-GRI-100x1000</t>
        </is>
      </c>
      <c r="E893" s="27" t="inlineStr">
        <is>
          <t>100 x 1000</t>
        </is>
      </c>
      <c r="F893" s="28" t="inlineStr">
        <is>
          <t>TOZKONTROL-YP1</t>
        </is>
      </c>
      <c r="G893" s="29" t="inlineStr">
        <is>
          <t>Kapı Önü Paspası</t>
        </is>
      </c>
      <c r="H893" s="30" t="inlineStr">
        <is>
          <t>Paspas Yap</t>
        </is>
      </c>
      <c r="I893" s="31" t="n">
        <v>93.0</v>
      </c>
      <c r="J893" s="32" t="n">
        <v>16738.0</v>
      </c>
      <c r="K893" s="33" t="n">
        <v>14171.31</v>
      </c>
      <c r="L893" s="34" t="n">
        <v>22.0</v>
      </c>
      <c r="M893" s="35" t="n">
        <v>9636.05</v>
      </c>
      <c r="N893" s="36" t="inlineStr">
        <is>
          <t>25 Ağustos 08.00-1 Eylül 07.59</t>
        </is>
      </c>
      <c r="O893" s="37" t="n">
        <v>14.1</v>
      </c>
      <c r="P893" s="38" t="n">
        <v>14171.31</v>
      </c>
      <c r="Q893" s="39"/>
      <c r="R893" s="40" t="n">
        <f>=IF(AND(ISBLANK(Q893), ISBLANK(U893)), "", "7 Günlük Fiyat")</f>
        <v>0.0</v>
      </c>
      <c r="S893" s="41" t="n">
        <f>=IF(OR(Q893="", R893=""), "-", IF(ISNUMBER(SEARCH("7 Günlük", R893)), IF(Q893&lt;=M893, O893, "-"), "-"))</f>
        <v>0.0</v>
      </c>
      <c r="T893" s="42" t="str">
        <f>=IF(ISBLANK(Q893), "", "Hayır")</f>
      </c>
      <c r="U893" s="43"/>
      <c r="V893" s="44" t="inlineStr">
        <is>
          <t>50461ed1-c2c8-4393-967e-55d58a3e2664</t>
        </is>
      </c>
    </row>
    <row r="894">
      <c r="A894" s="23" t="inlineStr">
        <is>
          <t>Toz Ve Nem Alıcı Yolluk Paspas Iş Yeri Paspası Iç Ve Dış Mekan Paspası Rampalı Toz Alıcı Paspas</t>
        </is>
      </c>
      <c r="B894" s="24" t="inlineStr">
        <is>
          <t>770010727</t>
        </is>
      </c>
      <c r="C894" s="25" t="inlineStr">
        <is>
          <t>TOZKONTROL-YP2-100x1400-GRI</t>
        </is>
      </c>
      <c r="D894" s="26" t="inlineStr">
        <is>
          <t>TOZKONTROL-YP2-100x1400-GRI</t>
        </is>
      </c>
      <c r="E894" s="27" t="inlineStr">
        <is>
          <t>100 x 1400</t>
        </is>
      </c>
      <c r="F894" s="28" t="inlineStr">
        <is>
          <t>TOZKONTROL-YP1</t>
        </is>
      </c>
      <c r="G894" s="29" t="inlineStr">
        <is>
          <t>Kapı Önü Paspası</t>
        </is>
      </c>
      <c r="H894" s="30" t="inlineStr">
        <is>
          <t>Paspas Yap</t>
        </is>
      </c>
      <c r="I894" s="31" t="n">
        <v>93.0</v>
      </c>
      <c r="J894" s="32" t="n">
        <v>25490.0</v>
      </c>
      <c r="K894" s="33" t="n">
        <v>25490.0</v>
      </c>
      <c r="L894" s="34" t="n">
        <v>22.0</v>
      </c>
      <c r="M894" s="35" t="n">
        <v>18229.94</v>
      </c>
      <c r="N894" s="36" t="inlineStr">
        <is>
          <t>25 Ağustos 08.00-1 Eylül 07.59</t>
        </is>
      </c>
      <c r="O894" s="37" t="n">
        <v>14.8</v>
      </c>
      <c r="P894" s="38" t="n">
        <v>25490.0</v>
      </c>
      <c r="Q894" s="39"/>
      <c r="R894" s="40" t="n">
        <f>=IF(AND(ISBLANK(Q894), ISBLANK(U894)), "", "7 Günlük Fiyat")</f>
        <v>0.0</v>
      </c>
      <c r="S894" s="41" t="n">
        <f>=IF(OR(Q894="", R894=""), "-", IF(ISNUMBER(SEARCH("7 Günlük", R894)), IF(Q894&lt;=M894, O894, "-"), "-"))</f>
        <v>0.0</v>
      </c>
      <c r="T894" s="42" t="str">
        <f>=IF(ISBLANK(Q894), "", "Hayır")</f>
      </c>
      <c r="U894" s="43"/>
      <c r="V894" s="44" t="inlineStr">
        <is>
          <t>50461ed1-c2c8-4393-967e-55d58a3e2664</t>
        </is>
      </c>
    </row>
    <row r="895">
      <c r="A895" s="23" t="inlineStr">
        <is>
          <t>Toz Ve Nem Alıcı Yolluk Paspas Iş Yeri Paspası Iç Ve Dış Mekan Paspası Rampalı Toz Alıcı Paspas</t>
        </is>
      </c>
      <c r="B895" s="24" t="inlineStr">
        <is>
          <t>770010727</t>
        </is>
      </c>
      <c r="C895" s="25" t="inlineStr">
        <is>
          <t>TOZKONTROL-YP1-GRI-100400</t>
        </is>
      </c>
      <c r="D895" s="26" t="inlineStr">
        <is>
          <t>TOZKONTROL-YP1-GRI-100400</t>
        </is>
      </c>
      <c r="E895" s="27" t="inlineStr">
        <is>
          <t>100 x 400</t>
        </is>
      </c>
      <c r="F895" s="28" t="inlineStr">
        <is>
          <t>TOZKONTROL-YP1</t>
        </is>
      </c>
      <c r="G895" s="29" t="inlineStr">
        <is>
          <t>Kapı Önü Paspası</t>
        </is>
      </c>
      <c r="H895" s="30" t="inlineStr">
        <is>
          <t>Paspas Yap</t>
        </is>
      </c>
      <c r="I895" s="31" t="n">
        <v>93.0</v>
      </c>
      <c r="J895" s="32" t="n">
        <v>7139.0</v>
      </c>
      <c r="K895" s="33" t="n">
        <v>6423.59</v>
      </c>
      <c r="L895" s="34" t="n">
        <v>22.0</v>
      </c>
      <c r="M895" s="35" t="n">
        <v>4438.47</v>
      </c>
      <c r="N895" s="36" t="inlineStr">
        <is>
          <t>25 Ağustos 08.00-1 Eylül 07.59</t>
        </is>
      </c>
      <c r="O895" s="37" t="n">
        <v>14.7</v>
      </c>
      <c r="P895" s="38" t="n">
        <v>6423.59</v>
      </c>
      <c r="Q895" s="39"/>
      <c r="R895" s="40" t="n">
        <f>=IF(AND(ISBLANK(Q895), ISBLANK(U895)), "", "7 Günlük Fiyat")</f>
        <v>0.0</v>
      </c>
      <c r="S895" s="41" t="n">
        <f>=IF(OR(Q895="", R895=""), "-", IF(ISNUMBER(SEARCH("7 Günlük", R895)), IF(Q895&lt;=M895, O895, "-"), "-"))</f>
        <v>0.0</v>
      </c>
      <c r="T895" s="42" t="str">
        <f>=IF(ISBLANK(Q895), "", "Hayır")</f>
      </c>
      <c r="U895" s="43"/>
      <c r="V895" s="44" t="inlineStr">
        <is>
          <t>50461ed1-c2c8-4393-967e-55d58a3e2664</t>
        </is>
      </c>
    </row>
    <row r="896">
      <c r="A896" s="23" t="inlineStr">
        <is>
          <t>Kare Banyo Paspası Kaymaz Paspas Su Emici Islak Zemin Duşa Kabin Küvet Paspası Kivircik 50x50 Cm</t>
        </is>
      </c>
      <c r="B896" s="24" t="inlineStr">
        <is>
          <t>750817972</t>
        </is>
      </c>
      <c r="C896" s="25" t="inlineStr">
        <is>
          <t>KPBP19-5050-GRI</t>
        </is>
      </c>
      <c r="D896" s="26" t="inlineStr">
        <is>
          <t>KPBP19-5050-GRI</t>
        </is>
      </c>
      <c r="E896" s="27"/>
      <c r="F896" s="28" t="inlineStr">
        <is>
          <t>KPBP19</t>
        </is>
      </c>
      <c r="G896" s="29" t="inlineStr">
        <is>
          <t>Banyo Paspası</t>
        </is>
      </c>
      <c r="H896" s="30" t="inlineStr">
        <is>
          <t>Paspas Yap</t>
        </is>
      </c>
      <c r="I896" s="31" t="n">
        <v>92.0</v>
      </c>
      <c r="J896" s="32" t="n">
        <v>493.0</v>
      </c>
      <c r="K896" s="33" t="n">
        <v>438.0</v>
      </c>
      <c r="L896" s="34" t="n">
        <v>20.4</v>
      </c>
      <c r="M896" s="35" t="n">
        <v>378.56</v>
      </c>
      <c r="N896" s="36" t="inlineStr">
        <is>
          <t>25 Ağustos 08.00-1 Eylül 07.59</t>
        </is>
      </c>
      <c r="O896" s="37" t="n">
        <v>16.5</v>
      </c>
      <c r="P896" s="38" t="n">
        <v>438.0</v>
      </c>
      <c r="Q896" s="39"/>
      <c r="R896" s="40" t="n">
        <f>=IF(AND(ISBLANK(Q896), ISBLANK(U896)), "", "7 Günlük Fiyat")</f>
        <v>0.0</v>
      </c>
      <c r="S896" s="41" t="n">
        <f>=IF(OR(Q896="", R896=""), "-", IF(ISNUMBER(SEARCH("7 Günlük", R896)), IF(Q896&lt;=M896, O896, "-"), "-"))</f>
        <v>0.0</v>
      </c>
      <c r="T896" s="42" t="str">
        <f>=IF(ISBLANK(Q896), "", "Hayır")</f>
      </c>
      <c r="U896" s="43"/>
      <c r="V896" s="44" t="inlineStr">
        <is>
          <t>50461ed1-c2c8-4393-967e-55d58a3e2664</t>
        </is>
      </c>
    </row>
    <row r="897">
      <c r="A897" s="23" t="inlineStr">
        <is>
          <t>Rampalı Kıvırcık Paspas Iş Yeri Paspası Su Emici Kaymaz Paspas Kivircik Iş Yeri Paspas Apartman Ofis</t>
        </is>
      </c>
      <c r="B897" s="24" t="inlineStr">
        <is>
          <t>772451081</t>
        </is>
      </c>
      <c r="C897" s="25" t="inlineStr">
        <is>
          <t>KIVIRCIKRAMPALI-KR1-KIRMIZI-100x150</t>
        </is>
      </c>
      <c r="D897" s="26" t="inlineStr">
        <is>
          <t>KIVIRCIKRAMPALI-KR1-KIRMIZI-100x150</t>
        </is>
      </c>
      <c r="E897" s="27" t="inlineStr">
        <is>
          <t>100 x 150</t>
        </is>
      </c>
      <c r="F897" s="28" t="inlineStr">
        <is>
          <t>TYCSS3MAPN169778498328887</t>
        </is>
      </c>
      <c r="G897" s="29" t="inlineStr">
        <is>
          <t>Kapı Önü Paspası</t>
        </is>
      </c>
      <c r="H897" s="30" t="inlineStr">
        <is>
          <t>Paspas Yap</t>
        </is>
      </c>
      <c r="I897" s="31" t="n">
        <v>93.0</v>
      </c>
      <c r="J897" s="32" t="n">
        <v>3157.0</v>
      </c>
      <c r="K897" s="33" t="n">
        <v>3157.0</v>
      </c>
      <c r="L897" s="34" t="n">
        <v>22.0</v>
      </c>
      <c r="M897" s="35" t="n">
        <v>2440.46</v>
      </c>
      <c r="N897" s="36" t="inlineStr">
        <is>
          <t>25 Ağustos 08.00-1 Eylül 07.59</t>
        </is>
      </c>
      <c r="O897" s="37" t="n">
        <v>17.9</v>
      </c>
      <c r="P897" s="38" t="n">
        <v>3157.0</v>
      </c>
      <c r="Q897" s="39"/>
      <c r="R897" s="40" t="n">
        <f>=IF(AND(ISBLANK(Q897), ISBLANK(U897)), "", "7 Günlük Fiyat")</f>
        <v>0.0</v>
      </c>
      <c r="S897" s="41" t="n">
        <f>=IF(OR(Q897="", R897=""), "-", IF(ISNUMBER(SEARCH("7 Günlük", R897)), IF(Q897&lt;=M897, O897, "-"), "-"))</f>
        <v>0.0</v>
      </c>
      <c r="T897" s="42" t="str">
        <f>=IF(ISBLANK(Q897), "", "Hayır")</f>
      </c>
      <c r="U897" s="43"/>
      <c r="V897" s="44" t="inlineStr">
        <is>
          <t>50461ed1-c2c8-4393-967e-55d58a3e2664</t>
        </is>
      </c>
    </row>
    <row r="898">
      <c r="A898" s="23" t="inlineStr">
        <is>
          <t>Rampalı Kıvırcık Paspas Iş Yeri Paspası Su Emici Kaymaz Paspas Kivircik Iş Yeri Paspas Apartman Ofis</t>
        </is>
      </c>
      <c r="B898" s="24" t="inlineStr">
        <is>
          <t>772451081</t>
        </is>
      </c>
      <c r="C898" s="25" t="inlineStr">
        <is>
          <t>KIVIRCIKRAMPALI-KR1-KIRMIZI-60x100</t>
        </is>
      </c>
      <c r="D898" s="26" t="inlineStr">
        <is>
          <t>KIVIRCIKRAMPALI-KR1-KIRMIZI-60x100</t>
        </is>
      </c>
      <c r="E898" s="27" t="inlineStr">
        <is>
          <t>60 x 100</t>
        </is>
      </c>
      <c r="F898" s="28" t="inlineStr">
        <is>
          <t>TYCSS3MAPN169778498328887</t>
        </is>
      </c>
      <c r="G898" s="29" t="inlineStr">
        <is>
          <t>Kapı Önü Paspası</t>
        </is>
      </c>
      <c r="H898" s="30" t="inlineStr">
        <is>
          <t>Paspas Yap</t>
        </is>
      </c>
      <c r="I898" s="31" t="n">
        <v>93.0</v>
      </c>
      <c r="J898" s="32" t="n">
        <v>1858.0</v>
      </c>
      <c r="K898" s="33" t="n">
        <v>1623.45</v>
      </c>
      <c r="L898" s="34" t="n">
        <v>21.4</v>
      </c>
      <c r="M898" s="35" t="n">
        <v>1354.61</v>
      </c>
      <c r="N898" s="36" t="inlineStr">
        <is>
          <t>25 Ağustos 08.00-1 Eylül 07.59</t>
        </is>
      </c>
      <c r="O898" s="37" t="n">
        <v>17.1</v>
      </c>
      <c r="P898" s="38" t="n">
        <v>1623.45</v>
      </c>
      <c r="Q898" s="39"/>
      <c r="R898" s="40" t="n">
        <f>=IF(AND(ISBLANK(Q898), ISBLANK(U898)), "", "7 Günlük Fiyat")</f>
        <v>0.0</v>
      </c>
      <c r="S898" s="41" t="n">
        <f>=IF(OR(Q898="", R898=""), "-", IF(ISNUMBER(SEARCH("7 Günlük", R898)), IF(Q898&lt;=M898, O898, "-"), "-"))</f>
        <v>0.0</v>
      </c>
      <c r="T898" s="42" t="str">
        <f>=IF(ISBLANK(Q898), "", "Hayır")</f>
      </c>
      <c r="U898" s="43"/>
      <c r="V898" s="44" t="inlineStr">
        <is>
          <t>50461ed1-c2c8-4393-967e-55d58a3e2664</t>
        </is>
      </c>
    </row>
    <row r="899">
      <c r="A899" s="23" t="inlineStr">
        <is>
          <t>Rampalı Kıvırcık Paspas Iş Yeri Paspası Su Emici Kaymaz Paspas Kivircik Iş Yeri Paspas Apartman Ofis</t>
        </is>
      </c>
      <c r="B899" s="24" t="inlineStr">
        <is>
          <t>772451081</t>
        </is>
      </c>
      <c r="C899" s="25" t="inlineStr">
        <is>
          <t>KIVIRCIKRAMPALI-KR1-KIRMIZI-40x70</t>
        </is>
      </c>
      <c r="D899" s="26" t="inlineStr">
        <is>
          <t>KIVIRCIKRAMPALI-KR1-KIRMIZI-40x70</t>
        </is>
      </c>
      <c r="E899" s="27" t="inlineStr">
        <is>
          <t>40 x 70</t>
        </is>
      </c>
      <c r="F899" s="28" t="inlineStr">
        <is>
          <t>TYCSS3MAPN169778498328887</t>
        </is>
      </c>
      <c r="G899" s="29" t="inlineStr">
        <is>
          <t>Kapı Önü Paspası</t>
        </is>
      </c>
      <c r="H899" s="30" t="inlineStr">
        <is>
          <t>Paspas Yap</t>
        </is>
      </c>
      <c r="I899" s="31" t="n">
        <v>93.0</v>
      </c>
      <c r="J899" s="32" t="n">
        <v>1062.0</v>
      </c>
      <c r="K899" s="33" t="n">
        <v>955.8</v>
      </c>
      <c r="L899" s="34" t="n">
        <v>22.0</v>
      </c>
      <c r="M899" s="35" t="n">
        <v>784.09</v>
      </c>
      <c r="N899" s="36" t="inlineStr">
        <is>
          <t>25 Ağustos 08.00-1 Eylül 07.59</t>
        </is>
      </c>
      <c r="O899" s="37" t="n">
        <v>18.0</v>
      </c>
      <c r="P899" s="38" t="n">
        <v>955.8</v>
      </c>
      <c r="Q899" s="39"/>
      <c r="R899" s="40" t="n">
        <f>=IF(AND(ISBLANK(Q899), ISBLANK(U899)), "", "7 Günlük Fiyat")</f>
        <v>0.0</v>
      </c>
      <c r="S899" s="41" t="n">
        <f>=IF(OR(Q899="", R899=""), "-", IF(ISNUMBER(SEARCH("7 Günlük", R899)), IF(Q899&lt;=M899, O899, "-"), "-"))</f>
        <v>0.0</v>
      </c>
      <c r="T899" s="42" t="str">
        <f>=IF(ISBLANK(Q899), "", "Hayır")</f>
      </c>
      <c r="U899" s="43"/>
      <c r="V899" s="44" t="inlineStr">
        <is>
          <t>50461ed1-c2c8-4393-967e-55d58a3e2664</t>
        </is>
      </c>
    </row>
    <row r="900">
      <c r="A900" s="23" t="inlineStr">
        <is>
          <t>Rampalı Kıvırcık Paspas Iş Yeri Paspası Su Emici Kaymaz Paspas Kivircik Iş Yeri Paspas Apartman Ofis</t>
        </is>
      </c>
      <c r="B900" s="24" t="inlineStr">
        <is>
          <t>772451081</t>
        </is>
      </c>
      <c r="C900" s="25" t="inlineStr">
        <is>
          <t>KIVIRCIKRAMPALI-KR1-KIRMIZI-100x1000</t>
        </is>
      </c>
      <c r="D900" s="26" t="inlineStr">
        <is>
          <t>KIVIRCIKRAMPALI-KR1-KIRMIZI-100x1000</t>
        </is>
      </c>
      <c r="E900" s="27" t="inlineStr">
        <is>
          <t>100 x 1000</t>
        </is>
      </c>
      <c r="F900" s="28" t="inlineStr">
        <is>
          <t>TYCSS3MAPN169778498328887</t>
        </is>
      </c>
      <c r="G900" s="29" t="inlineStr">
        <is>
          <t>Kapı Önü Paspası</t>
        </is>
      </c>
      <c r="H900" s="30" t="inlineStr">
        <is>
          <t>Paspas Yap</t>
        </is>
      </c>
      <c r="I900" s="31" t="n">
        <v>93.0</v>
      </c>
      <c r="J900" s="32" t="n">
        <v>18373.0</v>
      </c>
      <c r="K900" s="33" t="n">
        <v>17103.62</v>
      </c>
      <c r="L900" s="34" t="n">
        <v>22.0</v>
      </c>
      <c r="M900" s="35" t="n">
        <v>12674.08</v>
      </c>
      <c r="N900" s="36" t="inlineStr">
        <is>
          <t>25 Ağustos 08.00-1 Eylül 07.59</t>
        </is>
      </c>
      <c r="O900" s="37" t="n">
        <v>16.3</v>
      </c>
      <c r="P900" s="38" t="n">
        <v>17103.62</v>
      </c>
      <c r="Q900" s="39"/>
      <c r="R900" s="40" t="n">
        <f>=IF(AND(ISBLANK(Q900), ISBLANK(U900)), "", "7 Günlük Fiyat")</f>
        <v>0.0</v>
      </c>
      <c r="S900" s="41" t="n">
        <f>=IF(OR(Q900="", R900=""), "-", IF(ISNUMBER(SEARCH("7 Günlük", R900)), IF(Q900&lt;=M900, O900, "-"), "-"))</f>
        <v>0.0</v>
      </c>
      <c r="T900" s="42" t="str">
        <f>=IF(ISBLANK(Q900), "", "Hayır")</f>
      </c>
      <c r="U900" s="43"/>
      <c r="V900" s="44" t="inlineStr">
        <is>
          <t>50461ed1-c2c8-4393-967e-55d58a3e2664</t>
        </is>
      </c>
    </row>
    <row r="901">
      <c r="A901" s="23" t="inlineStr">
        <is>
          <t>Rampalı Kıvırcık Paspas Iş Yeri Paspası Su Emici Kaymaz Paspas Kivircik Iş Yeri Paspas Apartman Ofis</t>
        </is>
      </c>
      <c r="B901" s="24" t="inlineStr">
        <is>
          <t>772451081</t>
        </is>
      </c>
      <c r="C901" s="25" t="inlineStr">
        <is>
          <t>KIVIRCIKRAMPALI-KR1-KIRMIZI-100x800</t>
        </is>
      </c>
      <c r="D901" s="26" t="inlineStr">
        <is>
          <t>KIVIRCIKRAMPALI-KR1-KIRMIZI-100x800</t>
        </is>
      </c>
      <c r="E901" s="27" t="inlineStr">
        <is>
          <t>100 x 800</t>
        </is>
      </c>
      <c r="F901" s="28" t="inlineStr">
        <is>
          <t>TYCSS3MAPN169778498328887</t>
        </is>
      </c>
      <c r="G901" s="29" t="inlineStr">
        <is>
          <t>Kapı Önü Paspası</t>
        </is>
      </c>
      <c r="H901" s="30" t="inlineStr">
        <is>
          <t>Paspas Yap</t>
        </is>
      </c>
      <c r="I901" s="31" t="n">
        <v>93.0</v>
      </c>
      <c r="J901" s="32" t="n">
        <v>15030.0</v>
      </c>
      <c r="K901" s="33" t="n">
        <v>14055.47</v>
      </c>
      <c r="L901" s="34" t="n">
        <v>22.0</v>
      </c>
      <c r="M901" s="35" t="n">
        <v>10549.24</v>
      </c>
      <c r="N901" s="36" t="inlineStr">
        <is>
          <t>25 Ağustos 08.00-1 Eylül 07.59</t>
        </is>
      </c>
      <c r="O901" s="37" t="n">
        <v>16.5</v>
      </c>
      <c r="P901" s="38" t="n">
        <v>14055.47</v>
      </c>
      <c r="Q901" s="39"/>
      <c r="R901" s="40" t="n">
        <f>=IF(AND(ISBLANK(Q901), ISBLANK(U901)), "", "7 Günlük Fiyat")</f>
        <v>0.0</v>
      </c>
      <c r="S901" s="41" t="n">
        <f>=IF(OR(Q901="", R901=""), "-", IF(ISNUMBER(SEARCH("7 Günlük", R901)), IF(Q901&lt;=M901, O901, "-"), "-"))</f>
        <v>0.0</v>
      </c>
      <c r="T901" s="42" t="str">
        <f>=IF(ISBLANK(Q901), "", "Hayır")</f>
      </c>
      <c r="U901" s="43"/>
      <c r="V901" s="44" t="inlineStr">
        <is>
          <t>50461ed1-c2c8-4393-967e-55d58a3e2664</t>
        </is>
      </c>
    </row>
    <row r="902">
      <c r="A902" s="23" t="inlineStr">
        <is>
          <t>Rampalı Kıvırcık Paspas Iş Yeri Paspası Su Emici Kaymaz Paspas Kivircik Iş Yeri Paspas Apartman Ofis</t>
        </is>
      </c>
      <c r="B902" s="24" t="inlineStr">
        <is>
          <t>772451081</t>
        </is>
      </c>
      <c r="C902" s="25" t="inlineStr">
        <is>
          <t>KIVIRCIKRAMPALI-KR1-KIRMIZI-100x400</t>
        </is>
      </c>
      <c r="D902" s="26" t="inlineStr">
        <is>
          <t>KIVIRCIKRAMPALI-KR1-KIRMIZI-100x400</t>
        </is>
      </c>
      <c r="E902" s="27" t="inlineStr">
        <is>
          <t>100 x 400</t>
        </is>
      </c>
      <c r="F902" s="28" t="inlineStr">
        <is>
          <t>TYCSS3MAPN169778498328887</t>
        </is>
      </c>
      <c r="G902" s="29" t="inlineStr">
        <is>
          <t>Kapı Önü Paspası</t>
        </is>
      </c>
      <c r="H902" s="30" t="inlineStr">
        <is>
          <t>Paspas Yap</t>
        </is>
      </c>
      <c r="I902" s="31" t="n">
        <v>93.0</v>
      </c>
      <c r="J902" s="32" t="n">
        <v>8102.0</v>
      </c>
      <c r="K902" s="33" t="n">
        <v>7482.36</v>
      </c>
      <c r="L902" s="34" t="n">
        <v>22.0</v>
      </c>
      <c r="M902" s="35" t="n">
        <v>5388.73</v>
      </c>
      <c r="N902" s="36" t="inlineStr">
        <is>
          <t>25 Ağustos 08.00-1 Eylül 07.59</t>
        </is>
      </c>
      <c r="O902" s="37" t="n">
        <v>15.5</v>
      </c>
      <c r="P902" s="38" t="n">
        <v>7482.36</v>
      </c>
      <c r="Q902" s="39"/>
      <c r="R902" s="40" t="n">
        <f>=IF(AND(ISBLANK(Q902), ISBLANK(U902)), "", "7 Günlük Fiyat")</f>
        <v>0.0</v>
      </c>
      <c r="S902" s="41" t="n">
        <f>=IF(OR(Q902="", R902=""), "-", IF(ISNUMBER(SEARCH("7 Günlük", R902)), IF(Q902&lt;=M902, O902, "-"), "-"))</f>
        <v>0.0</v>
      </c>
      <c r="T902" s="42" t="str">
        <f>=IF(ISBLANK(Q902), "", "Hayır")</f>
      </c>
      <c r="U902" s="43"/>
      <c r="V902" s="44" t="inlineStr">
        <is>
          <t>50461ed1-c2c8-4393-967e-55d58a3e2664</t>
        </is>
      </c>
    </row>
    <row r="903">
      <c r="A903" s="23" t="inlineStr">
        <is>
          <t>Rampalı Kıvırcık Paspas Iş Yeri Paspası Su Emici Kaymaz Paspas Kivircik Iş Yeri Paspas Apartman Ofis</t>
        </is>
      </c>
      <c r="B903" s="24" t="inlineStr">
        <is>
          <t>772451081</t>
        </is>
      </c>
      <c r="C903" s="25" t="inlineStr">
        <is>
          <t>KIVIRCIKRAMPALI-KR1-KIRMIZI-100x300</t>
        </is>
      </c>
      <c r="D903" s="26" t="inlineStr">
        <is>
          <t>KIVIRCIKRAMPALI-KR1-KIRMIZI-100x300</t>
        </is>
      </c>
      <c r="E903" s="27" t="inlineStr">
        <is>
          <t>100 x 300</t>
        </is>
      </c>
      <c r="F903" s="28" t="inlineStr">
        <is>
          <t>TYCSS3MAPN169778498328887</t>
        </is>
      </c>
      <c r="G903" s="29" t="inlineStr">
        <is>
          <t>Kapı Önü Paspası</t>
        </is>
      </c>
      <c r="H903" s="30" t="inlineStr">
        <is>
          <t>Paspas Yap</t>
        </is>
      </c>
      <c r="I903" s="31" t="n">
        <v>93.0</v>
      </c>
      <c r="J903" s="32" t="n">
        <v>5459.0</v>
      </c>
      <c r="K903" s="33" t="n">
        <v>5048.5</v>
      </c>
      <c r="L903" s="34" t="n">
        <v>22.0</v>
      </c>
      <c r="M903" s="35" t="n">
        <v>3793.63</v>
      </c>
      <c r="N903" s="36" t="inlineStr">
        <is>
          <t>25 Ağustos 08.00-1 Eylül 07.59</t>
        </is>
      </c>
      <c r="O903" s="37" t="n">
        <v>16.4</v>
      </c>
      <c r="P903" s="38" t="n">
        <v>5048.5</v>
      </c>
      <c r="Q903" s="39"/>
      <c r="R903" s="40" t="n">
        <f>=IF(AND(ISBLANK(Q903), ISBLANK(U903)), "", "7 Günlük Fiyat")</f>
        <v>0.0</v>
      </c>
      <c r="S903" s="41" t="n">
        <f>=IF(OR(Q903="", R903=""), "-", IF(ISNUMBER(SEARCH("7 Günlük", R903)), IF(Q903&lt;=M903, O903, "-"), "-"))</f>
        <v>0.0</v>
      </c>
      <c r="T903" s="42" t="str">
        <f>=IF(ISBLANK(Q903), "", "Hayır")</f>
      </c>
      <c r="U903" s="43"/>
      <c r="V903" s="44" t="inlineStr">
        <is>
          <t>50461ed1-c2c8-4393-967e-55d58a3e2664</t>
        </is>
      </c>
    </row>
    <row r="904">
      <c r="A904" s="23" t="inlineStr">
        <is>
          <t>Rampalı Kıvırcık Paspas Iş Yeri Paspası Su Emici Kaymaz Paspas Kivircik Iş Yeri Paspas Apartman Ofis</t>
        </is>
      </c>
      <c r="B904" s="24" t="inlineStr">
        <is>
          <t>772451081</t>
        </is>
      </c>
      <c r="C904" s="25" t="inlineStr">
        <is>
          <t>KIVIRCIKRAMPALI-KR1-KIRMIZI-100x500</t>
        </is>
      </c>
      <c r="D904" s="26" t="inlineStr">
        <is>
          <t>KIVIRCIKRAMPALI-KR1-KIRMIZI-100x500</t>
        </is>
      </c>
      <c r="E904" s="27" t="inlineStr">
        <is>
          <t>100 x 500</t>
        </is>
      </c>
      <c r="F904" s="28" t="inlineStr">
        <is>
          <t>TYCSS3MAPN169778498328887</t>
        </is>
      </c>
      <c r="G904" s="29" t="inlineStr">
        <is>
          <t>Kapı Önü Paspası</t>
        </is>
      </c>
      <c r="H904" s="30" t="inlineStr">
        <is>
          <t>Paspas Yap</t>
        </is>
      </c>
      <c r="I904" s="31" t="n">
        <v>93.0</v>
      </c>
      <c r="J904" s="32" t="n">
        <v>9870.0</v>
      </c>
      <c r="K904" s="33" t="n">
        <v>9185.32</v>
      </c>
      <c r="L904" s="34" t="n">
        <v>22.0</v>
      </c>
      <c r="M904" s="35" t="n">
        <v>6671.04</v>
      </c>
      <c r="N904" s="36" t="inlineStr">
        <is>
          <t>25 Ağustos 08.00-1 Eylül 07.59</t>
        </is>
      </c>
      <c r="O904" s="37" t="n">
        <v>15.8</v>
      </c>
      <c r="P904" s="38" t="n">
        <v>9185.32</v>
      </c>
      <c r="Q904" s="39"/>
      <c r="R904" s="40" t="n">
        <f>=IF(AND(ISBLANK(Q904), ISBLANK(U904)), "", "7 Günlük Fiyat")</f>
        <v>0.0</v>
      </c>
      <c r="S904" s="41" t="n">
        <f>=IF(OR(Q904="", R904=""), "-", IF(ISNUMBER(SEARCH("7 Günlük", R904)), IF(Q904&lt;=M904, O904, "-"), "-"))</f>
        <v>0.0</v>
      </c>
      <c r="T904" s="42" t="str">
        <f>=IF(ISBLANK(Q904), "", "Hayır")</f>
      </c>
      <c r="U904" s="43"/>
      <c r="V904" s="44" t="inlineStr">
        <is>
          <t>50461ed1-c2c8-4393-967e-55d58a3e2664</t>
        </is>
      </c>
    </row>
    <row r="905">
      <c r="A905" s="23" t="inlineStr">
        <is>
          <t>Rampalı Kıvırcık Paspas Iş Yeri Paspası Su Emici Kaymaz Paspas Kivircik Iş Yeri Paspas Apartman Ofis</t>
        </is>
      </c>
      <c r="B905" s="24" t="inlineStr">
        <is>
          <t>772451081</t>
        </is>
      </c>
      <c r="C905" s="25" t="inlineStr">
        <is>
          <t>KIVIRCIKRAMPALI-KR1-KIRMIZI-100x600</t>
        </is>
      </c>
      <c r="D905" s="26" t="inlineStr">
        <is>
          <t>KIVIRCIKRAMPALI-KR1-KIRMIZI-100x600</t>
        </is>
      </c>
      <c r="E905" s="27" t="inlineStr">
        <is>
          <t>100 x 600</t>
        </is>
      </c>
      <c r="F905" s="28" t="inlineStr">
        <is>
          <t>TYCSS3MAPN169778498328887</t>
        </is>
      </c>
      <c r="G905" s="29" t="inlineStr">
        <is>
          <t>Kapı Önü Paspası</t>
        </is>
      </c>
      <c r="H905" s="30" t="inlineStr">
        <is>
          <t>Paspas Yap</t>
        </is>
      </c>
      <c r="I905" s="31" t="n">
        <v>93.0</v>
      </c>
      <c r="J905" s="32" t="n">
        <v>12312.0</v>
      </c>
      <c r="K905" s="33" t="n">
        <v>11144.09</v>
      </c>
      <c r="L905" s="34" t="n">
        <v>22.0</v>
      </c>
      <c r="M905" s="35" t="n">
        <v>8032.52</v>
      </c>
      <c r="N905" s="36" t="inlineStr">
        <is>
          <t>25 Ağustos 08.00-1 Eylül 07.59</t>
        </is>
      </c>
      <c r="O905" s="37" t="n">
        <v>15.4</v>
      </c>
      <c r="P905" s="38" t="n">
        <v>11144.09</v>
      </c>
      <c r="Q905" s="39"/>
      <c r="R905" s="40" t="n">
        <f>=IF(AND(ISBLANK(Q905), ISBLANK(U905)), "", "7 Günlük Fiyat")</f>
        <v>0.0</v>
      </c>
      <c r="S905" s="41" t="n">
        <f>=IF(OR(Q905="", R905=""), "-", IF(ISNUMBER(SEARCH("7 Günlük", R905)), IF(Q905&lt;=M905, O905, "-"), "-"))</f>
        <v>0.0</v>
      </c>
      <c r="T905" s="42" t="str">
        <f>=IF(ISBLANK(Q905), "", "Hayır")</f>
      </c>
      <c r="U905" s="43"/>
      <c r="V905" s="44" t="inlineStr">
        <is>
          <t>50461ed1-c2c8-4393-967e-55d58a3e2664</t>
        </is>
      </c>
    </row>
    <row r="906">
      <c r="A906" s="23" t="inlineStr">
        <is>
          <t>Rampalı Kıvırcık Paspas Iş Yeri Paspası Su Emici Kaymaz Paspas Kivircik Iş Yeri Paspas Apartman Ofis</t>
        </is>
      </c>
      <c r="B906" s="24" t="inlineStr">
        <is>
          <t>772451081</t>
        </is>
      </c>
      <c r="C906" s="25" t="inlineStr">
        <is>
          <t>KIVIRCIKRAMPALI-KR1-KIRMIZI-120x180</t>
        </is>
      </c>
      <c r="D906" s="26" t="inlineStr">
        <is>
          <t>KIVIRCIKRAMPALI-KR1-KIRMIZI-120x180</t>
        </is>
      </c>
      <c r="E906" s="27" t="inlineStr">
        <is>
          <t>120 x 180</t>
        </is>
      </c>
      <c r="F906" s="28" t="inlineStr">
        <is>
          <t>TYCSS3MAPN169778498328887</t>
        </is>
      </c>
      <c r="G906" s="29" t="inlineStr">
        <is>
          <t>Kapı Önü Paspası</t>
        </is>
      </c>
      <c r="H906" s="30" t="inlineStr">
        <is>
          <t>Paspas Yap</t>
        </is>
      </c>
      <c r="I906" s="31" t="n">
        <v>93.0</v>
      </c>
      <c r="J906" s="32" t="n">
        <v>4232.0</v>
      </c>
      <c r="K906" s="33" t="n">
        <v>3910.11</v>
      </c>
      <c r="L906" s="34" t="n">
        <v>22.0</v>
      </c>
      <c r="M906" s="35" t="n">
        <v>2942.92</v>
      </c>
      <c r="N906" s="36" t="inlineStr">
        <is>
          <t>25 Ağustos 08.00-1 Eylül 07.59</t>
        </is>
      </c>
      <c r="O906" s="37" t="n">
        <v>16.5</v>
      </c>
      <c r="P906" s="38" t="n">
        <v>3910.11</v>
      </c>
      <c r="Q906" s="39"/>
      <c r="R906" s="40" t="n">
        <f>=IF(AND(ISBLANK(Q906), ISBLANK(U906)), "", "7 Günlük Fiyat")</f>
        <v>0.0</v>
      </c>
      <c r="S906" s="41" t="n">
        <f>=IF(OR(Q906="", R906=""), "-", IF(ISNUMBER(SEARCH("7 Günlük", R906)), IF(Q906&lt;=M906, O906, "-"), "-"))</f>
        <v>0.0</v>
      </c>
      <c r="T906" s="42" t="str">
        <f>=IF(ISBLANK(Q906), "", "Hayır")</f>
      </c>
      <c r="U906" s="43"/>
      <c r="V906" s="44" t="inlineStr">
        <is>
          <t>50461ed1-c2c8-4393-967e-55d58a3e2664</t>
        </is>
      </c>
    </row>
    <row r="907">
      <c r="A907" s="23" t="inlineStr">
        <is>
          <t>Rampalı Kıvırcık Paspas Iş Yeri Paspası Su Emici Kaymaz Paspas Kivircik Iş Yeri Paspas Apartman Ofis</t>
        </is>
      </c>
      <c r="B907" s="24" t="inlineStr">
        <is>
          <t>772451081</t>
        </is>
      </c>
      <c r="C907" s="25" t="inlineStr">
        <is>
          <t>KIVIRCIKRAMPALI-KR1-KIRMIZI-100x900</t>
        </is>
      </c>
      <c r="D907" s="26" t="inlineStr">
        <is>
          <t>KIVIRCIKRAMPALI-KR1-KIRMIZI-100x900</t>
        </is>
      </c>
      <c r="E907" s="27" t="inlineStr">
        <is>
          <t>100 x 900</t>
        </is>
      </c>
      <c r="F907" s="28" t="inlineStr">
        <is>
          <t>TYCSS3MAPN169778498328887</t>
        </is>
      </c>
      <c r="G907" s="29" t="inlineStr">
        <is>
          <t>Kapı Önü Paspası</t>
        </is>
      </c>
      <c r="H907" s="30" t="inlineStr">
        <is>
          <t>Paspas Yap</t>
        </is>
      </c>
      <c r="I907" s="31" t="n">
        <v>93.0</v>
      </c>
      <c r="J907" s="32" t="n">
        <v>16749.0</v>
      </c>
      <c r="K907" s="33" t="n">
        <v>15722.96</v>
      </c>
      <c r="L907" s="34" t="n">
        <v>22.0</v>
      </c>
      <c r="M907" s="35" t="n">
        <v>11613.34</v>
      </c>
      <c r="N907" s="36" t="inlineStr">
        <is>
          <t>25 Ağustos 08.00-1 Eylül 07.59</t>
        </is>
      </c>
      <c r="O907" s="37" t="n">
        <v>16.3</v>
      </c>
      <c r="P907" s="38" t="n">
        <v>15722.96</v>
      </c>
      <c r="Q907" s="39"/>
      <c r="R907" s="40" t="n">
        <f>=IF(AND(ISBLANK(Q907), ISBLANK(U907)), "", "7 Günlük Fiyat")</f>
        <v>0.0</v>
      </c>
      <c r="S907" s="41" t="n">
        <f>=IF(OR(Q907="", R907=""), "-", IF(ISNUMBER(SEARCH("7 Günlük", R907)), IF(Q907&lt;=M907, O907, "-"), "-"))</f>
        <v>0.0</v>
      </c>
      <c r="T907" s="42" t="str">
        <f>=IF(ISBLANK(Q907), "", "Hayır")</f>
      </c>
      <c r="U907" s="43"/>
      <c r="V907" s="44" t="inlineStr">
        <is>
          <t>50461ed1-c2c8-4393-967e-55d58a3e2664</t>
        </is>
      </c>
    </row>
    <row r="908">
      <c r="A908" s="23" t="inlineStr">
        <is>
          <t>Rampalı Kıvırcık Paspas Iş Yeri Paspası Su Emici Kaymaz Paspas Kivircik Iş Yeri Paspas Apartman Ofis</t>
        </is>
      </c>
      <c r="B908" s="24" t="inlineStr">
        <is>
          <t>772451081</t>
        </is>
      </c>
      <c r="C908" s="25" t="inlineStr">
        <is>
          <t>KIVIRCIKRAMPALI-KR1-KIRMIZI-50x90</t>
        </is>
      </c>
      <c r="D908" s="26" t="inlineStr">
        <is>
          <t>KIVIRCIKRAMPALI-KR1-KIRMIZI-50x90</t>
        </is>
      </c>
      <c r="E908" s="27" t="inlineStr">
        <is>
          <t>50 x 90</t>
        </is>
      </c>
      <c r="F908" s="28" t="inlineStr">
        <is>
          <t>TYCSS3MAPN169778498328887</t>
        </is>
      </c>
      <c r="G908" s="29" t="inlineStr">
        <is>
          <t>Kapı Önü Paspası</t>
        </is>
      </c>
      <c r="H908" s="30" t="inlineStr">
        <is>
          <t>Paspas Yap</t>
        </is>
      </c>
      <c r="I908" s="31" t="n">
        <v>93.0</v>
      </c>
      <c r="J908" s="32" t="n">
        <v>1374.0</v>
      </c>
      <c r="K908" s="33" t="n">
        <v>1187.85</v>
      </c>
      <c r="L908" s="34" t="n">
        <v>22.0</v>
      </c>
      <c r="M908" s="35" t="n">
        <v>946.08</v>
      </c>
      <c r="N908" s="36" t="inlineStr">
        <is>
          <t>25 Ağustos 08.00-1 Eylül 07.59</t>
        </is>
      </c>
      <c r="O908" s="37" t="n">
        <v>16.8</v>
      </c>
      <c r="P908" s="38" t="n">
        <v>1187.85</v>
      </c>
      <c r="Q908" s="39"/>
      <c r="R908" s="40" t="n">
        <f>=IF(AND(ISBLANK(Q908), ISBLANK(U908)), "", "7 Günlük Fiyat")</f>
        <v>0.0</v>
      </c>
      <c r="S908" s="41" t="n">
        <f>=IF(OR(Q908="", R908=""), "-", IF(ISNUMBER(SEARCH("7 Günlük", R908)), IF(Q908&lt;=M908, O908, "-"), "-"))</f>
        <v>0.0</v>
      </c>
      <c r="T908" s="42" t="str">
        <f>=IF(ISBLANK(Q908), "", "Hayır")</f>
      </c>
      <c r="U908" s="43"/>
      <c r="V908" s="44" t="inlineStr">
        <is>
          <t>50461ed1-c2c8-4393-967e-55d58a3e2664</t>
        </is>
      </c>
    </row>
    <row r="909">
      <c r="A909" s="23" t="inlineStr">
        <is>
          <t>Rampalı Kıvırcık Paspas Iş Yeri Paspası Su Emici Kaymaz Paspas Kivircik Iş Yeri Paspas Apartman Ofis</t>
        </is>
      </c>
      <c r="B909" s="24" t="inlineStr">
        <is>
          <t>772451081</t>
        </is>
      </c>
      <c r="C909" s="25" t="inlineStr">
        <is>
          <t>KIVIRCIKRAMPALI-KR1-KIRMIZI-33x60</t>
        </is>
      </c>
      <c r="D909" s="26" t="inlineStr">
        <is>
          <t>KIVIRCIKRAMPALI-KR1-KIRMIZI-33x60</t>
        </is>
      </c>
      <c r="E909" s="27" t="inlineStr">
        <is>
          <t>33 x 60</t>
        </is>
      </c>
      <c r="F909" s="28" t="inlineStr">
        <is>
          <t>TYCSS3MAPN169778498328887</t>
        </is>
      </c>
      <c r="G909" s="29" t="inlineStr">
        <is>
          <t>Kapı Önü Paspası</t>
        </is>
      </c>
      <c r="H909" s="30" t="inlineStr">
        <is>
          <t>Paspas Yap</t>
        </is>
      </c>
      <c r="I909" s="31" t="n">
        <v>93.0</v>
      </c>
      <c r="J909" s="32" t="n">
        <v>812.0</v>
      </c>
      <c r="K909" s="33" t="n">
        <v>812.0</v>
      </c>
      <c r="L909" s="34" t="n">
        <v>22.0</v>
      </c>
      <c r="M909" s="35" t="n">
        <v>592.53</v>
      </c>
      <c r="N909" s="36" t="inlineStr">
        <is>
          <t>25 Ağustos 08.00-1 Eylül 07.59</t>
        </is>
      </c>
      <c r="O909" s="37" t="n">
        <v>16.3</v>
      </c>
      <c r="P909" s="38" t="n">
        <v>812.0</v>
      </c>
      <c r="Q909" s="39"/>
      <c r="R909" s="40" t="n">
        <f>=IF(AND(ISBLANK(Q909), ISBLANK(U909)), "", "7 Günlük Fiyat")</f>
        <v>0.0</v>
      </c>
      <c r="S909" s="41" t="n">
        <f>=IF(OR(Q909="", R909=""), "-", IF(ISNUMBER(SEARCH("7 Günlük", R909)), IF(Q909&lt;=M909, O909, "-"), "-"))</f>
        <v>0.0</v>
      </c>
      <c r="T909" s="42" t="str">
        <f>=IF(ISBLANK(Q909), "", "Hayır")</f>
      </c>
      <c r="U909" s="43"/>
      <c r="V909" s="44" t="inlineStr">
        <is>
          <t>50461ed1-c2c8-4393-967e-55d58a3e2664</t>
        </is>
      </c>
    </row>
    <row r="910">
      <c r="A910" s="23" t="inlineStr">
        <is>
          <t>Rampalı Kıvırcık Paspas Iş Yeri Paspası Su Emici Kaymaz Paspas Kivircik Iş Yeri Paspas Apartman Ofis</t>
        </is>
      </c>
      <c r="B910" s="24" t="inlineStr">
        <is>
          <t>772451081</t>
        </is>
      </c>
      <c r="C910" s="25" t="inlineStr">
        <is>
          <t>KIVIRCIKRAMPALI-KR1-KIRMIZI-100x700</t>
        </is>
      </c>
      <c r="D910" s="26" t="inlineStr">
        <is>
          <t>KIVIRCIKRAMPALI-KR1-KIRMIZI-100x700</t>
        </is>
      </c>
      <c r="E910" s="27" t="inlineStr">
        <is>
          <t>100 x 700</t>
        </is>
      </c>
      <c r="F910" s="28" t="inlineStr">
        <is>
          <t>TYCSS3MAPN169778498328887</t>
        </is>
      </c>
      <c r="G910" s="29" t="inlineStr">
        <is>
          <t>Kapı Önü Paspası</t>
        </is>
      </c>
      <c r="H910" s="30" t="inlineStr">
        <is>
          <t>Paspas Yap</t>
        </is>
      </c>
      <c r="I910" s="31" t="n">
        <v>93.0</v>
      </c>
      <c r="J910" s="32" t="n">
        <v>13558.0</v>
      </c>
      <c r="K910" s="33" t="n">
        <v>12697.48</v>
      </c>
      <c r="L910" s="34" t="n">
        <v>22.0</v>
      </c>
      <c r="M910" s="35" t="n">
        <v>9686.97</v>
      </c>
      <c r="N910" s="36" t="inlineStr">
        <is>
          <t>25 Ağustos 08.00-1 Eylül 07.59</t>
        </is>
      </c>
      <c r="O910" s="37" t="n">
        <v>16.9</v>
      </c>
      <c r="P910" s="38" t="n">
        <v>12697.48</v>
      </c>
      <c r="Q910" s="39"/>
      <c r="R910" s="40" t="n">
        <f>=IF(AND(ISBLANK(Q910), ISBLANK(U910)), "", "7 Günlük Fiyat")</f>
        <v>0.0</v>
      </c>
      <c r="S910" s="41" t="n">
        <f>=IF(OR(Q910="", R910=""), "-", IF(ISNUMBER(SEARCH("7 Günlük", R910)), IF(Q910&lt;=M910, O910, "-"), "-"))</f>
        <v>0.0</v>
      </c>
      <c r="T910" s="42" t="str">
        <f>=IF(ISBLANK(Q910), "", "Hayır")</f>
      </c>
      <c r="U910" s="43"/>
      <c r="V910" s="44" t="inlineStr">
        <is>
          <t>50461ed1-c2c8-4393-967e-55d58a3e2664</t>
        </is>
      </c>
    </row>
    <row r="911">
      <c r="A911" s="23" t="inlineStr">
        <is>
          <t>Rampalı Kıvırcık Paspas Iş Yeri Paspası Su Emici Kaymaz Paspas Kivircik Iş Yeri Paspas Apartman Ofis</t>
        </is>
      </c>
      <c r="B911" s="24" t="inlineStr">
        <is>
          <t>772451081</t>
        </is>
      </c>
      <c r="C911" s="25" t="inlineStr">
        <is>
          <t>KIVIRCIKRAMPALI-KR1-KIRMIZI-100x200</t>
        </is>
      </c>
      <c r="D911" s="26" t="inlineStr">
        <is>
          <t>KIVIRCIKRAMPALI-KR1-KIRMIZI-100x200</t>
        </is>
      </c>
      <c r="E911" s="27" t="inlineStr">
        <is>
          <t>100 x 200</t>
        </is>
      </c>
      <c r="F911" s="28" t="inlineStr">
        <is>
          <t>TYCSS3MAPN169778498328887</t>
        </is>
      </c>
      <c r="G911" s="29" t="inlineStr">
        <is>
          <t>Kapı Önü Paspası</t>
        </is>
      </c>
      <c r="H911" s="30" t="inlineStr">
        <is>
          <t>Paspas Yap</t>
        </is>
      </c>
      <c r="I911" s="31" t="n">
        <v>93.0</v>
      </c>
      <c r="J911" s="32" t="n">
        <v>3830.0</v>
      </c>
      <c r="K911" s="33" t="n">
        <v>3496.58</v>
      </c>
      <c r="L911" s="34" t="n">
        <v>22.0</v>
      </c>
      <c r="M911" s="35" t="n">
        <v>2548.87</v>
      </c>
      <c r="N911" s="36" t="inlineStr">
        <is>
          <t>25 Ağustos 08.00-1 Eylül 07.59</t>
        </is>
      </c>
      <c r="O911" s="37" t="n">
        <v>15.8</v>
      </c>
      <c r="P911" s="38" t="n">
        <v>3496.58</v>
      </c>
      <c r="Q911" s="39"/>
      <c r="R911" s="40" t="n">
        <f>=IF(AND(ISBLANK(Q911), ISBLANK(U911)), "", "7 Günlük Fiyat")</f>
        <v>0.0</v>
      </c>
      <c r="S911" s="41" t="n">
        <f>=IF(OR(Q911="", R911=""), "-", IF(ISNUMBER(SEARCH("7 Günlük", R911)), IF(Q911&lt;=M911, O911, "-"), "-"))</f>
        <v>0.0</v>
      </c>
      <c r="T911" s="42" t="str">
        <f>=IF(ISBLANK(Q911), "", "Hayır")</f>
      </c>
      <c r="U911" s="43"/>
      <c r="V911" s="44" t="inlineStr">
        <is>
          <t>50461ed1-c2c8-4393-967e-55d58a3e2664</t>
        </is>
      </c>
    </row>
    <row r="912">
      <c r="A912" s="23" t="inlineStr">
        <is>
          <t>Rampalı Kıvırcık Paspas Iş Yeri Paspası Su Emici Kaymaz Paspas Kivircik Iş Yeri Paspas Apartman Ofis</t>
        </is>
      </c>
      <c r="B912" s="24" t="inlineStr">
        <is>
          <t>772451081</t>
        </is>
      </c>
      <c r="C912" s="25" t="inlineStr">
        <is>
          <t>KIVIRCIKRAMPALI-KR1-KIRMIZI-80x120</t>
        </is>
      </c>
      <c r="D912" s="26" t="inlineStr">
        <is>
          <t>KIVIRCIKRAMPALI-KR1-KIRMIZI-80x120</t>
        </is>
      </c>
      <c r="E912" s="27" t="inlineStr">
        <is>
          <t>80 x 120</t>
        </is>
      </c>
      <c r="F912" s="28" t="inlineStr">
        <is>
          <t>TYCSS3MAPN169778498328887</t>
        </is>
      </c>
      <c r="G912" s="29" t="inlineStr">
        <is>
          <t>Kapı Önü Paspası</t>
        </is>
      </c>
      <c r="H912" s="30" t="inlineStr">
        <is>
          <t>Paspas Yap</t>
        </is>
      </c>
      <c r="I912" s="31" t="n">
        <v>93.0</v>
      </c>
      <c r="J912" s="32" t="n">
        <v>2332.0</v>
      </c>
      <c r="K912" s="33" t="n">
        <v>1980.75</v>
      </c>
      <c r="L912" s="34" t="n">
        <v>22.0</v>
      </c>
      <c r="M912" s="35" t="n">
        <v>1542.58</v>
      </c>
      <c r="N912" s="36" t="inlineStr">
        <is>
          <t>25 Ağustos 08.00-1 Eylül 07.59</t>
        </is>
      </c>
      <c r="O912" s="37" t="n">
        <v>16.5</v>
      </c>
      <c r="P912" s="38" t="n">
        <v>1980.75</v>
      </c>
      <c r="Q912" s="39"/>
      <c r="R912" s="40" t="n">
        <f>=IF(AND(ISBLANK(Q912), ISBLANK(U912)), "", "7 Günlük Fiyat")</f>
        <v>0.0</v>
      </c>
      <c r="S912" s="41" t="n">
        <f>=IF(OR(Q912="", R912=""), "-", IF(ISNUMBER(SEARCH("7 Günlük", R912)), IF(Q912&lt;=M912, O912, "-"), "-"))</f>
        <v>0.0</v>
      </c>
      <c r="T912" s="42" t="str">
        <f>=IF(ISBLANK(Q912), "", "Hayır")</f>
      </c>
      <c r="U912" s="43"/>
      <c r="V912" s="44" t="inlineStr">
        <is>
          <t>50461ed1-c2c8-4393-967e-55d58a3e2664</t>
        </is>
      </c>
    </row>
    <row r="913">
      <c r="A913" s="23" t="inlineStr">
        <is>
          <t>Kedili Banyo Paspas Kaymaz Paspas Su Emici Islak Zemin Duşa Kabin Paspası Kivircik Paspas 40x60 Cm</t>
        </is>
      </c>
      <c r="B913" s="24" t="inlineStr">
        <is>
          <t>751502147</t>
        </is>
      </c>
      <c r="C913" s="25" t="inlineStr">
        <is>
          <t>KPBP6-4060-GRI</t>
        </is>
      </c>
      <c r="D913" s="26" t="inlineStr">
        <is>
          <t>KPBP6-4060-GRI</t>
        </is>
      </c>
      <c r="E913" s="27"/>
      <c r="F913" s="28" t="inlineStr">
        <is>
          <t>KPBP6</t>
        </is>
      </c>
      <c r="G913" s="29" t="inlineStr">
        <is>
          <t>Banyo Paspası</t>
        </is>
      </c>
      <c r="H913" s="30" t="inlineStr">
        <is>
          <t>Paspas Yap</t>
        </is>
      </c>
      <c r="I913" s="31" t="n">
        <v>92.0</v>
      </c>
      <c r="J913" s="32" t="n">
        <v>624.0</v>
      </c>
      <c r="K913" s="33" t="n">
        <v>560.0</v>
      </c>
      <c r="L913" s="34" t="n">
        <v>21.0</v>
      </c>
      <c r="M913" s="35" t="n">
        <v>478.77</v>
      </c>
      <c r="N913" s="36" t="inlineStr">
        <is>
          <t>25 Ağustos 08.00-1 Eylül 07.59</t>
        </is>
      </c>
      <c r="O913" s="37" t="n">
        <v>16.9</v>
      </c>
      <c r="P913" s="38" t="n">
        <v>560.0</v>
      </c>
      <c r="Q913" s="39"/>
      <c r="R913" s="40" t="n">
        <f>=IF(AND(ISBLANK(Q913), ISBLANK(U913)), "", "7 Günlük Fiyat")</f>
        <v>0.0</v>
      </c>
      <c r="S913" s="41" t="n">
        <f>=IF(OR(Q913="", R913=""), "-", IF(ISNUMBER(SEARCH("7 Günlük", R913)), IF(Q913&lt;=M913, O913, "-"), "-"))</f>
        <v>0.0</v>
      </c>
      <c r="T913" s="42" t="str">
        <f>=IF(ISBLANK(Q913), "", "Hayır")</f>
      </c>
      <c r="U913" s="43"/>
      <c r="V913" s="44" t="inlineStr">
        <is>
          <t>50461ed1-c2c8-4393-967e-55d58a3e2664</t>
        </is>
      </c>
    </row>
    <row r="914">
      <c r="A914" s="23" t="inlineStr">
        <is>
          <t>Banyo Paspası Duşa Kabin Paspası Su Sıçratmaz Paspas Kaydırmaz Paspas (90x90 CM)</t>
        </is>
      </c>
      <c r="B914" s="24" t="inlineStr">
        <is>
          <t>939085722</t>
        </is>
      </c>
      <c r="C914" s="25" t="inlineStr">
        <is>
          <t>KIVIRCIK-BANYO-GRI-90x90</t>
        </is>
      </c>
      <c r="D914" s="26" t="inlineStr">
        <is>
          <t>KIVIRCIK-BANYO-GRI-90x90</t>
        </is>
      </c>
      <c r="E914" s="27"/>
      <c r="F914" s="28" t="inlineStr">
        <is>
          <t>KIVIRCIK-BANYO5</t>
        </is>
      </c>
      <c r="G914" s="29" t="inlineStr">
        <is>
          <t>Banyo Paspası</t>
        </is>
      </c>
      <c r="H914" s="30" t="inlineStr">
        <is>
          <t>Paspas Yap</t>
        </is>
      </c>
      <c r="I914" s="31" t="n">
        <v>93.0</v>
      </c>
      <c r="J914" s="32" t="n">
        <v>1212.0</v>
      </c>
      <c r="K914" s="33" t="n">
        <v>1032.5</v>
      </c>
      <c r="L914" s="34" t="n">
        <v>20.4</v>
      </c>
      <c r="M914" s="35" t="n">
        <v>860.58</v>
      </c>
      <c r="N914" s="36" t="inlineStr">
        <is>
          <t>25 Ağustos 08.00-1 Eylül 07.59</t>
        </is>
      </c>
      <c r="O914" s="37" t="n">
        <v>15.9</v>
      </c>
      <c r="P914" s="38" t="n">
        <v>1032.5</v>
      </c>
      <c r="Q914" s="39"/>
      <c r="R914" s="40" t="n">
        <f>=IF(AND(ISBLANK(Q914), ISBLANK(U914)), "", "7 Günlük Fiyat")</f>
        <v>0.0</v>
      </c>
      <c r="S914" s="41" t="n">
        <f>=IF(OR(Q914="", R914=""), "-", IF(ISNUMBER(SEARCH("7 Günlük", R914)), IF(Q914&lt;=M914, O914, "-"), "-"))</f>
        <v>0.0</v>
      </c>
      <c r="T914" s="42" t="str">
        <f>=IF(ISBLANK(Q914), "", "Hayır")</f>
      </c>
      <c r="U914" s="43"/>
      <c r="V914" s="44" t="inlineStr">
        <is>
          <t>50461ed1-c2c8-4393-967e-55d58a3e2664</t>
        </is>
      </c>
    </row>
    <row r="915">
      <c r="A915" s="23" t="inlineStr">
        <is>
          <t>Banyo Paspası Duşa Kabin Paspası Su Sıçratmaz Paspas Kaydırmaz Paspas (60x60 CM)</t>
        </is>
      </c>
      <c r="B915" s="24" t="inlineStr">
        <is>
          <t>939084588</t>
        </is>
      </c>
      <c r="C915" s="25" t="inlineStr">
        <is>
          <t>KIVIRCIK-BANYO-GRI-60x60</t>
        </is>
      </c>
      <c r="D915" s="26" t="inlineStr">
        <is>
          <t>KIVIRCIK-BANYO-GRI-60x60</t>
        </is>
      </c>
      <c r="E915" s="27"/>
      <c r="F915" s="28" t="inlineStr">
        <is>
          <t>KIVIRCIK-BANYO2</t>
        </is>
      </c>
      <c r="G915" s="29" t="inlineStr">
        <is>
          <t>Banyo Paspası</t>
        </is>
      </c>
      <c r="H915" s="30" t="inlineStr">
        <is>
          <t>Paspas Yap</t>
        </is>
      </c>
      <c r="I915" s="31" t="n">
        <v>91.0</v>
      </c>
      <c r="J915" s="32" t="n">
        <v>687.0</v>
      </c>
      <c r="K915" s="33" t="n">
        <v>571.69</v>
      </c>
      <c r="L915" s="34" t="n">
        <v>21.0</v>
      </c>
      <c r="M915" s="35" t="n">
        <v>435.3</v>
      </c>
      <c r="N915" s="36" t="inlineStr">
        <is>
          <t>25 Ağustos 08.00-1 Eylül 07.59</t>
        </is>
      </c>
      <c r="O915" s="37" t="n">
        <v>14.3</v>
      </c>
      <c r="P915" s="38" t="n">
        <v>571.69</v>
      </c>
      <c r="Q915" s="39"/>
      <c r="R915" s="40" t="n">
        <f>=IF(AND(ISBLANK(Q915), ISBLANK(U915)), "", "7 Günlük Fiyat")</f>
        <v>0.0</v>
      </c>
      <c r="S915" s="41" t="n">
        <f>=IF(OR(Q915="", R915=""), "-", IF(ISNUMBER(SEARCH("7 Günlük", R915)), IF(Q915&lt;=M915, O915, "-"), "-"))</f>
        <v>0.0</v>
      </c>
      <c r="T915" s="42" t="str">
        <f>=IF(ISBLANK(Q915), "", "Hayır")</f>
      </c>
      <c r="U915" s="43"/>
      <c r="V915" s="44" t="inlineStr">
        <is>
          <t>50461ed1-c2c8-4393-967e-55d58a3e2664</t>
        </is>
      </c>
    </row>
    <row r="916">
      <c r="A916" s="23" t="inlineStr">
        <is>
          <t>Rampalı Kıvırcık Paspas Iş Yeri Paspası Su Emici Kaymaz Paspas Kivircik Iş Yeri Paspas Apartman Ofis</t>
        </is>
      </c>
      <c r="B916" s="24" t="inlineStr">
        <is>
          <t>772451067</t>
        </is>
      </c>
      <c r="C916" s="25" t="inlineStr">
        <is>
          <t>KIVIRCIKRAMPALII-KR1-TURKUAZ-100x1150</t>
        </is>
      </c>
      <c r="D916" s="26" t="inlineStr">
        <is>
          <t>KIVIRCIKRAMPALII-KR1-TURKUAZ-100x1150</t>
        </is>
      </c>
      <c r="E916" s="27" t="inlineStr">
        <is>
          <t>100 x 1150</t>
        </is>
      </c>
      <c r="F916" s="28" t="inlineStr">
        <is>
          <t>TYCSS3MAPN169778498328887</t>
        </is>
      </c>
      <c r="G916" s="29" t="inlineStr">
        <is>
          <t>Kapı Önü Paspası</t>
        </is>
      </c>
      <c r="H916" s="30" t="inlineStr">
        <is>
          <t>Paspas Yap</t>
        </is>
      </c>
      <c r="I916" s="31" t="n">
        <v>93.0</v>
      </c>
      <c r="J916" s="32" t="n">
        <v>24392.0</v>
      </c>
      <c r="K916" s="33" t="n">
        <v>22475.45</v>
      </c>
      <c r="L916" s="34" t="n">
        <v>22.0</v>
      </c>
      <c r="M916" s="35" t="n">
        <v>16736.79</v>
      </c>
      <c r="N916" s="36" t="inlineStr">
        <is>
          <t>25 Ağustos 08.00-1 Eylül 07.59</t>
        </is>
      </c>
      <c r="O916" s="37" t="n">
        <v>16.1</v>
      </c>
      <c r="P916" s="38" t="n">
        <v>22475.45</v>
      </c>
      <c r="Q916" s="39"/>
      <c r="R916" s="40" t="n">
        <f>=IF(AND(ISBLANK(Q916), ISBLANK(U916)), "", "7 Günlük Fiyat")</f>
        <v>0.0</v>
      </c>
      <c r="S916" s="41" t="n">
        <f>=IF(OR(Q916="", R916=""), "-", IF(ISNUMBER(SEARCH("7 Günlük", R916)), IF(Q916&lt;=M916, O916, "-"), "-"))</f>
        <v>0.0</v>
      </c>
      <c r="T916" s="42" t="str">
        <f>=IF(ISBLANK(Q916), "", "Hayır")</f>
      </c>
      <c r="U916" s="43"/>
      <c r="V916" s="44" t="inlineStr">
        <is>
          <t>50461ed1-c2c8-4393-967e-55d58a3e2664</t>
        </is>
      </c>
    </row>
    <row r="917">
      <c r="A917" s="23" t="inlineStr">
        <is>
          <t>Rampalı Kıvırcık Paspas Iş Yeri Paspası Su Emici Kaymaz Paspas Kivircik Iş Yeri Paspas Apartman Ofis</t>
        </is>
      </c>
      <c r="B917" s="24" t="inlineStr">
        <is>
          <t>772451067</t>
        </is>
      </c>
      <c r="C917" s="25" t="inlineStr">
        <is>
          <t>KIVIRCIKRAMPALII-KR1-TURKUAZ-80x1050</t>
        </is>
      </c>
      <c r="D917" s="26" t="inlineStr">
        <is>
          <t>KIVIRCIKRAMPALII-KR1-TURKUAZ-80x1050</t>
        </is>
      </c>
      <c r="E917" s="27" t="inlineStr">
        <is>
          <t>80 x 1050</t>
        </is>
      </c>
      <c r="F917" s="28" t="inlineStr">
        <is>
          <t>TYCSS3MAPN169778498328887</t>
        </is>
      </c>
      <c r="G917" s="29" t="inlineStr">
        <is>
          <t>Kapı Önü Paspası</t>
        </is>
      </c>
      <c r="H917" s="30" t="inlineStr">
        <is>
          <t>Paspas Yap</t>
        </is>
      </c>
      <c r="I917" s="31" t="n">
        <v>93.0</v>
      </c>
      <c r="J917" s="32" t="n">
        <v>15862.0</v>
      </c>
      <c r="K917" s="33" t="n">
        <v>14826.77</v>
      </c>
      <c r="L917" s="34" t="n">
        <v>22.0</v>
      </c>
      <c r="M917" s="35" t="n">
        <v>11569.45</v>
      </c>
      <c r="N917" s="36" t="inlineStr">
        <is>
          <t>25 Ağustos 08.00-1 Eylül 07.59</t>
        </is>
      </c>
      <c r="O917" s="37" t="n">
        <v>17.2</v>
      </c>
      <c r="P917" s="38" t="n">
        <v>14826.77</v>
      </c>
      <c r="Q917" s="39"/>
      <c r="R917" s="40" t="n">
        <f>=IF(AND(ISBLANK(Q917), ISBLANK(U917)), "", "7 Günlük Fiyat")</f>
        <v>0.0</v>
      </c>
      <c r="S917" s="41" t="n">
        <f>=IF(OR(Q917="", R917=""), "-", IF(ISNUMBER(SEARCH("7 Günlük", R917)), IF(Q917&lt;=M917, O917, "-"), "-"))</f>
        <v>0.0</v>
      </c>
      <c r="T917" s="42" t="str">
        <f>=IF(ISBLANK(Q917), "", "Hayır")</f>
      </c>
      <c r="U917" s="43"/>
      <c r="V917" s="44" t="inlineStr">
        <is>
          <t>50461ed1-c2c8-4393-967e-55d58a3e2664</t>
        </is>
      </c>
    </row>
    <row r="918">
      <c r="A918" s="23" t="inlineStr">
        <is>
          <t>Rampalı Kıvırcık Paspas Iş Yeri Paspası Su Emici Kaymaz Paspas Kivircik Iş Yeri Paspas Apartman Ofis</t>
        </is>
      </c>
      <c r="B918" s="24" t="inlineStr">
        <is>
          <t>772451067</t>
        </is>
      </c>
      <c r="C918" s="25" t="inlineStr">
        <is>
          <t>KIVIRCIKRAMPALII-KR1-TURKUAZ-120x1400</t>
        </is>
      </c>
      <c r="D918" s="26" t="inlineStr">
        <is>
          <t>KIVIRCIKRAMPALII-KR1-TURKUAZ-120x1400</t>
        </is>
      </c>
      <c r="E918" s="27" t="inlineStr">
        <is>
          <t>120 x 1400</t>
        </is>
      </c>
      <c r="F918" s="28" t="inlineStr">
        <is>
          <t>TYCSS3MAPN169778498328887</t>
        </is>
      </c>
      <c r="G918" s="29" t="inlineStr">
        <is>
          <t>Kapı Önü Paspası</t>
        </is>
      </c>
      <c r="H918" s="30" t="inlineStr">
        <is>
          <t>Paspas Yap</t>
        </is>
      </c>
      <c r="I918" s="31" t="n">
        <v>93.0</v>
      </c>
      <c r="J918" s="32" t="n">
        <v>32563.0</v>
      </c>
      <c r="K918" s="33" t="n">
        <v>29992.2</v>
      </c>
      <c r="L918" s="34" t="n">
        <v>22.0</v>
      </c>
      <c r="M918" s="35" t="n">
        <v>21711.83</v>
      </c>
      <c r="N918" s="36" t="inlineStr">
        <is>
          <t>25 Ağustos 08.00-1 Eylül 07.59</t>
        </is>
      </c>
      <c r="O918" s="37" t="n">
        <v>15.5</v>
      </c>
      <c r="P918" s="38" t="n">
        <v>29992.2</v>
      </c>
      <c r="Q918" s="39"/>
      <c r="R918" s="40" t="n">
        <f>=IF(AND(ISBLANK(Q918), ISBLANK(U918)), "", "7 Günlük Fiyat")</f>
        <v>0.0</v>
      </c>
      <c r="S918" s="41" t="n">
        <f>=IF(OR(Q918="", R918=""), "-", IF(ISNUMBER(SEARCH("7 Günlük", R918)), IF(Q918&lt;=M918, O918, "-"), "-"))</f>
        <v>0.0</v>
      </c>
      <c r="T918" s="42" t="str">
        <f>=IF(ISBLANK(Q918), "", "Hayır")</f>
      </c>
      <c r="U918" s="43"/>
      <c r="V918" s="44" t="inlineStr">
        <is>
          <t>50461ed1-c2c8-4393-967e-55d58a3e2664</t>
        </is>
      </c>
    </row>
    <row r="919">
      <c r="A919" s="23" t="inlineStr">
        <is>
          <t>Rampalı Kıvırcık Paspas Iş Yeri Paspası Su Emici Kaymaz Paspas Kivircik Iş Yeri Paspas Apartman Ofis</t>
        </is>
      </c>
      <c r="B919" s="24" t="inlineStr">
        <is>
          <t>772451067</t>
        </is>
      </c>
      <c r="C919" s="25" t="inlineStr">
        <is>
          <t>KIVIRCIKRAMPALII-KR1-TURKUAZ-120x500</t>
        </is>
      </c>
      <c r="D919" s="26" t="inlineStr">
        <is>
          <t>KIVIRCIKRAMPALII-KR1-TURKUAZ-120x500</t>
        </is>
      </c>
      <c r="E919" s="27" t="inlineStr">
        <is>
          <t>120 x 500</t>
        </is>
      </c>
      <c r="F919" s="28" t="inlineStr">
        <is>
          <t>TYCSS3MAPN169778498328887</t>
        </is>
      </c>
      <c r="G919" s="29" t="inlineStr">
        <is>
          <t>Kapı Önü Paspası</t>
        </is>
      </c>
      <c r="H919" s="30" t="inlineStr">
        <is>
          <t>Paspas Yap</t>
        </is>
      </c>
      <c r="I919" s="31" t="n">
        <v>93.0</v>
      </c>
      <c r="J919" s="32" t="n">
        <v>12312.0</v>
      </c>
      <c r="K919" s="33" t="n">
        <v>11567.93</v>
      </c>
      <c r="L919" s="34" t="n">
        <v>22.0</v>
      </c>
      <c r="M919" s="35" t="n">
        <v>9095.22</v>
      </c>
      <c r="N919" s="36" t="inlineStr">
        <is>
          <t>25 Ağustos 08.00-1 Eylül 07.59</t>
        </is>
      </c>
      <c r="O919" s="37" t="n">
        <v>17.4</v>
      </c>
      <c r="P919" s="38" t="n">
        <v>11567.93</v>
      </c>
      <c r="Q919" s="39"/>
      <c r="R919" s="40" t="n">
        <f>=IF(AND(ISBLANK(Q919), ISBLANK(U919)), "", "7 Günlük Fiyat")</f>
        <v>0.0</v>
      </c>
      <c r="S919" s="41" t="n">
        <f>=IF(OR(Q919="", R919=""), "-", IF(ISNUMBER(SEARCH("7 Günlük", R919)), IF(Q919&lt;=M919, O919, "-"), "-"))</f>
        <v>0.0</v>
      </c>
      <c r="T919" s="42" t="str">
        <f>=IF(ISBLANK(Q919), "", "Hayır")</f>
      </c>
      <c r="U919" s="43"/>
      <c r="V919" s="44" t="inlineStr">
        <is>
          <t>50461ed1-c2c8-4393-967e-55d58a3e2664</t>
        </is>
      </c>
    </row>
    <row r="920">
      <c r="A920" s="23" t="inlineStr">
        <is>
          <t>Rampalı Kıvırcık Paspas Iş Yeri Paspası Su Emici Kaymaz Paspas Kivircik Iş Yeri Paspas Apartman Ofis</t>
        </is>
      </c>
      <c r="B920" s="24" t="inlineStr">
        <is>
          <t>772451067</t>
        </is>
      </c>
      <c r="C920" s="25" t="inlineStr">
        <is>
          <t>KIVIRCIKRAMPALII-KR1-TURKUAZ-120x550</t>
        </is>
      </c>
      <c r="D920" s="26" t="inlineStr">
        <is>
          <t>KIVIRCIKRAMPALII-KR1-TURKUAZ-120x550</t>
        </is>
      </c>
      <c r="E920" s="27" t="inlineStr">
        <is>
          <t>120 x 550</t>
        </is>
      </c>
      <c r="F920" s="28" t="inlineStr">
        <is>
          <t>TYCSS3MAPN169778498328887</t>
        </is>
      </c>
      <c r="G920" s="29" t="inlineStr">
        <is>
          <t>Kapı Önü Paspası</t>
        </is>
      </c>
      <c r="H920" s="30" t="inlineStr">
        <is>
          <t>Paspas Yap</t>
        </is>
      </c>
      <c r="I920" s="31" t="n">
        <v>93.0</v>
      </c>
      <c r="J920" s="32" t="n">
        <v>13199.0</v>
      </c>
      <c r="K920" s="33" t="n">
        <v>12302.52</v>
      </c>
      <c r="L920" s="34" t="n">
        <v>22.0</v>
      </c>
      <c r="M920" s="35" t="n">
        <v>9646.94</v>
      </c>
      <c r="N920" s="36" t="inlineStr">
        <is>
          <t>25 Ağustos 08.00-1 Eylül 07.59</t>
        </is>
      </c>
      <c r="O920" s="37" t="n">
        <v>17.2</v>
      </c>
      <c r="P920" s="38" t="n">
        <v>12302.52</v>
      </c>
      <c r="Q920" s="39"/>
      <c r="R920" s="40" t="n">
        <f>=IF(AND(ISBLANK(Q920), ISBLANK(U920)), "", "7 Günlük Fiyat")</f>
        <v>0.0</v>
      </c>
      <c r="S920" s="41" t="n">
        <f>=IF(OR(Q920="", R920=""), "-", IF(ISNUMBER(SEARCH("7 Günlük", R920)), IF(Q920&lt;=M920, O920, "-"), "-"))</f>
        <v>0.0</v>
      </c>
      <c r="T920" s="42" t="str">
        <f>=IF(ISBLANK(Q920), "", "Hayır")</f>
      </c>
      <c r="U920" s="43"/>
      <c r="V920" s="44" t="inlineStr">
        <is>
          <t>50461ed1-c2c8-4393-967e-55d58a3e2664</t>
        </is>
      </c>
    </row>
    <row r="921">
      <c r="A921" s="23" t="inlineStr">
        <is>
          <t>Rampalı Kıvırcık Paspas Iş Yeri Paspası Su Emici Kaymaz Paspas Kivircik Iş Yeri Paspas Apartman Ofis</t>
        </is>
      </c>
      <c r="B921" s="24" t="inlineStr">
        <is>
          <t>772451067</t>
        </is>
      </c>
      <c r="C921" s="25" t="inlineStr">
        <is>
          <t>KIVIRCIKRAMPALII-KR1-TURKUAZ-120x400</t>
        </is>
      </c>
      <c r="D921" s="26" t="inlineStr">
        <is>
          <t>KIVIRCIKRAMPALII-KR1-TURKUAZ-120x400</t>
        </is>
      </c>
      <c r="E921" s="27" t="inlineStr">
        <is>
          <t>120 x 400</t>
        </is>
      </c>
      <c r="F921" s="28" t="inlineStr">
        <is>
          <t>TYCSS3MAPN169778498328887</t>
        </is>
      </c>
      <c r="G921" s="29" t="inlineStr">
        <is>
          <t>Kapı Önü Paspası</t>
        </is>
      </c>
      <c r="H921" s="30" t="inlineStr">
        <is>
          <t>Paspas Yap</t>
        </is>
      </c>
      <c r="I921" s="31" t="n">
        <v>93.0</v>
      </c>
      <c r="J921" s="32" t="n">
        <v>9204.0</v>
      </c>
      <c r="K921" s="33" t="n">
        <v>8530.26</v>
      </c>
      <c r="L921" s="34" t="n">
        <v>22.0</v>
      </c>
      <c r="M921" s="35" t="n">
        <v>6552.82</v>
      </c>
      <c r="N921" s="36" t="inlineStr">
        <is>
          <t>25 Ağustos 08.00-1 Eylül 07.59</t>
        </is>
      </c>
      <c r="O921" s="37" t="n">
        <v>17.0</v>
      </c>
      <c r="P921" s="38" t="n">
        <v>8530.26</v>
      </c>
      <c r="Q921" s="39"/>
      <c r="R921" s="40" t="n">
        <f>=IF(AND(ISBLANK(Q921), ISBLANK(U921)), "", "7 Günlük Fiyat")</f>
        <v>0.0</v>
      </c>
      <c r="S921" s="41" t="n">
        <f>=IF(OR(Q921="", R921=""), "-", IF(ISNUMBER(SEARCH("7 Günlük", R921)), IF(Q921&lt;=M921, O921, "-"), "-"))</f>
        <v>0.0</v>
      </c>
      <c r="T921" s="42" t="str">
        <f>=IF(ISBLANK(Q921), "", "Hayır")</f>
      </c>
      <c r="U921" s="43"/>
      <c r="V921" s="44" t="inlineStr">
        <is>
          <t>50461ed1-c2c8-4393-967e-55d58a3e2664</t>
        </is>
      </c>
    </row>
    <row r="922">
      <c r="A922" s="23" t="inlineStr">
        <is>
          <t>Rampalı Kıvırcık Paspas Iş Yeri Paspası Su Emici Kaymaz Paspas Kivircik Iş Yeri Paspas Apartman Ofis</t>
        </is>
      </c>
      <c r="B922" s="24" t="inlineStr">
        <is>
          <t>772451067</t>
        </is>
      </c>
      <c r="C922" s="25" t="inlineStr">
        <is>
          <t>KIVIRCIKRAMPALII-KR1-TURKUAZ-120x450</t>
        </is>
      </c>
      <c r="D922" s="26" t="inlineStr">
        <is>
          <t>KIVIRCIKRAMPALII-KR1-TURKUAZ-120x450</t>
        </is>
      </c>
      <c r="E922" s="27" t="inlineStr">
        <is>
          <t>120 x 450</t>
        </is>
      </c>
      <c r="F922" s="28" t="inlineStr">
        <is>
          <t>TYCSS3MAPN169778498328887</t>
        </is>
      </c>
      <c r="G922" s="29" t="inlineStr">
        <is>
          <t>Kapı Önü Paspası</t>
        </is>
      </c>
      <c r="H922" s="30" t="inlineStr">
        <is>
          <t>Paspas Yap</t>
        </is>
      </c>
      <c r="I922" s="31" t="n">
        <v>93.0</v>
      </c>
      <c r="J922" s="32" t="n">
        <v>11012.0</v>
      </c>
      <c r="K922" s="33" t="n">
        <v>10228.03</v>
      </c>
      <c r="L922" s="34" t="n">
        <v>22.0</v>
      </c>
      <c r="M922" s="35" t="n">
        <v>7877.25</v>
      </c>
      <c r="N922" s="36" t="inlineStr">
        <is>
          <t>25 Ağustos 08.00-1 Eylül 07.59</t>
        </is>
      </c>
      <c r="O922" s="37" t="n">
        <v>16.8</v>
      </c>
      <c r="P922" s="38" t="n">
        <v>10228.03</v>
      </c>
      <c r="Q922" s="39"/>
      <c r="R922" s="40" t="n">
        <f>=IF(AND(ISBLANK(Q922), ISBLANK(U922)), "", "7 Günlük Fiyat")</f>
        <v>0.0</v>
      </c>
      <c r="S922" s="41" t="n">
        <f>=IF(OR(Q922="", R922=""), "-", IF(ISNUMBER(SEARCH("7 Günlük", R922)), IF(Q922&lt;=M922, O922, "-"), "-"))</f>
        <v>0.0</v>
      </c>
      <c r="T922" s="42" t="str">
        <f>=IF(ISBLANK(Q922), "", "Hayır")</f>
      </c>
      <c r="U922" s="43"/>
      <c r="V922" s="44" t="inlineStr">
        <is>
          <t>50461ed1-c2c8-4393-967e-55d58a3e2664</t>
        </is>
      </c>
    </row>
    <row r="923">
      <c r="A923" s="23" t="inlineStr">
        <is>
          <t>Rampalı Kıvırcık Paspas Iş Yeri Paspası Su Emici Kaymaz Paspas Kivircik Iş Yeri Paspas Apartman Ofis</t>
        </is>
      </c>
      <c r="B923" s="24" t="inlineStr">
        <is>
          <t>772451067</t>
        </is>
      </c>
      <c r="C923" s="25" t="inlineStr">
        <is>
          <t>KIVIRCIKRAMPALII-KR1-TURKUAZ-80x1400</t>
        </is>
      </c>
      <c r="D923" s="26" t="inlineStr">
        <is>
          <t>KIVIRCIKRAMPALII-KR1-TURKUAZ-80x1400</t>
        </is>
      </c>
      <c r="E923" s="27" t="inlineStr">
        <is>
          <t>80 x 1400</t>
        </is>
      </c>
      <c r="F923" s="28" t="inlineStr">
        <is>
          <t>TYCSS3MAPN169778498328887</t>
        </is>
      </c>
      <c r="G923" s="29" t="inlineStr">
        <is>
          <t>Kapı Önü Paspası</t>
        </is>
      </c>
      <c r="H923" s="30" t="inlineStr">
        <is>
          <t>Paspas Yap</t>
        </is>
      </c>
      <c r="I923" s="31" t="n">
        <v>93.0</v>
      </c>
      <c r="J923" s="32" t="n">
        <v>24269.0</v>
      </c>
      <c r="K923" s="33" t="n">
        <v>22446.23</v>
      </c>
      <c r="L923" s="34" t="n">
        <v>22.0</v>
      </c>
      <c r="M923" s="35" t="n">
        <v>16447.34</v>
      </c>
      <c r="N923" s="36" t="inlineStr">
        <is>
          <t>25 Ağustos 08.00-1 Eylül 07.59</t>
        </is>
      </c>
      <c r="O923" s="37" t="n">
        <v>15.8</v>
      </c>
      <c r="P923" s="38" t="n">
        <v>22446.23</v>
      </c>
      <c r="Q923" s="39"/>
      <c r="R923" s="40" t="n">
        <f>=IF(AND(ISBLANK(Q923), ISBLANK(U923)), "", "7 Günlük Fiyat")</f>
        <v>0.0</v>
      </c>
      <c r="S923" s="41" t="n">
        <f>=IF(OR(Q923="", R923=""), "-", IF(ISNUMBER(SEARCH("7 Günlük", R923)), IF(Q923&lt;=M923, O923, "-"), "-"))</f>
        <v>0.0</v>
      </c>
      <c r="T923" s="42" t="str">
        <f>=IF(ISBLANK(Q923), "", "Hayır")</f>
      </c>
      <c r="U923" s="43"/>
      <c r="V923" s="44" t="inlineStr">
        <is>
          <t>50461ed1-c2c8-4393-967e-55d58a3e2664</t>
        </is>
      </c>
    </row>
    <row r="924">
      <c r="A924" s="23" t="inlineStr">
        <is>
          <t>Rampalı Kıvırcık Paspas Iş Yeri Paspası Su Emici Kaymaz Paspas Kivircik Iş Yeri Paspas Apartman Ofis</t>
        </is>
      </c>
      <c r="B924" s="24" t="inlineStr">
        <is>
          <t>772451067</t>
        </is>
      </c>
      <c r="C924" s="25" t="inlineStr">
        <is>
          <t>KIVIRCIKRAMPALI-KR1-TURKUAZ-100x300</t>
        </is>
      </c>
      <c r="D924" s="26" t="inlineStr">
        <is>
          <t>KIVIRCIKRAMPALI-KR1-TURKUAZ-100x300</t>
        </is>
      </c>
      <c r="E924" s="27" t="inlineStr">
        <is>
          <t>100 x 300</t>
        </is>
      </c>
      <c r="F924" s="28" t="inlineStr">
        <is>
          <t>TYCSS3MAPN169778498328887</t>
        </is>
      </c>
      <c r="G924" s="29" t="inlineStr">
        <is>
          <t>Kapı Önü Paspası</t>
        </is>
      </c>
      <c r="H924" s="30" t="inlineStr">
        <is>
          <t>Paspas Yap</t>
        </is>
      </c>
      <c r="I924" s="31" t="n">
        <v>93.0</v>
      </c>
      <c r="J924" s="32" t="n">
        <v>5459.0</v>
      </c>
      <c r="K924" s="33" t="n">
        <v>4959.2</v>
      </c>
      <c r="L924" s="34" t="n">
        <v>22.0</v>
      </c>
      <c r="M924" s="35" t="n">
        <v>3785.03</v>
      </c>
      <c r="N924" s="36" t="inlineStr">
        <is>
          <t>25 Ağustos 08.00-1 Eylül 07.59</t>
        </is>
      </c>
      <c r="O924" s="37" t="n">
        <v>16.4</v>
      </c>
      <c r="P924" s="38" t="n">
        <v>4959.2</v>
      </c>
      <c r="Q924" s="39"/>
      <c r="R924" s="40" t="n">
        <f>=IF(AND(ISBLANK(Q924), ISBLANK(U924)), "", "7 Günlük Fiyat")</f>
        <v>0.0</v>
      </c>
      <c r="S924" s="41" t="n">
        <f>=IF(OR(Q924="", R924=""), "-", IF(ISNUMBER(SEARCH("7 Günlük", R924)), IF(Q924&lt;=M924, O924, "-"), "-"))</f>
        <v>0.0</v>
      </c>
      <c r="T924" s="42" t="str">
        <f>=IF(ISBLANK(Q924), "", "Hayır")</f>
      </c>
      <c r="U924" s="43"/>
      <c r="V924" s="44" t="inlineStr">
        <is>
          <t>50461ed1-c2c8-4393-967e-55d58a3e2664</t>
        </is>
      </c>
    </row>
    <row r="925">
      <c r="A925" s="23" t="inlineStr">
        <is>
          <t>Rampalı Kıvırcık Paspas Iş Yeri Paspası Su Emici Kaymaz Paspas Kivircik Iş Yeri Paspas Apartman Ofis</t>
        </is>
      </c>
      <c r="B925" s="24" t="inlineStr">
        <is>
          <t>772451067</t>
        </is>
      </c>
      <c r="C925" s="25" t="inlineStr">
        <is>
          <t>KIVIRCIKRAMPALII-KR1-TURKUAZ-100x1200</t>
        </is>
      </c>
      <c r="D925" s="26" t="inlineStr">
        <is>
          <t>KIVIRCIKRAMPALII-KR1-TURKUAZ-100x1200</t>
        </is>
      </c>
      <c r="E925" s="27" t="inlineStr">
        <is>
          <t>100 x 1200</t>
        </is>
      </c>
      <c r="F925" s="28" t="inlineStr">
        <is>
          <t>TYCSS3MAPN169778498328887</t>
        </is>
      </c>
      <c r="G925" s="29" t="inlineStr">
        <is>
          <t>Kapı Önü Paspası</t>
        </is>
      </c>
      <c r="H925" s="30" t="inlineStr">
        <is>
          <t>Paspas Yap</t>
        </is>
      </c>
      <c r="I925" s="31" t="n">
        <v>93.0</v>
      </c>
      <c r="J925" s="32" t="n">
        <v>25197.0</v>
      </c>
      <c r="K925" s="33" t="n">
        <v>23385.66</v>
      </c>
      <c r="L925" s="34" t="n">
        <v>22.0</v>
      </c>
      <c r="M925" s="35" t="n">
        <v>17581.84</v>
      </c>
      <c r="N925" s="36" t="inlineStr">
        <is>
          <t>25 Ağustos 08.00-1 Eylül 07.59</t>
        </is>
      </c>
      <c r="O925" s="37" t="n">
        <v>16.4</v>
      </c>
      <c r="P925" s="38" t="n">
        <v>23385.66</v>
      </c>
      <c r="Q925" s="39"/>
      <c r="R925" s="40" t="n">
        <f>=IF(AND(ISBLANK(Q925), ISBLANK(U925)), "", "7 Günlük Fiyat")</f>
        <v>0.0</v>
      </c>
      <c r="S925" s="41" t="n">
        <f>=IF(OR(Q925="", R925=""), "-", IF(ISNUMBER(SEARCH("7 Günlük", R925)), IF(Q925&lt;=M925, O925, "-"), "-"))</f>
        <v>0.0</v>
      </c>
      <c r="T925" s="42" t="str">
        <f>=IF(ISBLANK(Q925), "", "Hayır")</f>
      </c>
      <c r="U925" s="43"/>
      <c r="V925" s="44" t="inlineStr">
        <is>
          <t>50461ed1-c2c8-4393-967e-55d58a3e2664</t>
        </is>
      </c>
    </row>
    <row r="926">
      <c r="A926" s="23" t="inlineStr">
        <is>
          <t>Rampalı Kıvırcık Paspas Iş Yeri Paspası Su Emici Kaymaz Paspas Kivircik Iş Yeri Paspas Apartman Ofis</t>
        </is>
      </c>
      <c r="B926" s="24" t="inlineStr">
        <is>
          <t>772451067</t>
        </is>
      </c>
      <c r="C926" s="25" t="inlineStr">
        <is>
          <t>KIVIRCIKRAMPALII-KR1-TURKUAZ-120x1050</t>
        </is>
      </c>
      <c r="D926" s="26" t="inlineStr">
        <is>
          <t>KIVIRCIKRAMPALII-KR1-TURKUAZ-120x1050</t>
        </is>
      </c>
      <c r="E926" s="27" t="inlineStr">
        <is>
          <t>120 x 1050</t>
        </is>
      </c>
      <c r="F926" s="28" t="inlineStr">
        <is>
          <t>TYCSS3MAPN169778498328887</t>
        </is>
      </c>
      <c r="G926" s="29" t="inlineStr">
        <is>
          <t>Kapı Önü Paspası</t>
        </is>
      </c>
      <c r="H926" s="30" t="inlineStr">
        <is>
          <t>Paspas Yap</t>
        </is>
      </c>
      <c r="I926" s="31" t="n">
        <v>93.0</v>
      </c>
      <c r="J926" s="32" t="n">
        <v>26077.0</v>
      </c>
      <c r="K926" s="33" t="n">
        <v>24205.09</v>
      </c>
      <c r="L926" s="34" t="n">
        <v>22.0</v>
      </c>
      <c r="M926" s="35" t="n">
        <v>17780.71</v>
      </c>
      <c r="N926" s="36" t="inlineStr">
        <is>
          <t>25 Ağustos 08.00-1 Eylül 07.59</t>
        </is>
      </c>
      <c r="O926" s="37" t="n">
        <v>15.9</v>
      </c>
      <c r="P926" s="38" t="n">
        <v>24205.09</v>
      </c>
      <c r="Q926" s="39"/>
      <c r="R926" s="40" t="n">
        <f>=IF(AND(ISBLANK(Q926), ISBLANK(U926)), "", "7 Günlük Fiyat")</f>
        <v>0.0</v>
      </c>
      <c r="S926" s="41" t="n">
        <f>=IF(OR(Q926="", R926=""), "-", IF(ISNUMBER(SEARCH("7 Günlük", R926)), IF(Q926&lt;=M926, O926, "-"), "-"))</f>
        <v>0.0</v>
      </c>
      <c r="T926" s="42" t="str">
        <f>=IF(ISBLANK(Q926), "", "Hayır")</f>
      </c>
      <c r="U926" s="43"/>
      <c r="V926" s="44" t="inlineStr">
        <is>
          <t>50461ed1-c2c8-4393-967e-55d58a3e2664</t>
        </is>
      </c>
    </row>
    <row r="927">
      <c r="A927" s="23" t="inlineStr">
        <is>
          <t>Rampalı Kıvırcık Paspas Iş Yeri Paspası Su Emici Kaymaz Paspas Kivircik Iş Yeri Paspas Apartman Ofis</t>
        </is>
      </c>
      <c r="B927" s="24" t="inlineStr">
        <is>
          <t>772451067</t>
        </is>
      </c>
      <c r="C927" s="25" t="inlineStr">
        <is>
          <t>KIVIRCIKRAMPALI-KR1-TURKUAZ-100x600</t>
        </is>
      </c>
      <c r="D927" s="26" t="inlineStr">
        <is>
          <t>KIVIRCIKRAMPALI-KR1-TURKUAZ-100x600</t>
        </is>
      </c>
      <c r="E927" s="27" t="inlineStr">
        <is>
          <t>100 x 600</t>
        </is>
      </c>
      <c r="F927" s="28" t="inlineStr">
        <is>
          <t>TYCSS3MAPN169778498328887</t>
        </is>
      </c>
      <c r="G927" s="29" t="inlineStr">
        <is>
          <t>Kapı Önü Paspası</t>
        </is>
      </c>
      <c r="H927" s="30" t="inlineStr">
        <is>
          <t>Paspas Yap</t>
        </is>
      </c>
      <c r="I927" s="31" t="n">
        <v>93.0</v>
      </c>
      <c r="J927" s="32" t="n">
        <v>12312.0</v>
      </c>
      <c r="K927" s="33" t="n">
        <v>11571.88</v>
      </c>
      <c r="L927" s="34" t="n">
        <v>22.0</v>
      </c>
      <c r="M927" s="35" t="n">
        <v>8999.95</v>
      </c>
      <c r="N927" s="36" t="inlineStr">
        <is>
          <t>25 Ağustos 08.00-1 Eylül 07.59</t>
        </is>
      </c>
      <c r="O927" s="37" t="n">
        <v>17.2</v>
      </c>
      <c r="P927" s="38" t="n">
        <v>11571.88</v>
      </c>
      <c r="Q927" s="39"/>
      <c r="R927" s="40" t="n">
        <f>=IF(AND(ISBLANK(Q927), ISBLANK(U927)), "", "7 Günlük Fiyat")</f>
        <v>0.0</v>
      </c>
      <c r="S927" s="41" t="n">
        <f>=IF(OR(Q927="", R927=""), "-", IF(ISNUMBER(SEARCH("7 Günlük", R927)), IF(Q927&lt;=M927, O927, "-"), "-"))</f>
        <v>0.0</v>
      </c>
      <c r="T927" s="42" t="str">
        <f>=IF(ISBLANK(Q927), "", "Hayır")</f>
      </c>
      <c r="U927" s="43"/>
      <c r="V927" s="44" t="inlineStr">
        <is>
          <t>50461ed1-c2c8-4393-967e-55d58a3e2664</t>
        </is>
      </c>
    </row>
    <row r="928">
      <c r="A928" s="23" t="inlineStr">
        <is>
          <t>Rampalı Kıvırcık Paspas Iş Yeri Paspası Su Emici Kaymaz Paspas Kivircik Iş Yeri Paspas Apartman Ofis</t>
        </is>
      </c>
      <c r="B928" s="24" t="inlineStr">
        <is>
          <t>772451067</t>
        </is>
      </c>
      <c r="C928" s="25" t="inlineStr">
        <is>
          <t>KIVIRCIKRAMPALII-KR1-TURKUAZ-120x1250</t>
        </is>
      </c>
      <c r="D928" s="26" t="inlineStr">
        <is>
          <t>KIVIRCIKRAMPALII-KR1-TURKUAZ-120x1250</t>
        </is>
      </c>
      <c r="E928" s="27" t="inlineStr">
        <is>
          <t>120 x 1250</t>
        </is>
      </c>
      <c r="F928" s="28" t="inlineStr">
        <is>
          <t>TYCSS3MAPN169778498328887</t>
        </is>
      </c>
      <c r="G928" s="29" t="inlineStr">
        <is>
          <t>Kapı Önü Paspası</t>
        </is>
      </c>
      <c r="H928" s="30" t="inlineStr">
        <is>
          <t>Paspas Yap</t>
        </is>
      </c>
      <c r="I928" s="31" t="n">
        <v>93.0</v>
      </c>
      <c r="J928" s="32" t="n">
        <v>30025.0</v>
      </c>
      <c r="K928" s="33" t="n">
        <v>27705.47</v>
      </c>
      <c r="L928" s="34" t="n">
        <v>22.0</v>
      </c>
      <c r="M928" s="35" t="n">
        <v>20045.91</v>
      </c>
      <c r="N928" s="36" t="inlineStr">
        <is>
          <t>25 Ağustos 08.00-1 Eylül 07.59</t>
        </is>
      </c>
      <c r="O928" s="37" t="n">
        <v>15.5</v>
      </c>
      <c r="P928" s="38" t="n">
        <v>27705.47</v>
      </c>
      <c r="Q928" s="39"/>
      <c r="R928" s="40" t="n">
        <f>=IF(AND(ISBLANK(Q928), ISBLANK(U928)), "", "7 Günlük Fiyat")</f>
        <v>0.0</v>
      </c>
      <c r="S928" s="41" t="n">
        <f>=IF(OR(Q928="", R928=""), "-", IF(ISNUMBER(SEARCH("7 Günlük", R928)), IF(Q928&lt;=M928, O928, "-"), "-"))</f>
        <v>0.0</v>
      </c>
      <c r="T928" s="42" t="str">
        <f>=IF(ISBLANK(Q928), "", "Hayır")</f>
      </c>
      <c r="U928" s="43"/>
      <c r="V928" s="44" t="inlineStr">
        <is>
          <t>50461ed1-c2c8-4393-967e-55d58a3e2664</t>
        </is>
      </c>
    </row>
    <row r="929">
      <c r="A929" s="23" t="inlineStr">
        <is>
          <t>Rampalı Kıvırcık Paspas Iş Yeri Paspası Su Emici Kaymaz Paspas Kivircik Iş Yeri Paspas Apartman Ofis</t>
        </is>
      </c>
      <c r="B929" s="24" t="inlineStr">
        <is>
          <t>772451067</t>
        </is>
      </c>
      <c r="C929" s="25" t="inlineStr">
        <is>
          <t>KIVIRCIKRAMPALII-KR1-TURKUAZ-100x1250</t>
        </is>
      </c>
      <c r="D929" s="26" t="inlineStr">
        <is>
          <t>KIVIRCIKRAMPALII-KR1-TURKUAZ-100x1250</t>
        </is>
      </c>
      <c r="E929" s="27" t="inlineStr">
        <is>
          <t>100 x 1250</t>
        </is>
      </c>
      <c r="F929" s="28" t="inlineStr">
        <is>
          <t>TYCSS3MAPN169778498328887</t>
        </is>
      </c>
      <c r="G929" s="29" t="inlineStr">
        <is>
          <t>Kapı Önü Paspası</t>
        </is>
      </c>
      <c r="H929" s="30" t="inlineStr">
        <is>
          <t>Paspas Yap</t>
        </is>
      </c>
      <c r="I929" s="31" t="n">
        <v>93.0</v>
      </c>
      <c r="J929" s="32" t="n">
        <v>26002.0</v>
      </c>
      <c r="K929" s="33" t="n">
        <v>24109.05</v>
      </c>
      <c r="L929" s="34" t="n">
        <v>22.0</v>
      </c>
      <c r="M929" s="35" t="n">
        <v>17916.75</v>
      </c>
      <c r="N929" s="36" t="inlineStr">
        <is>
          <t>25 Ağustos 08.00-1 Eylül 07.59</t>
        </is>
      </c>
      <c r="O929" s="37" t="n">
        <v>16.1</v>
      </c>
      <c r="P929" s="38" t="n">
        <v>24109.05</v>
      </c>
      <c r="Q929" s="39"/>
      <c r="R929" s="40" t="n">
        <f>=IF(AND(ISBLANK(Q929), ISBLANK(U929)), "", "7 Günlük Fiyat")</f>
        <v>0.0</v>
      </c>
      <c r="S929" s="41" t="n">
        <f>=IF(OR(Q929="", R929=""), "-", IF(ISNUMBER(SEARCH("7 Günlük", R929)), IF(Q929&lt;=M929, O929, "-"), "-"))</f>
        <v>0.0</v>
      </c>
      <c r="T929" s="42" t="str">
        <f>=IF(ISBLANK(Q929), "", "Hayır")</f>
      </c>
      <c r="U929" s="43"/>
      <c r="V929" s="44" t="inlineStr">
        <is>
          <t>50461ed1-c2c8-4393-967e-55d58a3e2664</t>
        </is>
      </c>
    </row>
    <row r="930">
      <c r="A930" s="23" t="inlineStr">
        <is>
          <t>Rampalı Kıvırcık Paspas Iş Yeri Paspası Su Emici Kaymaz Paspas Kivircik Iş Yeri Paspas Apartman Ofis</t>
        </is>
      </c>
      <c r="B930" s="24" t="inlineStr">
        <is>
          <t>772451067</t>
        </is>
      </c>
      <c r="C930" s="25" t="inlineStr">
        <is>
          <t>KIVIRCIKRAMPALI-KR1-TURKUAZ-100x400</t>
        </is>
      </c>
      <c r="D930" s="26" t="inlineStr">
        <is>
          <t>KIVIRCIKRAMPALI-KR1-TURKUAZ-100x400</t>
        </is>
      </c>
      <c r="E930" s="27" t="inlineStr">
        <is>
          <t>100 x 400</t>
        </is>
      </c>
      <c r="F930" s="28" t="inlineStr">
        <is>
          <t>TYCSS3MAPN169778498328887</t>
        </is>
      </c>
      <c r="G930" s="29" t="inlineStr">
        <is>
          <t>Kapı Önü Paspası</t>
        </is>
      </c>
      <c r="H930" s="30" t="inlineStr">
        <is>
          <t>Paspas Yap</t>
        </is>
      </c>
      <c r="I930" s="31" t="n">
        <v>93.0</v>
      </c>
      <c r="J930" s="32" t="n">
        <v>8102.0</v>
      </c>
      <c r="K930" s="33" t="n">
        <v>7493.48</v>
      </c>
      <c r="L930" s="34" t="n">
        <v>22.0</v>
      </c>
      <c r="M930" s="35" t="n">
        <v>5451.74</v>
      </c>
      <c r="N930" s="36" t="inlineStr">
        <is>
          <t>25 Ağustos 08.00-1 Eylül 07.59</t>
        </is>
      </c>
      <c r="O930" s="37" t="n">
        <v>15.8</v>
      </c>
      <c r="P930" s="38" t="n">
        <v>7493.48</v>
      </c>
      <c r="Q930" s="39"/>
      <c r="R930" s="40" t="n">
        <f>=IF(AND(ISBLANK(Q930), ISBLANK(U930)), "", "7 Günlük Fiyat")</f>
        <v>0.0</v>
      </c>
      <c r="S930" s="41" t="n">
        <f>=IF(OR(Q930="", R930=""), "-", IF(ISNUMBER(SEARCH("7 Günlük", R930)), IF(Q930&lt;=M930, O930, "-"), "-"))</f>
        <v>0.0</v>
      </c>
      <c r="T930" s="42" t="str">
        <f>=IF(ISBLANK(Q930), "", "Hayır")</f>
      </c>
      <c r="U930" s="43"/>
      <c r="V930" s="44" t="inlineStr">
        <is>
          <t>50461ed1-c2c8-4393-967e-55d58a3e2664</t>
        </is>
      </c>
    </row>
    <row r="931">
      <c r="A931" s="23" t="inlineStr">
        <is>
          <t>Rampalı Kıvırcık Paspas Iş Yeri Paspası Su Emici Kaymaz Paspas Kivircik Iş Yeri Paspas Apartman Ofis</t>
        </is>
      </c>
      <c r="B931" s="24" t="inlineStr">
        <is>
          <t>772451067</t>
        </is>
      </c>
      <c r="C931" s="25" t="inlineStr">
        <is>
          <t>KIVIRCIKRAMPALII-KR1-TURKUAZ-80x200</t>
        </is>
      </c>
      <c r="D931" s="26" t="inlineStr">
        <is>
          <t>KIVIRCIKRAMPALII-KR1-TURKUAZ-80x200</t>
        </is>
      </c>
      <c r="E931" s="27" t="inlineStr">
        <is>
          <t>80 x 200</t>
        </is>
      </c>
      <c r="F931" s="28" t="inlineStr">
        <is>
          <t>TYCSS3MAPN169778498328887</t>
        </is>
      </c>
      <c r="G931" s="29" t="inlineStr">
        <is>
          <t>Kapı Önü Paspası</t>
        </is>
      </c>
      <c r="H931" s="30" t="inlineStr">
        <is>
          <t>Paspas Yap</t>
        </is>
      </c>
      <c r="I931" s="31" t="n">
        <v>93.0</v>
      </c>
      <c r="J931" s="32" t="n">
        <v>3309.0</v>
      </c>
      <c r="K931" s="33" t="n">
        <v>3309.0</v>
      </c>
      <c r="L931" s="34" t="n">
        <v>22.0</v>
      </c>
      <c r="M931" s="35" t="n">
        <v>2579.54</v>
      </c>
      <c r="N931" s="36" t="inlineStr">
        <is>
          <t>25 Ağustos 08.00-1 Eylül 07.59</t>
        </is>
      </c>
      <c r="O931" s="37" t="n">
        <v>18.0</v>
      </c>
      <c r="P931" s="38" t="n">
        <v>3309.0</v>
      </c>
      <c r="Q931" s="39"/>
      <c r="R931" s="40" t="n">
        <f>=IF(AND(ISBLANK(Q931), ISBLANK(U931)), "", "7 Günlük Fiyat")</f>
        <v>0.0</v>
      </c>
      <c r="S931" s="41" t="n">
        <f>=IF(OR(Q931="", R931=""), "-", IF(ISNUMBER(SEARCH("7 Günlük", R931)), IF(Q931&lt;=M931, O931, "-"), "-"))</f>
        <v>0.0</v>
      </c>
      <c r="T931" s="42" t="str">
        <f>=IF(ISBLANK(Q931), "", "Hayır")</f>
      </c>
      <c r="U931" s="43"/>
      <c r="V931" s="44" t="inlineStr">
        <is>
          <t>50461ed1-c2c8-4393-967e-55d58a3e2664</t>
        </is>
      </c>
    </row>
    <row r="932">
      <c r="A932" s="23" t="inlineStr">
        <is>
          <t>Rampalı Kıvırcık Paspas Iş Yeri Paspası Su Emici Kaymaz Paspas Kivircik Iş Yeri Paspas Apartman Ofis</t>
        </is>
      </c>
      <c r="B932" s="24" t="inlineStr">
        <is>
          <t>772451067</t>
        </is>
      </c>
      <c r="C932" s="25" t="inlineStr">
        <is>
          <t>KIVIRCIKRAMPALII-KR1-TURKUAZ-50x120</t>
        </is>
      </c>
      <c r="D932" s="26" t="inlineStr">
        <is>
          <t>KIVIRCIKRAMPALII-KR1-TURKUAZ-50x120</t>
        </is>
      </c>
      <c r="E932" s="27" t="inlineStr">
        <is>
          <t>50 x 120</t>
        </is>
      </c>
      <c r="F932" s="28" t="inlineStr">
        <is>
          <t>TYCSS3MAPN169778498328887</t>
        </is>
      </c>
      <c r="G932" s="29" t="inlineStr">
        <is>
          <t>Kapı Önü Paspası</t>
        </is>
      </c>
      <c r="H932" s="30" t="inlineStr">
        <is>
          <t>Paspas Yap</t>
        </is>
      </c>
      <c r="I932" s="31" t="n">
        <v>93.0</v>
      </c>
      <c r="J932" s="32" t="n">
        <v>1858.0</v>
      </c>
      <c r="K932" s="33" t="n">
        <v>1623.45</v>
      </c>
      <c r="L932" s="34" t="n">
        <v>22.0</v>
      </c>
      <c r="M932" s="35" t="n">
        <v>1243.19</v>
      </c>
      <c r="N932" s="36" t="inlineStr">
        <is>
          <t>25 Ağustos 08.00-1 Eylül 07.59</t>
        </is>
      </c>
      <c r="O932" s="37" t="n">
        <v>15.9</v>
      </c>
      <c r="P932" s="38" t="n">
        <v>1623.45</v>
      </c>
      <c r="Q932" s="39"/>
      <c r="R932" s="40" t="n">
        <f>=IF(AND(ISBLANK(Q932), ISBLANK(U932)), "", "7 Günlük Fiyat")</f>
        <v>0.0</v>
      </c>
      <c r="S932" s="41" t="n">
        <f>=IF(OR(Q932="", R932=""), "-", IF(ISNUMBER(SEARCH("7 Günlük", R932)), IF(Q932&lt;=M932, O932, "-"), "-"))</f>
        <v>0.0</v>
      </c>
      <c r="T932" s="42" t="str">
        <f>=IF(ISBLANK(Q932), "", "Hayır")</f>
      </c>
      <c r="U932" s="43"/>
      <c r="V932" s="44" t="inlineStr">
        <is>
          <t>50461ed1-c2c8-4393-967e-55d58a3e2664</t>
        </is>
      </c>
    </row>
    <row r="933">
      <c r="A933" s="23" t="inlineStr">
        <is>
          <t>Rampalı Kıvırcık Paspas Iş Yeri Paspası Su Emici Kaymaz Paspas Kivircik Iş Yeri Paspas Apartman Ofis</t>
        </is>
      </c>
      <c r="B933" s="24" t="inlineStr">
        <is>
          <t>772451067</t>
        </is>
      </c>
      <c r="C933" s="25" t="inlineStr">
        <is>
          <t>KIVIRCIKRAMPALII-KR1-TURKUAZ-100x450</t>
        </is>
      </c>
      <c r="D933" s="26" t="inlineStr">
        <is>
          <t>KIVIRCIKRAMPALII-KR1-TURKUAZ-100x450</t>
        </is>
      </c>
      <c r="E933" s="27" t="inlineStr">
        <is>
          <t>100 x 450</t>
        </is>
      </c>
      <c r="F933" s="28" t="inlineStr">
        <is>
          <t>TYCSS3MAPN169778498328887</t>
        </is>
      </c>
      <c r="G933" s="29" t="inlineStr">
        <is>
          <t>Kapı Önü Paspası</t>
        </is>
      </c>
      <c r="H933" s="30" t="inlineStr">
        <is>
          <t>Paspas Yap</t>
        </is>
      </c>
      <c r="I933" s="31" t="n">
        <v>93.0</v>
      </c>
      <c r="J933" s="32" t="n">
        <v>8653.0</v>
      </c>
      <c r="K933" s="33" t="n">
        <v>8063.92</v>
      </c>
      <c r="L933" s="34" t="n">
        <v>22.0</v>
      </c>
      <c r="M933" s="35" t="n">
        <v>6017.66</v>
      </c>
      <c r="N933" s="36" t="inlineStr">
        <is>
          <t>25 Ağustos 08.00-1 Eylül 07.59</t>
        </is>
      </c>
      <c r="O933" s="37" t="n">
        <v>16.3</v>
      </c>
      <c r="P933" s="38" t="n">
        <v>8063.92</v>
      </c>
      <c r="Q933" s="39"/>
      <c r="R933" s="40" t="n">
        <f>=IF(AND(ISBLANK(Q933), ISBLANK(U933)), "", "7 Günlük Fiyat")</f>
        <v>0.0</v>
      </c>
      <c r="S933" s="41" t="n">
        <f>=IF(OR(Q933="", R933=""), "-", IF(ISNUMBER(SEARCH("7 Günlük", R933)), IF(Q933&lt;=M933, O933, "-"), "-"))</f>
        <v>0.0</v>
      </c>
      <c r="T933" s="42" t="str">
        <f>=IF(ISBLANK(Q933), "", "Hayır")</f>
      </c>
      <c r="U933" s="43"/>
      <c r="V933" s="44" t="inlineStr">
        <is>
          <t>50461ed1-c2c8-4393-967e-55d58a3e2664</t>
        </is>
      </c>
    </row>
    <row r="934">
      <c r="A934" s="23" t="inlineStr">
        <is>
          <t>Rampalı Kıvırcık Paspas Iş Yeri Paspası Su Emici Kaymaz Paspas Kivircik Iş Yeri Paspas Apartman Ofis</t>
        </is>
      </c>
      <c r="B934" s="24" t="inlineStr">
        <is>
          <t>772451067</t>
        </is>
      </c>
      <c r="C934" s="25" t="inlineStr">
        <is>
          <t>KIVIRCIKRAMPALII-KR1-TURKUAZ-100x1450</t>
        </is>
      </c>
      <c r="D934" s="26" t="inlineStr">
        <is>
          <t>KIVIRCIKRAMPALII-KR1-TURKUAZ-100x1450</t>
        </is>
      </c>
      <c r="E934" s="27" t="inlineStr">
        <is>
          <t>100 x 1450</t>
        </is>
      </c>
      <c r="F934" s="28" t="inlineStr">
        <is>
          <t>TYCSS3MAPN169778498328887</t>
        </is>
      </c>
      <c r="G934" s="29" t="inlineStr">
        <is>
          <t>Kapı Önü Paspası</t>
        </is>
      </c>
      <c r="H934" s="30" t="inlineStr">
        <is>
          <t>Paspas Yap</t>
        </is>
      </c>
      <c r="I934" s="31" t="n">
        <v>93.0</v>
      </c>
      <c r="J934" s="32" t="n">
        <v>29220.0</v>
      </c>
      <c r="K934" s="33" t="n">
        <v>26958.94</v>
      </c>
      <c r="L934" s="34" t="n">
        <v>22.0</v>
      </c>
      <c r="M934" s="35" t="n">
        <v>19671.18</v>
      </c>
      <c r="N934" s="36" t="inlineStr">
        <is>
          <t>25 Ağustos 08.00-1 Eylül 07.59</t>
        </is>
      </c>
      <c r="O934" s="37" t="n">
        <v>15.7</v>
      </c>
      <c r="P934" s="38" t="n">
        <v>26958.94</v>
      </c>
      <c r="Q934" s="39"/>
      <c r="R934" s="40" t="n">
        <f>=IF(AND(ISBLANK(Q934), ISBLANK(U934)), "", "7 Günlük Fiyat")</f>
        <v>0.0</v>
      </c>
      <c r="S934" s="41" t="n">
        <f>=IF(OR(Q934="", R934=""), "-", IF(ISNUMBER(SEARCH("7 Günlük", R934)), IF(Q934&lt;=M934, O934, "-"), "-"))</f>
        <v>0.0</v>
      </c>
      <c r="T934" s="42" t="str">
        <f>=IF(ISBLANK(Q934), "", "Hayır")</f>
      </c>
      <c r="U934" s="43"/>
      <c r="V934" s="44" t="inlineStr">
        <is>
          <t>50461ed1-c2c8-4393-967e-55d58a3e2664</t>
        </is>
      </c>
    </row>
    <row r="935">
      <c r="A935" s="23" t="inlineStr">
        <is>
          <t>Rampalı Kıvırcık Paspas Iş Yeri Paspası Su Emici Kaymaz Paspas Kivircik Iş Yeri Paspas Apartman Ofis</t>
        </is>
      </c>
      <c r="B935" s="24" t="inlineStr">
        <is>
          <t>772451067</t>
        </is>
      </c>
      <c r="C935" s="25" t="inlineStr">
        <is>
          <t>KIVIRCIKRAMPALII-KR1-TURKUAZ-100x550</t>
        </is>
      </c>
      <c r="D935" s="26" t="inlineStr">
        <is>
          <t>KIVIRCIKRAMPALII-KR1-TURKUAZ-100x550</t>
        </is>
      </c>
      <c r="E935" s="27" t="inlineStr">
        <is>
          <t>100 x 550</t>
        </is>
      </c>
      <c r="F935" s="28" t="inlineStr">
        <is>
          <t>TYCSS3MAPN169778498328887</t>
        </is>
      </c>
      <c r="G935" s="29" t="inlineStr">
        <is>
          <t>Kapı Önü Paspası</t>
        </is>
      </c>
      <c r="H935" s="30" t="inlineStr">
        <is>
          <t>Paspas Yap</t>
        </is>
      </c>
      <c r="I935" s="31" t="n">
        <v>93.0</v>
      </c>
      <c r="J935" s="32" t="n">
        <v>11282.0</v>
      </c>
      <c r="K935" s="33" t="n">
        <v>10527.84</v>
      </c>
      <c r="L935" s="34" t="n">
        <v>22.0</v>
      </c>
      <c r="M935" s="35" t="n">
        <v>7788.78</v>
      </c>
      <c r="N935" s="36" t="inlineStr">
        <is>
          <t>25 Ağustos 08.00-1 Eylül 07.59</t>
        </is>
      </c>
      <c r="O935" s="37" t="n">
        <v>16.2</v>
      </c>
      <c r="P935" s="38" t="n">
        <v>10527.84</v>
      </c>
      <c r="Q935" s="39"/>
      <c r="R935" s="40" t="n">
        <f>=IF(AND(ISBLANK(Q935), ISBLANK(U935)), "", "7 Günlük Fiyat")</f>
        <v>0.0</v>
      </c>
      <c r="S935" s="41" t="n">
        <f>=IF(OR(Q935="", R935=""), "-", IF(ISNUMBER(SEARCH("7 Günlük", R935)), IF(Q935&lt;=M935, O935, "-"), "-"))</f>
        <v>0.0</v>
      </c>
      <c r="T935" s="42" t="str">
        <f>=IF(ISBLANK(Q935), "", "Hayır")</f>
      </c>
      <c r="U935" s="43"/>
      <c r="V935" s="44" t="inlineStr">
        <is>
          <t>50461ed1-c2c8-4393-967e-55d58a3e2664</t>
        </is>
      </c>
    </row>
    <row r="936">
      <c r="A936" s="23" t="inlineStr">
        <is>
          <t>Rampalı Kıvırcık Paspas Iş Yeri Paspası Su Emici Kaymaz Paspas Kivircik Iş Yeri Paspas Apartman Ofis</t>
        </is>
      </c>
      <c r="B936" s="24" t="inlineStr">
        <is>
          <t>772451067</t>
        </is>
      </c>
      <c r="C936" s="25" t="inlineStr">
        <is>
          <t>KIVIRCIKRAMPALII-KR1-TURKUAZ-100x1050</t>
        </is>
      </c>
      <c r="D936" s="26" t="inlineStr">
        <is>
          <t>KIVIRCIKRAMPALII-KR1-TURKUAZ-100x1050</t>
        </is>
      </c>
      <c r="E936" s="27" t="inlineStr">
        <is>
          <t>100 x 1050</t>
        </is>
      </c>
      <c r="F936" s="28" t="inlineStr">
        <is>
          <t>TYCSS3MAPN169778498328887</t>
        </is>
      </c>
      <c r="G936" s="29" t="inlineStr">
        <is>
          <t>Kapı Önü Paspası</t>
        </is>
      </c>
      <c r="H936" s="30" t="inlineStr">
        <is>
          <t>Paspas Yap</t>
        </is>
      </c>
      <c r="I936" s="31" t="n">
        <v>93.0</v>
      </c>
      <c r="J936" s="32" t="n">
        <v>22783.0</v>
      </c>
      <c r="K936" s="33" t="n">
        <v>21195.43</v>
      </c>
      <c r="L936" s="34" t="n">
        <v>22.0</v>
      </c>
      <c r="M936" s="35" t="n">
        <v>15877.68</v>
      </c>
      <c r="N936" s="36" t="inlineStr">
        <is>
          <t>25 Ağustos 08.00-1 Eylül 07.59</t>
        </is>
      </c>
      <c r="O936" s="37" t="n">
        <v>16.3</v>
      </c>
      <c r="P936" s="38" t="n">
        <v>21195.43</v>
      </c>
      <c r="Q936" s="39"/>
      <c r="R936" s="40" t="n">
        <f>=IF(AND(ISBLANK(Q936), ISBLANK(U936)), "", "7 Günlük Fiyat")</f>
        <v>0.0</v>
      </c>
      <c r="S936" s="41" t="n">
        <f>=IF(OR(Q936="", R936=""), "-", IF(ISNUMBER(SEARCH("7 Günlük", R936)), IF(Q936&lt;=M936, O936, "-"), "-"))</f>
        <v>0.0</v>
      </c>
      <c r="T936" s="42" t="str">
        <f>=IF(ISBLANK(Q936), "", "Hayır")</f>
      </c>
      <c r="U936" s="43"/>
      <c r="V936" s="44" t="inlineStr">
        <is>
          <t>50461ed1-c2c8-4393-967e-55d58a3e2664</t>
        </is>
      </c>
    </row>
    <row r="937">
      <c r="A937" s="23" t="inlineStr">
        <is>
          <t>Rampalı Kıvırcık Paspas Iş Yeri Paspası Su Emici Kaymaz Paspas Kivircik Iş Yeri Paspas Apartman Ofis</t>
        </is>
      </c>
      <c r="B937" s="24" t="inlineStr">
        <is>
          <t>772451067</t>
        </is>
      </c>
      <c r="C937" s="25" t="inlineStr">
        <is>
          <t>KIVIRCIKRAMPALII-KR1-TURKUAZ-120x1150</t>
        </is>
      </c>
      <c r="D937" s="26" t="inlineStr">
        <is>
          <t>KIVIRCIKRAMPALII-KR1-TURKUAZ-120x1150</t>
        </is>
      </c>
      <c r="E937" s="27" t="inlineStr">
        <is>
          <t>120 x 1150</t>
        </is>
      </c>
      <c r="F937" s="28" t="inlineStr">
        <is>
          <t>TYCSS3MAPN169778498328887</t>
        </is>
      </c>
      <c r="G937" s="29" t="inlineStr">
        <is>
          <t>Kapı Önü Paspası</t>
        </is>
      </c>
      <c r="H937" s="30" t="inlineStr">
        <is>
          <t>Paspas Yap</t>
        </is>
      </c>
      <c r="I937" s="31" t="n">
        <v>93.0</v>
      </c>
      <c r="J937" s="32" t="n">
        <v>27850.0</v>
      </c>
      <c r="K937" s="33" t="n">
        <v>25812.05</v>
      </c>
      <c r="L937" s="34" t="n">
        <v>22.0</v>
      </c>
      <c r="M937" s="35" t="n">
        <v>19170.45</v>
      </c>
      <c r="N937" s="36" t="inlineStr">
        <is>
          <t>25 Ağustos 08.00-1 Eylül 07.59</t>
        </is>
      </c>
      <c r="O937" s="37" t="n">
        <v>16.1</v>
      </c>
      <c r="P937" s="38" t="n">
        <v>25812.05</v>
      </c>
      <c r="Q937" s="39"/>
      <c r="R937" s="40" t="n">
        <f>=IF(AND(ISBLANK(Q937), ISBLANK(U937)), "", "7 Günlük Fiyat")</f>
        <v>0.0</v>
      </c>
      <c r="S937" s="41" t="n">
        <f>=IF(OR(Q937="", R937=""), "-", IF(ISNUMBER(SEARCH("7 Günlük", R937)), IF(Q937&lt;=M937, O937, "-"), "-"))</f>
        <v>0.0</v>
      </c>
      <c r="T937" s="42" t="str">
        <f>=IF(ISBLANK(Q937), "", "Hayır")</f>
      </c>
      <c r="U937" s="43"/>
      <c r="V937" s="44" t="inlineStr">
        <is>
          <t>50461ed1-c2c8-4393-967e-55d58a3e2664</t>
        </is>
      </c>
    </row>
    <row r="938">
      <c r="A938" s="23" t="inlineStr">
        <is>
          <t>Rampalı Kıvırcık Paspas Iş Yeri Paspası Su Emici Kaymaz Paspas Kivircik Iş Yeri Paspas Apartman Ofis</t>
        </is>
      </c>
      <c r="B938" s="24" t="inlineStr">
        <is>
          <t>772451067</t>
        </is>
      </c>
      <c r="C938" s="25" t="inlineStr">
        <is>
          <t>KIVIRCIKRAMPALII-KR1-TURKUAZ-80x1100</t>
        </is>
      </c>
      <c r="D938" s="26" t="inlineStr">
        <is>
          <t>KIVIRCIKRAMPALII-KR1-TURKUAZ-80x1100</t>
        </is>
      </c>
      <c r="E938" s="27" t="inlineStr">
        <is>
          <t>80 x 1100</t>
        </is>
      </c>
      <c r="F938" s="28" t="inlineStr">
        <is>
          <t>TYCSS3MAPN169778498328887</t>
        </is>
      </c>
      <c r="G938" s="29" t="inlineStr">
        <is>
          <t>Kapı Önü Paspası</t>
        </is>
      </c>
      <c r="H938" s="30" t="inlineStr">
        <is>
          <t>Paspas Yap</t>
        </is>
      </c>
      <c r="I938" s="31" t="n">
        <v>93.0</v>
      </c>
      <c r="J938" s="32" t="n">
        <v>16344.0</v>
      </c>
      <c r="K938" s="33" t="n">
        <v>15367.49</v>
      </c>
      <c r="L938" s="34" t="n">
        <v>22.0</v>
      </c>
      <c r="M938" s="35" t="n">
        <v>12528.09</v>
      </c>
      <c r="N938" s="36" t="inlineStr">
        <is>
          <t>25 Ağustos 08.00-1 Eylül 07.59</t>
        </is>
      </c>
      <c r="O938" s="37" t="n">
        <v>18.0</v>
      </c>
      <c r="P938" s="38" t="n">
        <v>15367.49</v>
      </c>
      <c r="Q938" s="39"/>
      <c r="R938" s="40" t="n">
        <f>=IF(AND(ISBLANK(Q938), ISBLANK(U938)), "", "7 Günlük Fiyat")</f>
        <v>0.0</v>
      </c>
      <c r="S938" s="41" t="n">
        <f>=IF(OR(Q938="", R938=""), "-", IF(ISNUMBER(SEARCH("7 Günlük", R938)), IF(Q938&lt;=M938, O938, "-"), "-"))</f>
        <v>0.0</v>
      </c>
      <c r="T938" s="42" t="str">
        <f>=IF(ISBLANK(Q938), "", "Hayır")</f>
      </c>
      <c r="U938" s="43"/>
      <c r="V938" s="44" t="inlineStr">
        <is>
          <t>50461ed1-c2c8-4393-967e-55d58a3e2664</t>
        </is>
      </c>
    </row>
    <row r="939">
      <c r="A939" s="23" t="inlineStr">
        <is>
          <t>Rampalı Kıvırcık Paspas Iş Yeri Paspası Su Emici Kaymaz Paspas Kivircik Iş Yeri Paspas Apartman Ofis</t>
        </is>
      </c>
      <c r="B939" s="24" t="inlineStr">
        <is>
          <t>772451067</t>
        </is>
      </c>
      <c r="C939" s="25" t="inlineStr">
        <is>
          <t>KIVIRCIKRAMPALII-KR1-TURKUAZ-80x800</t>
        </is>
      </c>
      <c r="D939" s="26" t="inlineStr">
        <is>
          <t>KIVIRCIKRAMPALII-KR1-TURKUAZ-80x800</t>
        </is>
      </c>
      <c r="E939" s="27" t="inlineStr">
        <is>
          <t>80 x 800</t>
        </is>
      </c>
      <c r="F939" s="28" t="inlineStr">
        <is>
          <t>TYCSS3MAPN169778498328887</t>
        </is>
      </c>
      <c r="G939" s="29" t="inlineStr">
        <is>
          <t>Kapı Önü Paspası</t>
        </is>
      </c>
      <c r="H939" s="30" t="inlineStr">
        <is>
          <t>Paspas Yap</t>
        </is>
      </c>
      <c r="I939" s="31" t="n">
        <v>93.0</v>
      </c>
      <c r="J939" s="32" t="n">
        <v>12499.0</v>
      </c>
      <c r="K939" s="33" t="n">
        <v>11606.34</v>
      </c>
      <c r="L939" s="34" t="n">
        <v>22.0</v>
      </c>
      <c r="M939" s="35" t="n">
        <v>8848.6</v>
      </c>
      <c r="N939" s="36" t="inlineStr">
        <is>
          <t>25 Ağustos 08.00-1 Eylül 07.59</t>
        </is>
      </c>
      <c r="O939" s="37" t="n">
        <v>16.8</v>
      </c>
      <c r="P939" s="38" t="n">
        <v>11606.34</v>
      </c>
      <c r="Q939" s="39"/>
      <c r="R939" s="40" t="n">
        <f>=IF(AND(ISBLANK(Q939), ISBLANK(U939)), "", "7 Günlük Fiyat")</f>
        <v>0.0</v>
      </c>
      <c r="S939" s="41" t="n">
        <f>=IF(OR(Q939="", R939=""), "-", IF(ISNUMBER(SEARCH("7 Günlük", R939)), IF(Q939&lt;=M939, O939, "-"), "-"))</f>
        <v>0.0</v>
      </c>
      <c r="T939" s="42" t="str">
        <f>=IF(ISBLANK(Q939), "", "Hayır")</f>
      </c>
      <c r="U939" s="43"/>
      <c r="V939" s="44" t="inlineStr">
        <is>
          <t>50461ed1-c2c8-4393-967e-55d58a3e2664</t>
        </is>
      </c>
    </row>
    <row r="940">
      <c r="A940" s="23" t="inlineStr">
        <is>
          <t>Rampalı Kıvırcık Paspas Iş Yeri Paspası Su Emici Kaymaz Paspas Kivircik Iş Yeri Paspas Apartman Ofis</t>
        </is>
      </c>
      <c r="B940" s="24" t="inlineStr">
        <is>
          <t>772451067</t>
        </is>
      </c>
      <c r="C940" s="25" t="inlineStr">
        <is>
          <t>KIVIRCIKRAMPALI-KR1-TURKUAZ-100x500</t>
        </is>
      </c>
      <c r="D940" s="26" t="inlineStr">
        <is>
          <t>KIVIRCIKRAMPALI-KR1-TURKUAZ-100x500</t>
        </is>
      </c>
      <c r="E940" s="27" t="inlineStr">
        <is>
          <t>100 x 500</t>
        </is>
      </c>
      <c r="F940" s="28" t="inlineStr">
        <is>
          <t>TYCSS3MAPN169778498328887</t>
        </is>
      </c>
      <c r="G940" s="29" t="inlineStr">
        <is>
          <t>Kapı Önü Paspası</t>
        </is>
      </c>
      <c r="H940" s="30" t="inlineStr">
        <is>
          <t>Paspas Yap</t>
        </is>
      </c>
      <c r="I940" s="31" t="n">
        <v>93.0</v>
      </c>
      <c r="J940" s="32" t="n">
        <v>9870.0</v>
      </c>
      <c r="K940" s="33" t="n">
        <v>9046.15</v>
      </c>
      <c r="L940" s="34" t="n">
        <v>22.0</v>
      </c>
      <c r="M940" s="35" t="n">
        <v>7134.21</v>
      </c>
      <c r="N940" s="36" t="inlineStr">
        <is>
          <t>25 Ağustos 08.00-1 Eylül 07.59</t>
        </is>
      </c>
      <c r="O940" s="37" t="n">
        <v>17.2</v>
      </c>
      <c r="P940" s="38" t="n">
        <v>9046.15</v>
      </c>
      <c r="Q940" s="39"/>
      <c r="R940" s="40" t="n">
        <f>=IF(AND(ISBLANK(Q940), ISBLANK(U940)), "", "7 Günlük Fiyat")</f>
        <v>0.0</v>
      </c>
      <c r="S940" s="41" t="n">
        <f>=IF(OR(Q940="", R940=""), "-", IF(ISNUMBER(SEARCH("7 Günlük", R940)), IF(Q940&lt;=M940, O940, "-"), "-"))</f>
        <v>0.0</v>
      </c>
      <c r="T940" s="42" t="str">
        <f>=IF(ISBLANK(Q940), "", "Hayır")</f>
      </c>
      <c r="U940" s="43"/>
      <c r="V940" s="44" t="inlineStr">
        <is>
          <t>50461ed1-c2c8-4393-967e-55d58a3e2664</t>
        </is>
      </c>
    </row>
    <row r="941">
      <c r="A941" s="23" t="inlineStr">
        <is>
          <t>Rampalı Kıvırcık Paspas Iş Yeri Paspası Su Emici Kaymaz Paspas Kivircik Iş Yeri Paspas Apartman Ofis</t>
        </is>
      </c>
      <c r="B941" s="24" t="inlineStr">
        <is>
          <t>772451067</t>
        </is>
      </c>
      <c r="C941" s="25" t="inlineStr">
        <is>
          <t>KIVIRCIKRAMPALII-KR1-TURKUAZ-120x1200</t>
        </is>
      </c>
      <c r="D941" s="26" t="inlineStr">
        <is>
          <t>KIVIRCIKRAMPALII-KR1-TURKUAZ-120x1200</t>
        </is>
      </c>
      <c r="E941" s="27" t="inlineStr">
        <is>
          <t>120 x 1200</t>
        </is>
      </c>
      <c r="F941" s="28" t="inlineStr">
        <is>
          <t>TYCSS3MAPN169778498328887</t>
        </is>
      </c>
      <c r="G941" s="29" t="inlineStr">
        <is>
          <t>Kapı Önü Paspası</t>
        </is>
      </c>
      <c r="H941" s="30" t="inlineStr">
        <is>
          <t>Paspas Yap</t>
        </is>
      </c>
      <c r="I941" s="31" t="n">
        <v>93.0</v>
      </c>
      <c r="J941" s="32" t="n">
        <v>28738.0</v>
      </c>
      <c r="K941" s="33" t="n">
        <v>26576.18</v>
      </c>
      <c r="L941" s="34" t="n">
        <v>22.0</v>
      </c>
      <c r="M941" s="35" t="n">
        <v>19724.98</v>
      </c>
      <c r="N941" s="36" t="inlineStr">
        <is>
          <t>25 Ağustos 08.00-1 Eylül 07.59</t>
        </is>
      </c>
      <c r="O941" s="37" t="n">
        <v>16.1</v>
      </c>
      <c r="P941" s="38" t="n">
        <v>26576.18</v>
      </c>
      <c r="Q941" s="39"/>
      <c r="R941" s="40" t="n">
        <f>=IF(AND(ISBLANK(Q941), ISBLANK(U941)), "", "7 Günlük Fiyat")</f>
        <v>0.0</v>
      </c>
      <c r="S941" s="41" t="n">
        <f>=IF(OR(Q941="", R941=""), "-", IF(ISNUMBER(SEARCH("7 Günlük", R941)), IF(Q941&lt;=M941, O941, "-"), "-"))</f>
        <v>0.0</v>
      </c>
      <c r="T941" s="42" t="str">
        <f>=IF(ISBLANK(Q941), "", "Hayır")</f>
      </c>
      <c r="U941" s="43"/>
      <c r="V941" s="44" t="inlineStr">
        <is>
          <t>50461ed1-c2c8-4393-967e-55d58a3e2664</t>
        </is>
      </c>
    </row>
    <row r="942">
      <c r="A942" s="23" t="inlineStr">
        <is>
          <t>Rampalı Kıvırcık Paspas Iş Yeri Paspası Su Emici Kaymaz Paspas Kivircik Iş Yeri Paspas Apartman Ofis</t>
        </is>
      </c>
      <c r="B942" s="24" t="inlineStr">
        <is>
          <t>772451067</t>
        </is>
      </c>
      <c r="C942" s="25" t="inlineStr">
        <is>
          <t>KIVIRCIKRAMPALII-KR1-TURKUAZ-80x400</t>
        </is>
      </c>
      <c r="D942" s="26" t="inlineStr">
        <is>
          <t>KIVIRCIKRAMPALII-KR1-TURKUAZ-80x400</t>
        </is>
      </c>
      <c r="E942" s="27" t="inlineStr">
        <is>
          <t>80 x 400</t>
        </is>
      </c>
      <c r="F942" s="28" t="inlineStr">
        <is>
          <t>TYCSS3MAPN169778498328887</t>
        </is>
      </c>
      <c r="G942" s="29" t="inlineStr">
        <is>
          <t>Kapı Önü Paspası</t>
        </is>
      </c>
      <c r="H942" s="30" t="inlineStr">
        <is>
          <t>Paspas Yap</t>
        </is>
      </c>
      <c r="I942" s="31" t="n">
        <v>93.0</v>
      </c>
      <c r="J942" s="32" t="n">
        <v>6499.0</v>
      </c>
      <c r="K942" s="33" t="n">
        <v>6055.68</v>
      </c>
      <c r="L942" s="34" t="n">
        <v>22.0</v>
      </c>
      <c r="M942" s="35" t="n">
        <v>4630.7</v>
      </c>
      <c r="N942" s="36" t="inlineStr">
        <is>
          <t>25 Ağustos 08.00-1 Eylül 07.59</t>
        </is>
      </c>
      <c r="O942" s="37" t="n">
        <v>16.8</v>
      </c>
      <c r="P942" s="38" t="n">
        <v>6055.68</v>
      </c>
      <c r="Q942" s="39"/>
      <c r="R942" s="40" t="n">
        <f>=IF(AND(ISBLANK(Q942), ISBLANK(U942)), "", "7 Günlük Fiyat")</f>
        <v>0.0</v>
      </c>
      <c r="S942" s="41" t="n">
        <f>=IF(OR(Q942="", R942=""), "-", IF(ISNUMBER(SEARCH("7 Günlük", R942)), IF(Q942&lt;=M942, O942, "-"), "-"))</f>
        <v>0.0</v>
      </c>
      <c r="T942" s="42" t="str">
        <f>=IF(ISBLANK(Q942), "", "Hayır")</f>
      </c>
      <c r="U942" s="43"/>
      <c r="V942" s="44" t="inlineStr">
        <is>
          <t>50461ed1-c2c8-4393-967e-55d58a3e2664</t>
        </is>
      </c>
    </row>
    <row r="943">
      <c r="A943" s="23" t="inlineStr">
        <is>
          <t>Rampalı Kıvırcık Paspas Iş Yeri Paspası Su Emici Kaymaz Paspas Kivircik Iş Yeri Paspas Apartman Ofis</t>
        </is>
      </c>
      <c r="B943" s="24" t="inlineStr">
        <is>
          <t>772451067</t>
        </is>
      </c>
      <c r="C943" s="25" t="inlineStr">
        <is>
          <t>KIVIRCIKRAMPALII-KR1-TURKUAZ-100x100</t>
        </is>
      </c>
      <c r="D943" s="26" t="inlineStr">
        <is>
          <t>KIVIRCIKRAMPALII-KR1-TURKUAZ-100x100</t>
        </is>
      </c>
      <c r="E943" s="27" t="inlineStr">
        <is>
          <t>100 x 100</t>
        </is>
      </c>
      <c r="F943" s="28" t="inlineStr">
        <is>
          <t>TYCSS3MAPN169778498328887</t>
        </is>
      </c>
      <c r="G943" s="29" t="inlineStr">
        <is>
          <t>Kapı Önü Paspası</t>
        </is>
      </c>
      <c r="H943" s="30" t="inlineStr">
        <is>
          <t>Paspas Yap</t>
        </is>
      </c>
      <c r="I943" s="31" t="n">
        <v>93.0</v>
      </c>
      <c r="J943" s="32" t="n">
        <v>2407.0</v>
      </c>
      <c r="K943" s="33" t="n">
        <v>2168.35</v>
      </c>
      <c r="L943" s="34" t="n">
        <v>22.0</v>
      </c>
      <c r="M943" s="35" t="n">
        <v>1698.74</v>
      </c>
      <c r="N943" s="36" t="inlineStr">
        <is>
          <t>25 Ağustos 08.00-1 Eylül 07.59</t>
        </is>
      </c>
      <c r="O943" s="37" t="n">
        <v>16.9</v>
      </c>
      <c r="P943" s="38" t="n">
        <v>2168.35</v>
      </c>
      <c r="Q943" s="39"/>
      <c r="R943" s="40" t="n">
        <f>=IF(AND(ISBLANK(Q943), ISBLANK(U943)), "", "7 Günlük Fiyat")</f>
        <v>0.0</v>
      </c>
      <c r="S943" s="41" t="n">
        <f>=IF(OR(Q943="", R943=""), "-", IF(ISNUMBER(SEARCH("7 Günlük", R943)), IF(Q943&lt;=M943, O943, "-"), "-"))</f>
        <v>0.0</v>
      </c>
      <c r="T943" s="42" t="str">
        <f>=IF(ISBLANK(Q943), "", "Hayır")</f>
      </c>
      <c r="U943" s="43"/>
      <c r="V943" s="44" t="inlineStr">
        <is>
          <t>50461ed1-c2c8-4393-967e-55d58a3e2664</t>
        </is>
      </c>
    </row>
    <row r="944">
      <c r="A944" s="23" t="inlineStr">
        <is>
          <t>Rampalı Kıvırcık Paspas Iş Yeri Paspası Su Emici Kaymaz Paspas Kivircik Iş Yeri Paspas Apartman Ofis</t>
        </is>
      </c>
      <c r="B944" s="24" t="inlineStr">
        <is>
          <t>772451067</t>
        </is>
      </c>
      <c r="C944" s="25" t="inlineStr">
        <is>
          <t>KIVIRCIKRAMPALI-KR1-TURKUAZ-50x90</t>
        </is>
      </c>
      <c r="D944" s="26" t="inlineStr">
        <is>
          <t>KIVIRCIKRAMPALI-KR1-TURKUAZ-50x90</t>
        </is>
      </c>
      <c r="E944" s="27" t="inlineStr">
        <is>
          <t>50 x 90</t>
        </is>
      </c>
      <c r="F944" s="28" t="inlineStr">
        <is>
          <t>TYCSS3MAPN169778498328887</t>
        </is>
      </c>
      <c r="G944" s="29" t="inlineStr">
        <is>
          <t>Kapı Önü Paspası</t>
        </is>
      </c>
      <c r="H944" s="30" t="inlineStr">
        <is>
          <t>Paspas Yap</t>
        </is>
      </c>
      <c r="I944" s="31" t="n">
        <v>93.0</v>
      </c>
      <c r="J944" s="32" t="n">
        <v>1374.0</v>
      </c>
      <c r="K944" s="33" t="n">
        <v>1187.85</v>
      </c>
      <c r="L944" s="34" t="n">
        <v>22.0</v>
      </c>
      <c r="M944" s="35" t="n">
        <v>936.63</v>
      </c>
      <c r="N944" s="36" t="inlineStr">
        <is>
          <t>25 Ağustos 08.00-1 Eylül 07.59</t>
        </is>
      </c>
      <c r="O944" s="37" t="n">
        <v>16.3</v>
      </c>
      <c r="P944" s="38" t="n">
        <v>1187.85</v>
      </c>
      <c r="Q944" s="39"/>
      <c r="R944" s="40" t="n">
        <f>=IF(AND(ISBLANK(Q944), ISBLANK(U944)), "", "7 Günlük Fiyat")</f>
        <v>0.0</v>
      </c>
      <c r="S944" s="41" t="n">
        <f>=IF(OR(Q944="", R944=""), "-", IF(ISNUMBER(SEARCH("7 Günlük", R944)), IF(Q944&lt;=M944, O944, "-"), "-"))</f>
        <v>0.0</v>
      </c>
      <c r="T944" s="42" t="str">
        <f>=IF(ISBLANK(Q944), "", "Hayır")</f>
      </c>
      <c r="U944" s="43"/>
      <c r="V944" s="44" t="inlineStr">
        <is>
          <t>50461ed1-c2c8-4393-967e-55d58a3e2664</t>
        </is>
      </c>
    </row>
    <row r="945">
      <c r="A945" s="23" t="inlineStr">
        <is>
          <t>Rampalı Kıvırcık Paspas Iş Yeri Paspası Su Emici Kaymaz Paspas Kivircik Iş Yeri Paspas Apartman Ofis</t>
        </is>
      </c>
      <c r="B945" s="24" t="inlineStr">
        <is>
          <t>772451067</t>
        </is>
      </c>
      <c r="C945" s="25" t="inlineStr">
        <is>
          <t>KIVIRCIKRAMPALII-KR1-TURKUAZ-80x1350</t>
        </is>
      </c>
      <c r="D945" s="26" t="inlineStr">
        <is>
          <t>KIVIRCIKRAMPALII-KR1-TURKUAZ-80x1350</t>
        </is>
      </c>
      <c r="E945" s="27" t="inlineStr">
        <is>
          <t>80 x 1350</t>
        </is>
      </c>
      <c r="F945" s="28" t="inlineStr">
        <is>
          <t>TYCSS3MAPN169778498328887</t>
        </is>
      </c>
      <c r="G945" s="29" t="inlineStr">
        <is>
          <t>Kapı Önü Paspası</t>
        </is>
      </c>
      <c r="H945" s="30" t="inlineStr">
        <is>
          <t>Paspas Yap</t>
        </is>
      </c>
      <c r="I945" s="31" t="n">
        <v>93.0</v>
      </c>
      <c r="J945" s="32" t="n">
        <v>23547.0</v>
      </c>
      <c r="K945" s="33" t="n">
        <v>21818.68</v>
      </c>
      <c r="L945" s="34" t="n">
        <v>22.0</v>
      </c>
      <c r="M945" s="35" t="n">
        <v>16245.55</v>
      </c>
      <c r="N945" s="36" t="inlineStr">
        <is>
          <t>25 Ağustos 08.00-1 Eylül 07.59</t>
        </is>
      </c>
      <c r="O945" s="37" t="n">
        <v>16.2</v>
      </c>
      <c r="P945" s="38" t="n">
        <v>21818.68</v>
      </c>
      <c r="Q945" s="39"/>
      <c r="R945" s="40" t="n">
        <f>=IF(AND(ISBLANK(Q945), ISBLANK(U945)), "", "7 Günlük Fiyat")</f>
        <v>0.0</v>
      </c>
      <c r="S945" s="41" t="n">
        <f>=IF(OR(Q945="", R945=""), "-", IF(ISNUMBER(SEARCH("7 Günlük", R945)), IF(Q945&lt;=M945, O945, "-"), "-"))</f>
        <v>0.0</v>
      </c>
      <c r="T945" s="42" t="str">
        <f>=IF(ISBLANK(Q945), "", "Hayır")</f>
      </c>
      <c r="U945" s="43"/>
      <c r="V945" s="44" t="inlineStr">
        <is>
          <t>50461ed1-c2c8-4393-967e-55d58a3e2664</t>
        </is>
      </c>
    </row>
    <row r="946">
      <c r="A946" s="23" t="inlineStr">
        <is>
          <t>Rampalı Kıvırcık Paspas Iş Yeri Paspası Su Emici Kaymaz Paspas Kivircik Iş Yeri Paspas Apartman Ofis</t>
        </is>
      </c>
      <c r="B946" s="24" t="inlineStr">
        <is>
          <t>772451067</t>
        </is>
      </c>
      <c r="C946" s="25" t="inlineStr">
        <is>
          <t>KIVIRCIKRAMPALII-KR1-TURKUAZ-120x850</t>
        </is>
      </c>
      <c r="D946" s="26" t="inlineStr">
        <is>
          <t>KIVIRCIKRAMPALII-KR1-TURKUAZ-120x850</t>
        </is>
      </c>
      <c r="E946" s="27" t="inlineStr">
        <is>
          <t>120 x 850</t>
        </is>
      </c>
      <c r="F946" s="28" t="inlineStr">
        <is>
          <t>TYCSS3MAPN169778498328887</t>
        </is>
      </c>
      <c r="G946" s="29" t="inlineStr">
        <is>
          <t>Kapı Önü Paspası</t>
        </is>
      </c>
      <c r="H946" s="30" t="inlineStr">
        <is>
          <t>Paspas Yap</t>
        </is>
      </c>
      <c r="I946" s="31" t="n">
        <v>93.0</v>
      </c>
      <c r="J946" s="32" t="n">
        <v>22389.0</v>
      </c>
      <c r="K946" s="33" t="n">
        <v>20780.11</v>
      </c>
      <c r="L946" s="34" t="n">
        <v>22.0</v>
      </c>
      <c r="M946" s="35" t="n">
        <v>15693.4</v>
      </c>
      <c r="N946" s="36" t="inlineStr">
        <is>
          <t>25 Ağustos 08.00-1 Eylül 07.59</t>
        </is>
      </c>
      <c r="O946" s="37" t="n">
        <v>16.5</v>
      </c>
      <c r="P946" s="38" t="n">
        <v>20780.11</v>
      </c>
      <c r="Q946" s="39"/>
      <c r="R946" s="40" t="n">
        <f>=IF(AND(ISBLANK(Q946), ISBLANK(U946)), "", "7 Günlük Fiyat")</f>
        <v>0.0</v>
      </c>
      <c r="S946" s="41" t="n">
        <f>=IF(OR(Q946="", R946=""), "-", IF(ISNUMBER(SEARCH("7 Günlük", R946)), IF(Q946&lt;=M946, O946, "-"), "-"))</f>
        <v>0.0</v>
      </c>
      <c r="T946" s="42" t="str">
        <f>=IF(ISBLANK(Q946), "", "Hayır")</f>
      </c>
      <c r="U946" s="43"/>
      <c r="V946" s="44" t="inlineStr">
        <is>
          <t>50461ed1-c2c8-4393-967e-55d58a3e2664</t>
        </is>
      </c>
    </row>
    <row r="947">
      <c r="A947" s="23" t="inlineStr">
        <is>
          <t>Rampalı Kıvırcık Paspas Iş Yeri Paspası Su Emici Kaymaz Paspas Kivircik Iş Yeri Paspas Apartman Ofis</t>
        </is>
      </c>
      <c r="B947" s="24" t="inlineStr">
        <is>
          <t>772451067</t>
        </is>
      </c>
      <c r="C947" s="25" t="inlineStr">
        <is>
          <t>KIVIRCIKRAMPALII-KR1-TURKUAZ-80x650</t>
        </is>
      </c>
      <c r="D947" s="26" t="inlineStr">
        <is>
          <t>KIVIRCIKRAMPALII-KR1-TURKUAZ-80x650</t>
        </is>
      </c>
      <c r="E947" s="27" t="inlineStr">
        <is>
          <t>80 x 650</t>
        </is>
      </c>
      <c r="F947" s="28" t="inlineStr">
        <is>
          <t>TYCSS3MAPN169778498328887</t>
        </is>
      </c>
      <c r="G947" s="29" t="inlineStr">
        <is>
          <t>Kapı Önü Paspası</t>
        </is>
      </c>
      <c r="H947" s="30" t="inlineStr">
        <is>
          <t>Paspas Yap</t>
        </is>
      </c>
      <c r="I947" s="31" t="n">
        <v>93.0</v>
      </c>
      <c r="J947" s="32" t="n">
        <v>10670.0</v>
      </c>
      <c r="K947" s="33" t="n">
        <v>9915.93</v>
      </c>
      <c r="L947" s="34" t="n">
        <v>22.0</v>
      </c>
      <c r="M947" s="35" t="n">
        <v>7635.56</v>
      </c>
      <c r="N947" s="36" t="inlineStr">
        <is>
          <t>25 Ağustos 08.00-1 Eylül 07.59</t>
        </is>
      </c>
      <c r="O947" s="37" t="n">
        <v>17.0</v>
      </c>
      <c r="P947" s="38" t="n">
        <v>9915.93</v>
      </c>
      <c r="Q947" s="39"/>
      <c r="R947" s="40" t="n">
        <f>=IF(AND(ISBLANK(Q947), ISBLANK(U947)), "", "7 Günlük Fiyat")</f>
        <v>0.0</v>
      </c>
      <c r="S947" s="41" t="n">
        <f>=IF(OR(Q947="", R947=""), "-", IF(ISNUMBER(SEARCH("7 Günlük", R947)), IF(Q947&lt;=M947, O947, "-"), "-"))</f>
        <v>0.0</v>
      </c>
      <c r="T947" s="42" t="str">
        <f>=IF(ISBLANK(Q947), "", "Hayır")</f>
      </c>
      <c r="U947" s="43"/>
      <c r="V947" s="44" t="inlineStr">
        <is>
          <t>50461ed1-c2c8-4393-967e-55d58a3e2664</t>
        </is>
      </c>
    </row>
    <row r="948">
      <c r="A948" s="23" t="inlineStr">
        <is>
          <t>Rampalı Kıvırcık Paspas Iş Yeri Paspası Su Emici Kaymaz Paspas Kivircik Iş Yeri Paspas Apartman Ofis</t>
        </is>
      </c>
      <c r="B948" s="24" t="inlineStr">
        <is>
          <t>772451067</t>
        </is>
      </c>
      <c r="C948" s="25" t="inlineStr">
        <is>
          <t>KIVIRCIKRAMPALI-KR1-TURKUAZ-100x800</t>
        </is>
      </c>
      <c r="D948" s="26" t="inlineStr">
        <is>
          <t>KIVIRCIKRAMPALI-KR1-TURKUAZ-100x800</t>
        </is>
      </c>
      <c r="E948" s="27" t="inlineStr">
        <is>
          <t>100 x 800</t>
        </is>
      </c>
      <c r="F948" s="28" t="inlineStr">
        <is>
          <t>TYCSS3MAPN169778498328887</t>
        </is>
      </c>
      <c r="G948" s="29" t="inlineStr">
        <is>
          <t>Kapı Önü Paspası</t>
        </is>
      </c>
      <c r="H948" s="30" t="inlineStr">
        <is>
          <t>Paspas Yap</t>
        </is>
      </c>
      <c r="I948" s="31" t="n">
        <v>93.0</v>
      </c>
      <c r="J948" s="32" t="n">
        <v>15030.0</v>
      </c>
      <c r="K948" s="33" t="n">
        <v>14030.64</v>
      </c>
      <c r="L948" s="34" t="n">
        <v>22.0</v>
      </c>
      <c r="M948" s="35" t="n">
        <v>11431.66</v>
      </c>
      <c r="N948" s="36" t="inlineStr">
        <is>
          <t>25 Ağustos 08.00-1 Eylül 07.59</t>
        </is>
      </c>
      <c r="O948" s="37" t="n">
        <v>17.9</v>
      </c>
      <c r="P948" s="38" t="n">
        <v>14030.64</v>
      </c>
      <c r="Q948" s="39"/>
      <c r="R948" s="40" t="n">
        <f>=IF(AND(ISBLANK(Q948), ISBLANK(U948)), "", "7 Günlük Fiyat")</f>
        <v>0.0</v>
      </c>
      <c r="S948" s="41" t="n">
        <f>=IF(OR(Q948="", R948=""), "-", IF(ISNUMBER(SEARCH("7 Günlük", R948)), IF(Q948&lt;=M948, O948, "-"), "-"))</f>
        <v>0.0</v>
      </c>
      <c r="T948" s="42" t="str">
        <f>=IF(ISBLANK(Q948), "", "Hayır")</f>
      </c>
      <c r="U948" s="43"/>
      <c r="V948" s="44" t="inlineStr">
        <is>
          <t>50461ed1-c2c8-4393-967e-55d58a3e2664</t>
        </is>
      </c>
    </row>
    <row r="949">
      <c r="A949" s="23" t="inlineStr">
        <is>
          <t>Rampalı Kıvırcık Paspas Iş Yeri Paspası Su Emici Kaymaz Paspas Kivircik Iş Yeri Paspas Apartman Ofis</t>
        </is>
      </c>
      <c r="B949" s="24" t="inlineStr">
        <is>
          <t>772451067</t>
        </is>
      </c>
      <c r="C949" s="25" t="inlineStr">
        <is>
          <t>KIVIRCIKRAMPALII-KR1-TURKUAZ-120x350</t>
        </is>
      </c>
      <c r="D949" s="26" t="inlineStr">
        <is>
          <t>KIVIRCIKRAMPALII-KR1-TURKUAZ-120x350</t>
        </is>
      </c>
      <c r="E949" s="27" t="inlineStr">
        <is>
          <t>120 x 350</t>
        </is>
      </c>
      <c r="F949" s="28" t="inlineStr">
        <is>
          <t>TYCSS3MAPN169778498328887</t>
        </is>
      </c>
      <c r="G949" s="29" t="inlineStr">
        <is>
          <t>Kapı Önü Paspası</t>
        </is>
      </c>
      <c r="H949" s="30" t="inlineStr">
        <is>
          <t>Paspas Yap</t>
        </is>
      </c>
      <c r="I949" s="31" t="n">
        <v>93.0</v>
      </c>
      <c r="J949" s="32" t="n">
        <v>8187.0</v>
      </c>
      <c r="K949" s="33" t="n">
        <v>7422.91</v>
      </c>
      <c r="L949" s="34" t="n">
        <v>22.0</v>
      </c>
      <c r="M949" s="35" t="n">
        <v>5785.52</v>
      </c>
      <c r="N949" s="36" t="inlineStr">
        <is>
          <t>25 Ağustos 08.00-1 Eylül 07.59</t>
        </is>
      </c>
      <c r="O949" s="37" t="n">
        <v>16.9</v>
      </c>
      <c r="P949" s="38" t="n">
        <v>7422.91</v>
      </c>
      <c r="Q949" s="39"/>
      <c r="R949" s="40" t="n">
        <f>=IF(AND(ISBLANK(Q949), ISBLANK(U949)), "", "7 Günlük Fiyat")</f>
        <v>0.0</v>
      </c>
      <c r="S949" s="41" t="n">
        <f>=IF(OR(Q949="", R949=""), "-", IF(ISNUMBER(SEARCH("7 Günlük", R949)), IF(Q949&lt;=M949, O949, "-"), "-"))</f>
        <v>0.0</v>
      </c>
      <c r="T949" s="42" t="str">
        <f>=IF(ISBLANK(Q949), "", "Hayır")</f>
      </c>
      <c r="U949" s="43"/>
      <c r="V949" s="44" t="inlineStr">
        <is>
          <t>50461ed1-c2c8-4393-967e-55d58a3e2664</t>
        </is>
      </c>
    </row>
    <row r="950">
      <c r="A950" s="23" t="inlineStr">
        <is>
          <t>Rampalı Kıvırcık Paspas Iş Yeri Paspası Su Emici Kaymaz Paspas Kivircik Iş Yeri Paspas Apartman Ofis</t>
        </is>
      </c>
      <c r="B950" s="24" t="inlineStr">
        <is>
          <t>772451067</t>
        </is>
      </c>
      <c r="C950" s="25" t="inlineStr">
        <is>
          <t>KIVIRCIKRAMPALII-KR1-TURKUAZ-100x250</t>
        </is>
      </c>
      <c r="D950" s="26" t="inlineStr">
        <is>
          <t>KIVIRCIKRAMPALII-KR1-TURKUAZ-100x250</t>
        </is>
      </c>
      <c r="E950" s="27" t="inlineStr">
        <is>
          <t>100 x 250</t>
        </is>
      </c>
      <c r="F950" s="28" t="inlineStr">
        <is>
          <t>TYCSS3MAPN169778498328887</t>
        </is>
      </c>
      <c r="G950" s="29" t="inlineStr">
        <is>
          <t>Kapı Önü Paspası</t>
        </is>
      </c>
      <c r="H950" s="30" t="inlineStr">
        <is>
          <t>Paspas Yap</t>
        </is>
      </c>
      <c r="I950" s="31" t="n">
        <v>93.0</v>
      </c>
      <c r="J950" s="32" t="n">
        <v>4722.0</v>
      </c>
      <c r="K950" s="33" t="n">
        <v>4387.62</v>
      </c>
      <c r="L950" s="34" t="n">
        <v>22.0</v>
      </c>
      <c r="M950" s="35" t="n">
        <v>3383.33</v>
      </c>
      <c r="N950" s="36" t="inlineStr">
        <is>
          <t>25 Ağustos 08.00-1 Eylül 07.59</t>
        </is>
      </c>
      <c r="O950" s="37" t="n">
        <v>16.9</v>
      </c>
      <c r="P950" s="38" t="n">
        <v>4387.62</v>
      </c>
      <c r="Q950" s="39"/>
      <c r="R950" s="40" t="n">
        <f>=IF(AND(ISBLANK(Q950), ISBLANK(U950)), "", "7 Günlük Fiyat")</f>
        <v>0.0</v>
      </c>
      <c r="S950" s="41" t="n">
        <f>=IF(OR(Q950="", R950=""), "-", IF(ISNUMBER(SEARCH("7 Günlük", R950)), IF(Q950&lt;=M950, O950, "-"), "-"))</f>
        <v>0.0</v>
      </c>
      <c r="T950" s="42" t="str">
        <f>=IF(ISBLANK(Q950), "", "Hayır")</f>
      </c>
      <c r="U950" s="43"/>
      <c r="V950" s="44" t="inlineStr">
        <is>
          <t>50461ed1-c2c8-4393-967e-55d58a3e2664</t>
        </is>
      </c>
    </row>
    <row r="951">
      <c r="A951" s="23" t="inlineStr">
        <is>
          <t>Rampalı Kıvırcık Paspas Iş Yeri Paspası Su Emici Kaymaz Paspas Kivircik Iş Yeri Paspas Apartman Ofis</t>
        </is>
      </c>
      <c r="B951" s="24" t="inlineStr">
        <is>
          <t>772451067</t>
        </is>
      </c>
      <c r="C951" s="25" t="inlineStr">
        <is>
          <t>KIVIRCIKRAMPALI-KR1-TURKUAZ-40x70</t>
        </is>
      </c>
      <c r="D951" s="26" t="inlineStr">
        <is>
          <t>KIVIRCIKRAMPALI-KR1-TURKUAZ-40x70</t>
        </is>
      </c>
      <c r="E951" s="27" t="inlineStr">
        <is>
          <t>40 x 70</t>
        </is>
      </c>
      <c r="F951" s="28" t="inlineStr">
        <is>
          <t>TYCSS3MAPN169778498328887</t>
        </is>
      </c>
      <c r="G951" s="29" t="inlineStr">
        <is>
          <t>Kapı Önü Paspası</t>
        </is>
      </c>
      <c r="H951" s="30" t="inlineStr">
        <is>
          <t>Paspas Yap</t>
        </is>
      </c>
      <c r="I951" s="31" t="n">
        <v>93.0</v>
      </c>
      <c r="J951" s="32" t="n">
        <v>1062.0</v>
      </c>
      <c r="K951" s="33" t="n">
        <v>955.8</v>
      </c>
      <c r="L951" s="34" t="n">
        <v>22.0</v>
      </c>
      <c r="M951" s="35" t="n">
        <v>790.63</v>
      </c>
      <c r="N951" s="36" t="inlineStr">
        <is>
          <t>25 Ağustos 08.00-1 Eylül 07.59</t>
        </is>
      </c>
      <c r="O951" s="37" t="n">
        <v>17.8</v>
      </c>
      <c r="P951" s="38" t="n">
        <v>955.8</v>
      </c>
      <c r="Q951" s="39"/>
      <c r="R951" s="40" t="n">
        <f>=IF(AND(ISBLANK(Q951), ISBLANK(U951)), "", "7 Günlük Fiyat")</f>
        <v>0.0</v>
      </c>
      <c r="S951" s="41" t="n">
        <f>=IF(OR(Q951="", R951=""), "-", IF(ISNUMBER(SEARCH("7 Günlük", R951)), IF(Q951&lt;=M951, O951, "-"), "-"))</f>
        <v>0.0</v>
      </c>
      <c r="T951" s="42" t="str">
        <f>=IF(ISBLANK(Q951), "", "Hayır")</f>
      </c>
      <c r="U951" s="43"/>
      <c r="V951" s="44" t="inlineStr">
        <is>
          <t>50461ed1-c2c8-4393-967e-55d58a3e2664</t>
        </is>
      </c>
    </row>
    <row r="952">
      <c r="A952" s="23" t="inlineStr">
        <is>
          <t>Rampalı Kıvırcık Paspas Iş Yeri Paspası Su Emici Kaymaz Paspas Kivircik Iş Yeri Paspas Apartman Ofis</t>
        </is>
      </c>
      <c r="B952" s="24" t="inlineStr">
        <is>
          <t>772451067</t>
        </is>
      </c>
      <c r="C952" s="25" t="inlineStr">
        <is>
          <t>KIVIRCIKRAMPALII-KR1-TURKUAZ-80x350</t>
        </is>
      </c>
      <c r="D952" s="26" t="inlineStr">
        <is>
          <t>KIVIRCIKRAMPALII-KR1-TURKUAZ-80x350</t>
        </is>
      </c>
      <c r="E952" s="27" t="inlineStr">
        <is>
          <t>80 x 350</t>
        </is>
      </c>
      <c r="F952" s="28" t="inlineStr">
        <is>
          <t>TYCSS3MAPN169778498328887</t>
        </is>
      </c>
      <c r="G952" s="29" t="inlineStr">
        <is>
          <t>Kapı Önü Paspası</t>
        </is>
      </c>
      <c r="H952" s="30" t="inlineStr">
        <is>
          <t>Paspas Yap</t>
        </is>
      </c>
      <c r="I952" s="31" t="n">
        <v>93.0</v>
      </c>
      <c r="J952" s="32" t="n">
        <v>5293.0</v>
      </c>
      <c r="K952" s="33" t="n">
        <v>4886.45</v>
      </c>
      <c r="L952" s="34" t="n">
        <v>22.0</v>
      </c>
      <c r="M952" s="35" t="n">
        <v>3976.44</v>
      </c>
      <c r="N952" s="36" t="inlineStr">
        <is>
          <t>25 Ağustos 08.00-1 Eylül 07.59</t>
        </is>
      </c>
      <c r="O952" s="37" t="n">
        <v>17.7</v>
      </c>
      <c r="P952" s="38" t="n">
        <v>4886.45</v>
      </c>
      <c r="Q952" s="39"/>
      <c r="R952" s="40" t="n">
        <f>=IF(AND(ISBLANK(Q952), ISBLANK(U952)), "", "7 Günlük Fiyat")</f>
        <v>0.0</v>
      </c>
      <c r="S952" s="41" t="n">
        <f>=IF(OR(Q952="", R952=""), "-", IF(ISNUMBER(SEARCH("7 Günlük", R952)), IF(Q952&lt;=M952, O952, "-"), "-"))</f>
        <v>0.0</v>
      </c>
      <c r="T952" s="42" t="str">
        <f>=IF(ISBLANK(Q952), "", "Hayır")</f>
      </c>
      <c r="U952" s="43"/>
      <c r="V952" s="44" t="inlineStr">
        <is>
          <t>50461ed1-c2c8-4393-967e-55d58a3e2664</t>
        </is>
      </c>
    </row>
    <row r="953">
      <c r="A953" s="23" t="inlineStr">
        <is>
          <t>Rampalı Kıvırcık Paspas Iş Yeri Paspası Su Emici Kaymaz Paspas Kivircik Iş Yeri Paspas Apartman Ofis</t>
        </is>
      </c>
      <c r="B953" s="24" t="inlineStr">
        <is>
          <t>772451067</t>
        </is>
      </c>
      <c r="C953" s="25" t="inlineStr">
        <is>
          <t>KIVIRCIKRAMPALII-KR1-TURKUAZ-120x1450</t>
        </is>
      </c>
      <c r="D953" s="26" t="inlineStr">
        <is>
          <t>KIVIRCIKRAMPALII-KR1-TURKUAZ-120x1450</t>
        </is>
      </c>
      <c r="E953" s="27" t="inlineStr">
        <is>
          <t>120 x 1450</t>
        </is>
      </c>
      <c r="F953" s="28" t="inlineStr">
        <is>
          <t>TYCSS3MAPN169778498328887</t>
        </is>
      </c>
      <c r="G953" s="29" t="inlineStr">
        <is>
          <t>Kapı Önü Paspası</t>
        </is>
      </c>
      <c r="H953" s="30" t="inlineStr">
        <is>
          <t>Paspas Yap</t>
        </is>
      </c>
      <c r="I953" s="31" t="n">
        <v>93.0</v>
      </c>
      <c r="J953" s="32" t="n">
        <v>33587.0</v>
      </c>
      <c r="K953" s="33" t="n">
        <v>31310.66</v>
      </c>
      <c r="L953" s="34" t="n">
        <v>22.0</v>
      </c>
      <c r="M953" s="35" t="n">
        <v>23577.9</v>
      </c>
      <c r="N953" s="36" t="inlineStr">
        <is>
          <t>25 Ağustos 08.00-1 Eylül 07.59</t>
        </is>
      </c>
      <c r="O953" s="37" t="n">
        <v>16.4</v>
      </c>
      <c r="P953" s="38" t="n">
        <v>31310.66</v>
      </c>
      <c r="Q953" s="39"/>
      <c r="R953" s="40" t="n">
        <f>=IF(AND(ISBLANK(Q953), ISBLANK(U953)), "", "7 Günlük Fiyat")</f>
        <v>0.0</v>
      </c>
      <c r="S953" s="41" t="n">
        <f>=IF(OR(Q953="", R953=""), "-", IF(ISNUMBER(SEARCH("7 Günlük", R953)), IF(Q953&lt;=M953, O953, "-"), "-"))</f>
        <v>0.0</v>
      </c>
      <c r="T953" s="42" t="str">
        <f>=IF(ISBLANK(Q953), "", "Hayır")</f>
      </c>
      <c r="U953" s="43"/>
      <c r="V953" s="44" t="inlineStr">
        <is>
          <t>50461ed1-c2c8-4393-967e-55d58a3e2664</t>
        </is>
      </c>
    </row>
    <row r="954">
      <c r="A954" s="23" t="inlineStr">
        <is>
          <t>Rampalı Kıvırcık Paspas Iş Yeri Paspası Su Emici Kaymaz Paspas Kivircik Iş Yeri Paspas Apartman Ofis</t>
        </is>
      </c>
      <c r="B954" s="24" t="inlineStr">
        <is>
          <t>772451067</t>
        </is>
      </c>
      <c r="C954" s="25" t="inlineStr">
        <is>
          <t>KIVIRCIKRAMPALII-KR1-TURKUAZ-80x550</t>
        </is>
      </c>
      <c r="D954" s="26" t="inlineStr">
        <is>
          <t>KIVIRCIKRAMPALII-KR1-TURKUAZ-80x550</t>
        </is>
      </c>
      <c r="E954" s="27" t="inlineStr">
        <is>
          <t>80 x 550</t>
        </is>
      </c>
      <c r="F954" s="28" t="inlineStr">
        <is>
          <t>TYCSS3MAPN169778498328887</t>
        </is>
      </c>
      <c r="G954" s="29" t="inlineStr">
        <is>
          <t>Kapı Önü Paspası</t>
        </is>
      </c>
      <c r="H954" s="30" t="inlineStr">
        <is>
          <t>Paspas Yap</t>
        </is>
      </c>
      <c r="I954" s="31" t="n">
        <v>93.0</v>
      </c>
      <c r="J954" s="32" t="n">
        <v>8653.0</v>
      </c>
      <c r="K954" s="33" t="n">
        <v>8027.86</v>
      </c>
      <c r="L954" s="34" t="n">
        <v>22.0</v>
      </c>
      <c r="M954" s="35" t="n">
        <v>6213.0</v>
      </c>
      <c r="N954" s="36" t="inlineStr">
        <is>
          <t>25 Ağustos 08.00-1 Eylül 07.59</t>
        </is>
      </c>
      <c r="O954" s="37" t="n">
        <v>17.1</v>
      </c>
      <c r="P954" s="38" t="n">
        <v>8027.86</v>
      </c>
      <c r="Q954" s="39"/>
      <c r="R954" s="40" t="n">
        <f>=IF(AND(ISBLANK(Q954), ISBLANK(U954)), "", "7 Günlük Fiyat")</f>
        <v>0.0</v>
      </c>
      <c r="S954" s="41" t="n">
        <f>=IF(OR(Q954="", R954=""), "-", IF(ISNUMBER(SEARCH("7 Günlük", R954)), IF(Q954&lt;=M954, O954, "-"), "-"))</f>
        <v>0.0</v>
      </c>
      <c r="T954" s="42" t="str">
        <f>=IF(ISBLANK(Q954), "", "Hayır")</f>
      </c>
      <c r="U954" s="43"/>
      <c r="V954" s="44" t="inlineStr">
        <is>
          <t>50461ed1-c2c8-4393-967e-55d58a3e2664</t>
        </is>
      </c>
    </row>
    <row r="955">
      <c r="A955" s="23" t="inlineStr">
        <is>
          <t>Rampalı Kıvırcık Paspas Iş Yeri Paspası Su Emici Kaymaz Paspas Kivircik Iş Yeri Paspas Apartman Ofis</t>
        </is>
      </c>
      <c r="B955" s="24" t="inlineStr">
        <is>
          <t>772451067</t>
        </is>
      </c>
      <c r="C955" s="25" t="inlineStr">
        <is>
          <t>KIVIRCIKRAMPALII-KR1-TURKUAZ-80x450</t>
        </is>
      </c>
      <c r="D955" s="26" t="inlineStr">
        <is>
          <t>KIVIRCIKRAMPALII-KR1-TURKUAZ-80x450</t>
        </is>
      </c>
      <c r="E955" s="27" t="inlineStr">
        <is>
          <t>80 x 450</t>
        </is>
      </c>
      <c r="F955" s="28" t="inlineStr">
        <is>
          <t>TYCSS3MAPN169778498328887</t>
        </is>
      </c>
      <c r="G955" s="29" t="inlineStr">
        <is>
          <t>Kapı Önü Paspası</t>
        </is>
      </c>
      <c r="H955" s="30" t="inlineStr">
        <is>
          <t>Paspas Yap</t>
        </is>
      </c>
      <c r="I955" s="31" t="n">
        <v>93.0</v>
      </c>
      <c r="J955" s="32" t="n">
        <v>7238.0</v>
      </c>
      <c r="K955" s="33" t="n">
        <v>6750.18</v>
      </c>
      <c r="L955" s="34" t="n">
        <v>22.0</v>
      </c>
      <c r="M955" s="35" t="n">
        <v>5138.7</v>
      </c>
      <c r="N955" s="36" t="inlineStr">
        <is>
          <t>25 Ağustos 08.00-1 Eylül 07.59</t>
        </is>
      </c>
      <c r="O955" s="37" t="n">
        <v>16.8</v>
      </c>
      <c r="P955" s="38" t="n">
        <v>6750.18</v>
      </c>
      <c r="Q955" s="39"/>
      <c r="R955" s="40" t="n">
        <f>=IF(AND(ISBLANK(Q955), ISBLANK(U955)), "", "7 Günlük Fiyat")</f>
        <v>0.0</v>
      </c>
      <c r="S955" s="41" t="n">
        <f>=IF(OR(Q955="", R955=""), "-", IF(ISNUMBER(SEARCH("7 Günlük", R955)), IF(Q955&lt;=M955, O955, "-"), "-"))</f>
        <v>0.0</v>
      </c>
      <c r="T955" s="42" t="str">
        <f>=IF(ISBLANK(Q955), "", "Hayır")</f>
      </c>
      <c r="U955" s="43"/>
      <c r="V955" s="44" t="inlineStr">
        <is>
          <t>50461ed1-c2c8-4393-967e-55d58a3e2664</t>
        </is>
      </c>
    </row>
    <row r="956">
      <c r="A956" s="23" t="inlineStr">
        <is>
          <t>Rampalı Kıvırcık Paspas Iş Yeri Paspası Su Emici Kaymaz Paspas Kivircik Iş Yeri Paspas Apartman Ofis</t>
        </is>
      </c>
      <c r="B956" s="24" t="inlineStr">
        <is>
          <t>772451067</t>
        </is>
      </c>
      <c r="C956" s="25" t="inlineStr">
        <is>
          <t>KIVIRCIKRAMPALI-KR1-TURKUAZ-33x60</t>
        </is>
      </c>
      <c r="D956" s="26" t="inlineStr">
        <is>
          <t>KIVIRCIKRAMPALI-KR1-TURKUAZ-33x60</t>
        </is>
      </c>
      <c r="E956" s="27" t="inlineStr">
        <is>
          <t>33 x 60</t>
        </is>
      </c>
      <c r="F956" s="28" t="inlineStr">
        <is>
          <t>TYCSS3MAPN169778498328887</t>
        </is>
      </c>
      <c r="G956" s="29" t="inlineStr">
        <is>
          <t>Kapı Önü Paspası</t>
        </is>
      </c>
      <c r="H956" s="30" t="inlineStr">
        <is>
          <t>Paspas Yap</t>
        </is>
      </c>
      <c r="I956" s="31" t="n">
        <v>93.0</v>
      </c>
      <c r="J956" s="32" t="n">
        <v>812.0</v>
      </c>
      <c r="K956" s="33" t="n">
        <v>812.0</v>
      </c>
      <c r="L956" s="34" t="n">
        <v>22.0</v>
      </c>
      <c r="M956" s="35" t="n">
        <v>593.01</v>
      </c>
      <c r="N956" s="36" t="inlineStr">
        <is>
          <t>25 Ağustos 08.00-1 Eylül 07.59</t>
        </is>
      </c>
      <c r="O956" s="37" t="n">
        <v>16.3</v>
      </c>
      <c r="P956" s="38" t="n">
        <v>812.0</v>
      </c>
      <c r="Q956" s="39"/>
      <c r="R956" s="40" t="n">
        <f>=IF(AND(ISBLANK(Q956), ISBLANK(U956)), "", "7 Günlük Fiyat")</f>
        <v>0.0</v>
      </c>
      <c r="S956" s="41" t="n">
        <f>=IF(OR(Q956="", R956=""), "-", IF(ISNUMBER(SEARCH("7 Günlük", R956)), IF(Q956&lt;=M956, O956, "-"), "-"))</f>
        <v>0.0</v>
      </c>
      <c r="T956" s="42" t="str">
        <f>=IF(ISBLANK(Q956), "", "Hayır")</f>
      </c>
      <c r="U956" s="43"/>
      <c r="V956" s="44" t="inlineStr">
        <is>
          <t>50461ed1-c2c8-4393-967e-55d58a3e2664</t>
        </is>
      </c>
    </row>
    <row r="957">
      <c r="A957" s="23" t="inlineStr">
        <is>
          <t>Rampalı Kıvırcık Paspas Iş Yeri Paspası Su Emici Kaymaz Paspas Kivircik Iş Yeri Paspas Apartman Ofis</t>
        </is>
      </c>
      <c r="B957" s="24" t="inlineStr">
        <is>
          <t>772451067</t>
        </is>
      </c>
      <c r="C957" s="25" t="inlineStr">
        <is>
          <t>KIVIRCIKRAMPALII-KR1-TURKUAZ-100x1500</t>
        </is>
      </c>
      <c r="D957" s="26" t="inlineStr">
        <is>
          <t>KIVIRCIKRAMPALII-KR1-TURKUAZ-100x1500</t>
        </is>
      </c>
      <c r="E957" s="27" t="inlineStr">
        <is>
          <t>100 x 1500</t>
        </is>
      </c>
      <c r="F957" s="28" t="inlineStr">
        <is>
          <t>TYCSS3MAPN169778498328887</t>
        </is>
      </c>
      <c r="G957" s="29" t="inlineStr">
        <is>
          <t>Kapı Önü Paspası</t>
        </is>
      </c>
      <c r="H957" s="30" t="inlineStr">
        <is>
          <t>Paspas Yap</t>
        </is>
      </c>
      <c r="I957" s="31" t="n">
        <v>93.0</v>
      </c>
      <c r="J957" s="32" t="n">
        <v>30025.0</v>
      </c>
      <c r="K957" s="33" t="n">
        <v>27777.64</v>
      </c>
      <c r="L957" s="34" t="n">
        <v>22.0</v>
      </c>
      <c r="M957" s="35" t="n">
        <v>20371.19</v>
      </c>
      <c r="N957" s="36" t="inlineStr">
        <is>
          <t>25 Ağustos 08.00-1 Eylül 07.59</t>
        </is>
      </c>
      <c r="O957" s="37" t="n">
        <v>15.9</v>
      </c>
      <c r="P957" s="38" t="n">
        <v>27777.64</v>
      </c>
      <c r="Q957" s="39"/>
      <c r="R957" s="40" t="n">
        <f>=IF(AND(ISBLANK(Q957), ISBLANK(U957)), "", "7 Günlük Fiyat")</f>
        <v>0.0</v>
      </c>
      <c r="S957" s="41" t="n">
        <f>=IF(OR(Q957="", R957=""), "-", IF(ISNUMBER(SEARCH("7 Günlük", R957)), IF(Q957&lt;=M957, O957, "-"), "-"))</f>
        <v>0.0</v>
      </c>
      <c r="T957" s="42" t="str">
        <f>=IF(ISBLANK(Q957), "", "Hayır")</f>
      </c>
      <c r="U957" s="43"/>
      <c r="V957" s="44" t="inlineStr">
        <is>
          <t>50461ed1-c2c8-4393-967e-55d58a3e2664</t>
        </is>
      </c>
    </row>
    <row r="958">
      <c r="A958" s="23" t="inlineStr">
        <is>
          <t>Rampalı Kıvırcık Paspas Iş Yeri Paspası Su Emici Kaymaz Paspas Kivircik Iş Yeri Paspas Apartman Ofis</t>
        </is>
      </c>
      <c r="B958" s="24" t="inlineStr">
        <is>
          <t>772451067</t>
        </is>
      </c>
      <c r="C958" s="25" t="inlineStr">
        <is>
          <t>KIVIRCIKRAMPALII-KR1-TURKUAZ-120x700</t>
        </is>
      </c>
      <c r="D958" s="26" t="inlineStr">
        <is>
          <t>KIVIRCIKRAMPALII-KR1-TURKUAZ-120x700</t>
        </is>
      </c>
      <c r="E958" s="27" t="inlineStr">
        <is>
          <t>120 x 700</t>
        </is>
      </c>
      <c r="F958" s="28" t="inlineStr">
        <is>
          <t>TYCSS3MAPN169778498328887</t>
        </is>
      </c>
      <c r="G958" s="29" t="inlineStr">
        <is>
          <t>Kapı Önü Paspası</t>
        </is>
      </c>
      <c r="H958" s="30" t="inlineStr">
        <is>
          <t>Paspas Yap</t>
        </is>
      </c>
      <c r="I958" s="31" t="n">
        <v>93.0</v>
      </c>
      <c r="J958" s="32" t="n">
        <v>15862.0</v>
      </c>
      <c r="K958" s="33" t="n">
        <v>14898.37</v>
      </c>
      <c r="L958" s="34" t="n">
        <v>22.0</v>
      </c>
      <c r="M958" s="35" t="n">
        <v>10799.34</v>
      </c>
      <c r="N958" s="36" t="inlineStr">
        <is>
          <t>25 Ağustos 08.00-1 Eylül 07.59</t>
        </is>
      </c>
      <c r="O958" s="37" t="n">
        <v>15.5</v>
      </c>
      <c r="P958" s="38" t="n">
        <v>14898.37</v>
      </c>
      <c r="Q958" s="39"/>
      <c r="R958" s="40" t="n">
        <f>=IF(AND(ISBLANK(Q958), ISBLANK(U958)), "", "7 Günlük Fiyat")</f>
        <v>0.0</v>
      </c>
      <c r="S958" s="41" t="n">
        <f>=IF(OR(Q958="", R958=""), "-", IF(ISNUMBER(SEARCH("7 Günlük", R958)), IF(Q958&lt;=M958, O958, "-"), "-"))</f>
        <v>0.0</v>
      </c>
      <c r="T958" s="42" t="str">
        <f>=IF(ISBLANK(Q958), "", "Hayır")</f>
      </c>
      <c r="U958" s="43"/>
      <c r="V958" s="44" t="inlineStr">
        <is>
          <t>50461ed1-c2c8-4393-967e-55d58a3e2664</t>
        </is>
      </c>
    </row>
    <row r="959">
      <c r="A959" s="23" t="inlineStr">
        <is>
          <t>Rampalı Kıvırcık Paspas Iş Yeri Paspası Su Emici Kaymaz Paspas Kivircik Iş Yeri Paspas Apartman Ofis</t>
        </is>
      </c>
      <c r="B959" s="24" t="inlineStr">
        <is>
          <t>772451067</t>
        </is>
      </c>
      <c r="C959" s="25" t="inlineStr">
        <is>
          <t>KIVIRCIKRAMPALII-KR1-TURKUAZ-120x600</t>
        </is>
      </c>
      <c r="D959" s="26" t="inlineStr">
        <is>
          <t>KIVIRCIKRAMPALII-KR1-TURKUAZ-120x600</t>
        </is>
      </c>
      <c r="E959" s="27" t="inlineStr">
        <is>
          <t>120 x 600</t>
        </is>
      </c>
      <c r="F959" s="28" t="inlineStr">
        <is>
          <t>TYCSS3MAPN169778498328887</t>
        </is>
      </c>
      <c r="G959" s="29" t="inlineStr">
        <is>
          <t>Kapı Önü Paspası</t>
        </is>
      </c>
      <c r="H959" s="30" t="inlineStr">
        <is>
          <t>Paspas Yap</t>
        </is>
      </c>
      <c r="I959" s="31" t="n">
        <v>93.0</v>
      </c>
      <c r="J959" s="32" t="n">
        <v>14087.0</v>
      </c>
      <c r="K959" s="33" t="n">
        <v>13211.99</v>
      </c>
      <c r="L959" s="34" t="n">
        <v>22.0</v>
      </c>
      <c r="M959" s="35" t="n">
        <v>10830.18</v>
      </c>
      <c r="N959" s="36" t="inlineStr">
        <is>
          <t>25 Ağustos 08.00-1 Eylül 07.59</t>
        </is>
      </c>
      <c r="O959" s="37" t="n">
        <v>18.1</v>
      </c>
      <c r="P959" s="38" t="n">
        <v>13211.99</v>
      </c>
      <c r="Q959" s="39"/>
      <c r="R959" s="40" t="n">
        <f>=IF(AND(ISBLANK(Q959), ISBLANK(U959)), "", "7 Günlük Fiyat")</f>
        <v>0.0</v>
      </c>
      <c r="S959" s="41" t="n">
        <f>=IF(OR(Q959="", R959=""), "-", IF(ISNUMBER(SEARCH("7 Günlük", R959)), IF(Q959&lt;=M959, O959, "-"), "-"))</f>
        <v>0.0</v>
      </c>
      <c r="T959" s="42" t="str">
        <f>=IF(ISBLANK(Q959), "", "Hayır")</f>
      </c>
      <c r="U959" s="43"/>
      <c r="V959" s="44" t="inlineStr">
        <is>
          <t>50461ed1-c2c8-4393-967e-55d58a3e2664</t>
        </is>
      </c>
    </row>
    <row r="960">
      <c r="A960" s="23" t="inlineStr">
        <is>
          <t>Rampalı Kıvırcık Paspas Iş Yeri Paspası Su Emici Kaymaz Paspas Kivircik Iş Yeri Paspas Apartman Ofis</t>
        </is>
      </c>
      <c r="B960" s="24" t="inlineStr">
        <is>
          <t>772451067</t>
        </is>
      </c>
      <c r="C960" s="25" t="inlineStr">
        <is>
          <t>KIVIRCIKRAMPALI-KR1-TURKUAZ-100x700</t>
        </is>
      </c>
      <c r="D960" s="26" t="inlineStr">
        <is>
          <t>KIVIRCIKRAMPALI-KR1-TURKUAZ-100x700</t>
        </is>
      </c>
      <c r="E960" s="27" t="inlineStr">
        <is>
          <t>100 x 700</t>
        </is>
      </c>
      <c r="F960" s="28" t="inlineStr">
        <is>
          <t>TYCSS3MAPN169778498328887</t>
        </is>
      </c>
      <c r="G960" s="29" t="inlineStr">
        <is>
          <t>Kapı Önü Paspası</t>
        </is>
      </c>
      <c r="H960" s="30" t="inlineStr">
        <is>
          <t>Paspas Yap</t>
        </is>
      </c>
      <c r="I960" s="31" t="n">
        <v>93.0</v>
      </c>
      <c r="J960" s="32" t="n">
        <v>13558.0</v>
      </c>
      <c r="K960" s="33" t="n">
        <v>12392.85</v>
      </c>
      <c r="L960" s="34" t="n">
        <v>22.0</v>
      </c>
      <c r="M960" s="35" t="n">
        <v>9020.08</v>
      </c>
      <c r="N960" s="36" t="inlineStr">
        <is>
          <t>25 Ağustos 08.00-1 Eylül 07.59</t>
        </is>
      </c>
      <c r="O960" s="37" t="n">
        <v>16.0</v>
      </c>
      <c r="P960" s="38" t="n">
        <v>12392.85</v>
      </c>
      <c r="Q960" s="39"/>
      <c r="R960" s="40" t="n">
        <f>=IF(AND(ISBLANK(Q960), ISBLANK(U960)), "", "7 Günlük Fiyat")</f>
        <v>0.0</v>
      </c>
      <c r="S960" s="41" t="n">
        <f>=IF(OR(Q960="", R960=""), "-", IF(ISNUMBER(SEARCH("7 Günlük", R960)), IF(Q960&lt;=M960, O960, "-"), "-"))</f>
        <v>0.0</v>
      </c>
      <c r="T960" s="42" t="str">
        <f>=IF(ISBLANK(Q960), "", "Hayır")</f>
      </c>
      <c r="U960" s="43"/>
      <c r="V960" s="44" t="inlineStr">
        <is>
          <t>50461ed1-c2c8-4393-967e-55d58a3e2664</t>
        </is>
      </c>
    </row>
    <row r="961">
      <c r="A961" s="23" t="inlineStr">
        <is>
          <t>Rampalı Kıvırcık Paspas Iş Yeri Paspası Su Emici Kaymaz Paspas Kivircik Iş Yeri Paspas Apartman Ofis</t>
        </is>
      </c>
      <c r="B961" s="24" t="inlineStr">
        <is>
          <t>772451067</t>
        </is>
      </c>
      <c r="C961" s="25" t="inlineStr">
        <is>
          <t>KIVIRCIKRAMPALII-KR1-TURKUAZ-80x600</t>
        </is>
      </c>
      <c r="D961" s="26" t="inlineStr">
        <is>
          <t>KIVIRCIKRAMPALII-KR1-TURKUAZ-80x600</t>
        </is>
      </c>
      <c r="E961" s="27" t="inlineStr">
        <is>
          <t>80 x 600</t>
        </is>
      </c>
      <c r="F961" s="28" t="inlineStr">
        <is>
          <t>TYCSS3MAPN169778498328887</t>
        </is>
      </c>
      <c r="G961" s="29" t="inlineStr">
        <is>
          <t>Kapı Önü Paspası</t>
        </is>
      </c>
      <c r="H961" s="30" t="inlineStr">
        <is>
          <t>Paspas Yap</t>
        </is>
      </c>
      <c r="I961" s="31" t="n">
        <v>93.0</v>
      </c>
      <c r="J961" s="32" t="n">
        <v>9204.0</v>
      </c>
      <c r="K961" s="33" t="n">
        <v>8630.96</v>
      </c>
      <c r="L961" s="34" t="n">
        <v>22.0</v>
      </c>
      <c r="M961" s="35" t="n">
        <v>6701.0</v>
      </c>
      <c r="N961" s="36" t="inlineStr">
        <is>
          <t>25 Ağustos 08.00-1 Eylül 07.59</t>
        </is>
      </c>
      <c r="O961" s="37" t="n">
        <v>17.2</v>
      </c>
      <c r="P961" s="38" t="n">
        <v>8630.96</v>
      </c>
      <c r="Q961" s="39"/>
      <c r="R961" s="40" t="n">
        <f>=IF(AND(ISBLANK(Q961), ISBLANK(U961)), "", "7 Günlük Fiyat")</f>
        <v>0.0</v>
      </c>
      <c r="S961" s="41" t="n">
        <f>=IF(OR(Q961="", R961=""), "-", IF(ISNUMBER(SEARCH("7 Günlük", R961)), IF(Q961&lt;=M961, O961, "-"), "-"))</f>
        <v>0.0</v>
      </c>
      <c r="T961" s="42" t="str">
        <f>=IF(ISBLANK(Q961), "", "Hayır")</f>
      </c>
      <c r="U961" s="43"/>
      <c r="V961" s="44" t="inlineStr">
        <is>
          <t>50461ed1-c2c8-4393-967e-55d58a3e2664</t>
        </is>
      </c>
    </row>
    <row r="962">
      <c r="A962" s="23" t="inlineStr">
        <is>
          <t>Rampalı Kıvırcık Paspas Iş Yeri Paspası Su Emici Kaymaz Paspas Kivircik Iş Yeri Paspas Apartman Ofis</t>
        </is>
      </c>
      <c r="B962" s="24" t="inlineStr">
        <is>
          <t>772451067</t>
        </is>
      </c>
      <c r="C962" s="25" t="inlineStr">
        <is>
          <t>KIVIRCIKRAMPALI-KR1-TURKUAZ-100x150</t>
        </is>
      </c>
      <c r="D962" s="26" t="inlineStr">
        <is>
          <t>KIVIRCIKRAMPALI-KR1-TURKUAZ-100x150</t>
        </is>
      </c>
      <c r="E962" s="27" t="inlineStr">
        <is>
          <t>100 x 150</t>
        </is>
      </c>
      <c r="F962" s="28" t="inlineStr">
        <is>
          <t>TYCSS3MAPN169778498328887</t>
        </is>
      </c>
      <c r="G962" s="29" t="inlineStr">
        <is>
          <t>Kapı Önü Paspası</t>
        </is>
      </c>
      <c r="H962" s="30" t="inlineStr">
        <is>
          <t>Paspas Yap</t>
        </is>
      </c>
      <c r="I962" s="31" t="n">
        <v>93.0</v>
      </c>
      <c r="J962" s="32" t="n">
        <v>3157.0</v>
      </c>
      <c r="K962" s="33" t="n">
        <v>2891.39</v>
      </c>
      <c r="L962" s="34" t="n">
        <v>22.0</v>
      </c>
      <c r="M962" s="35" t="n">
        <v>2217.51</v>
      </c>
      <c r="N962" s="36" t="inlineStr">
        <is>
          <t>25 Ağustos 08.00-1 Eylül 07.59</t>
        </is>
      </c>
      <c r="O962" s="37" t="n">
        <v>16.7</v>
      </c>
      <c r="P962" s="38" t="n">
        <v>2891.39</v>
      </c>
      <c r="Q962" s="39"/>
      <c r="R962" s="40" t="n">
        <f>=IF(AND(ISBLANK(Q962), ISBLANK(U962)), "", "7 Günlük Fiyat")</f>
        <v>0.0</v>
      </c>
      <c r="S962" s="41" t="n">
        <f>=IF(OR(Q962="", R962=""), "-", IF(ISNUMBER(SEARCH("7 Günlük", R962)), IF(Q962&lt;=M962, O962, "-"), "-"))</f>
        <v>0.0</v>
      </c>
      <c r="T962" s="42" t="str">
        <f>=IF(ISBLANK(Q962), "", "Hayır")</f>
      </c>
      <c r="U962" s="43"/>
      <c r="V962" s="44" t="inlineStr">
        <is>
          <t>50461ed1-c2c8-4393-967e-55d58a3e2664</t>
        </is>
      </c>
    </row>
    <row r="963">
      <c r="A963" s="23" t="inlineStr">
        <is>
          <t>Rampalı Kıvırcık Paspas Iş Yeri Paspası Su Emici Kaymaz Paspas Kivircik Iş Yeri Paspas Apartman Ofis</t>
        </is>
      </c>
      <c r="B963" s="24" t="inlineStr">
        <is>
          <t>772451067</t>
        </is>
      </c>
      <c r="C963" s="25" t="inlineStr">
        <is>
          <t>KIVIRCIKRAMPALII-KR1-TURKUAZ-100x350</t>
        </is>
      </c>
      <c r="D963" s="26" t="inlineStr">
        <is>
          <t>KIVIRCIKRAMPALII-KR1-TURKUAZ-100x350</t>
        </is>
      </c>
      <c r="E963" s="27" t="inlineStr">
        <is>
          <t>100 x 350</t>
        </is>
      </c>
      <c r="F963" s="28" t="inlineStr">
        <is>
          <t>TYCSS3MAPN169778498328887</t>
        </is>
      </c>
      <c r="G963" s="29" t="inlineStr">
        <is>
          <t>Kapı Önü Paspası</t>
        </is>
      </c>
      <c r="H963" s="30" t="inlineStr">
        <is>
          <t>Paspas Yap</t>
        </is>
      </c>
      <c r="I963" s="31" t="n">
        <v>93.0</v>
      </c>
      <c r="J963" s="32" t="n">
        <v>6677.0</v>
      </c>
      <c r="K963" s="33" t="n">
        <v>6221.68</v>
      </c>
      <c r="L963" s="34" t="n">
        <v>22.0</v>
      </c>
      <c r="M963" s="35" t="n">
        <v>4781.59</v>
      </c>
      <c r="N963" s="36" t="inlineStr">
        <is>
          <t>25 Ağustos 08.00-1 Eylül 07.59</t>
        </is>
      </c>
      <c r="O963" s="37" t="n">
        <v>16.9</v>
      </c>
      <c r="P963" s="38" t="n">
        <v>6221.68</v>
      </c>
      <c r="Q963" s="39"/>
      <c r="R963" s="40" t="n">
        <f>=IF(AND(ISBLANK(Q963), ISBLANK(U963)), "", "7 Günlük Fiyat")</f>
        <v>0.0</v>
      </c>
      <c r="S963" s="41" t="n">
        <f>=IF(OR(Q963="", R963=""), "-", IF(ISNUMBER(SEARCH("7 Günlük", R963)), IF(Q963&lt;=M963, O963, "-"), "-"))</f>
        <v>0.0</v>
      </c>
      <c r="T963" s="42" t="str">
        <f>=IF(ISBLANK(Q963), "", "Hayır")</f>
      </c>
      <c r="U963" s="43"/>
      <c r="V963" s="44" t="inlineStr">
        <is>
          <t>50461ed1-c2c8-4393-967e-55d58a3e2664</t>
        </is>
      </c>
    </row>
    <row r="964">
      <c r="A964" s="23" t="inlineStr">
        <is>
          <t>Rampalı Kıvırcık Paspas Iş Yeri Paspası Su Emici Kaymaz Paspas Kivircik Iş Yeri Paspas Apartman Ofis</t>
        </is>
      </c>
      <c r="B964" s="24" t="inlineStr">
        <is>
          <t>772451067</t>
        </is>
      </c>
      <c r="C964" s="25" t="inlineStr">
        <is>
          <t>KIVIRCIKRAMPALII-KR1-TURKUAZ-120x800</t>
        </is>
      </c>
      <c r="D964" s="26" t="inlineStr">
        <is>
          <t>KIVIRCIKRAMPALII-KR1-TURKUAZ-120x800</t>
        </is>
      </c>
      <c r="E964" s="27" t="inlineStr">
        <is>
          <t>120 x 800</t>
        </is>
      </c>
      <c r="F964" s="28" t="inlineStr">
        <is>
          <t>TYCSS3MAPN169778498328887</t>
        </is>
      </c>
      <c r="G964" s="29" t="inlineStr">
        <is>
          <t>Kapı Önü Paspası</t>
        </is>
      </c>
      <c r="H964" s="30" t="inlineStr">
        <is>
          <t>Paspas Yap</t>
        </is>
      </c>
      <c r="I964" s="31" t="n">
        <v>93.0</v>
      </c>
      <c r="J964" s="32" t="n">
        <v>17652.0</v>
      </c>
      <c r="K964" s="33" t="n">
        <v>16527.43</v>
      </c>
      <c r="L964" s="34" t="n">
        <v>22.0</v>
      </c>
      <c r="M964" s="35" t="n">
        <v>12939.18</v>
      </c>
      <c r="N964" s="36" t="inlineStr">
        <is>
          <t>25 Ağustos 08.00-1 Eylül 07.59</t>
        </is>
      </c>
      <c r="O964" s="37" t="n">
        <v>17.3</v>
      </c>
      <c r="P964" s="38" t="n">
        <v>16527.43</v>
      </c>
      <c r="Q964" s="39"/>
      <c r="R964" s="40" t="n">
        <f>=IF(AND(ISBLANK(Q964), ISBLANK(U964)), "", "7 Günlük Fiyat")</f>
        <v>0.0</v>
      </c>
      <c r="S964" s="41" t="n">
        <f>=IF(OR(Q964="", R964=""), "-", IF(ISNUMBER(SEARCH("7 Günlük", R964)), IF(Q964&lt;=M964, O964, "-"), "-"))</f>
        <v>0.0</v>
      </c>
      <c r="T964" s="42" t="str">
        <f>=IF(ISBLANK(Q964), "", "Hayır")</f>
      </c>
      <c r="U964" s="43"/>
      <c r="V964" s="44" t="inlineStr">
        <is>
          <t>50461ed1-c2c8-4393-967e-55d58a3e2664</t>
        </is>
      </c>
    </row>
    <row r="965">
      <c r="A965" s="23" t="inlineStr">
        <is>
          <t>Rampalı Kıvırcık Paspas Iş Yeri Paspası Su Emici Kaymaz Paspas Kivircik Iş Yeri Paspas Apartman Ofis</t>
        </is>
      </c>
      <c r="B965" s="24" t="inlineStr">
        <is>
          <t>772451067</t>
        </is>
      </c>
      <c r="C965" s="25" t="inlineStr">
        <is>
          <t>KIVIRCIKRAMPALII-KR1-TURKUAZ-80x1450</t>
        </is>
      </c>
      <c r="D965" s="26" t="inlineStr">
        <is>
          <t>KIVIRCIKRAMPALII-KR1-TURKUAZ-80x1450</t>
        </is>
      </c>
      <c r="E965" s="27" t="inlineStr">
        <is>
          <t>80 x 1450</t>
        </is>
      </c>
      <c r="F965" s="28" t="inlineStr">
        <is>
          <t>TYCSS3MAPN169778498328887</t>
        </is>
      </c>
      <c r="G965" s="29" t="inlineStr">
        <is>
          <t>Kapı Önü Paspası</t>
        </is>
      </c>
      <c r="H965" s="30" t="inlineStr">
        <is>
          <t>Paspas Yap</t>
        </is>
      </c>
      <c r="I965" s="31" t="n">
        <v>93.0</v>
      </c>
      <c r="J965" s="32" t="n">
        <v>24853.0</v>
      </c>
      <c r="K965" s="33" t="n">
        <v>23244.25</v>
      </c>
      <c r="L965" s="34" t="n">
        <v>22.0</v>
      </c>
      <c r="M965" s="35" t="n">
        <v>16921.19</v>
      </c>
      <c r="N965" s="36" t="inlineStr">
        <is>
          <t>25 Ağustos 08.00-1 Eylül 07.59</t>
        </is>
      </c>
      <c r="O965" s="37" t="n">
        <v>15.9</v>
      </c>
      <c r="P965" s="38" t="n">
        <v>23244.25</v>
      </c>
      <c r="Q965" s="39"/>
      <c r="R965" s="40" t="n">
        <f>=IF(AND(ISBLANK(Q965), ISBLANK(U965)), "", "7 Günlük Fiyat")</f>
        <v>0.0</v>
      </c>
      <c r="S965" s="41" t="n">
        <f>=IF(OR(Q965="", R965=""), "-", IF(ISNUMBER(SEARCH("7 Günlük", R965)), IF(Q965&lt;=M965, O965, "-"), "-"))</f>
        <v>0.0</v>
      </c>
      <c r="T965" s="42" t="str">
        <f>=IF(ISBLANK(Q965), "", "Hayır")</f>
      </c>
      <c r="U965" s="43"/>
      <c r="V965" s="44" t="inlineStr">
        <is>
          <t>50461ed1-c2c8-4393-967e-55d58a3e2664</t>
        </is>
      </c>
    </row>
    <row r="966">
      <c r="A966" s="23" t="inlineStr">
        <is>
          <t>Rampalı Kıvırcık Paspas Iş Yeri Paspası Su Emici Kaymaz Paspas Kivircik Iş Yeri Paspas Apartman Ofis</t>
        </is>
      </c>
      <c r="B966" s="24" t="inlineStr">
        <is>
          <t>772451067</t>
        </is>
      </c>
      <c r="C966" s="25" t="inlineStr">
        <is>
          <t>KIVIRCIKRAMPALII-KR1-TURKUAZ-120x1500</t>
        </is>
      </c>
      <c r="D966" s="26" t="inlineStr">
        <is>
          <t>KIVIRCIKRAMPALII-KR1-TURKUAZ-120x1500</t>
        </is>
      </c>
      <c r="E966" s="27" t="inlineStr">
        <is>
          <t>120 x 1500</t>
        </is>
      </c>
      <c r="F966" s="28" t="inlineStr">
        <is>
          <t>TYCSS3MAPN169778498328887</t>
        </is>
      </c>
      <c r="G966" s="29" t="inlineStr">
        <is>
          <t>Kapı Önü Paspası</t>
        </is>
      </c>
      <c r="H966" s="30" t="inlineStr">
        <is>
          <t>Paspas Yap</t>
        </is>
      </c>
      <c r="I966" s="31" t="n">
        <v>93.0</v>
      </c>
      <c r="J966" s="32" t="n">
        <v>34474.0</v>
      </c>
      <c r="K966" s="33" t="n">
        <v>31908.73</v>
      </c>
      <c r="L966" s="34" t="n">
        <v>22.0</v>
      </c>
      <c r="M966" s="35" t="n">
        <v>23152.49</v>
      </c>
      <c r="N966" s="36" t="inlineStr">
        <is>
          <t>25 Ağustos 08.00-1 Eylül 07.59</t>
        </is>
      </c>
      <c r="O966" s="37" t="n">
        <v>15.6</v>
      </c>
      <c r="P966" s="38" t="n">
        <v>31908.73</v>
      </c>
      <c r="Q966" s="39"/>
      <c r="R966" s="40" t="n">
        <f>=IF(AND(ISBLANK(Q966), ISBLANK(U966)), "", "7 Günlük Fiyat")</f>
        <v>0.0</v>
      </c>
      <c r="S966" s="41" t="n">
        <f>=IF(OR(Q966="", R966=""), "-", IF(ISNUMBER(SEARCH("7 Günlük", R966)), IF(Q966&lt;=M966, O966, "-"), "-"))</f>
        <v>0.0</v>
      </c>
      <c r="T966" s="42" t="str">
        <f>=IF(ISBLANK(Q966), "", "Hayır")</f>
      </c>
      <c r="U966" s="43"/>
      <c r="V966" s="44" t="inlineStr">
        <is>
          <t>50461ed1-c2c8-4393-967e-55d58a3e2664</t>
        </is>
      </c>
    </row>
    <row r="967">
      <c r="A967" s="23" t="inlineStr">
        <is>
          <t>Rampalı Kıvırcık Paspas Iş Yeri Paspası Su Emici Kaymaz Paspas Kivircik Iş Yeri Paspas Apartman Ofis</t>
        </is>
      </c>
      <c r="B967" s="24" t="inlineStr">
        <is>
          <t>772451067</t>
        </is>
      </c>
      <c r="C967" s="25" t="inlineStr">
        <is>
          <t>KIVIRCIKRAMPALII-KR1-TURKUAZ-100x1400</t>
        </is>
      </c>
      <c r="D967" s="26" t="inlineStr">
        <is>
          <t>KIVIRCIKRAMPALII-KR1-TURKUAZ-100x1400</t>
        </is>
      </c>
      <c r="E967" s="27" t="inlineStr">
        <is>
          <t>100 x 1400</t>
        </is>
      </c>
      <c r="F967" s="28" t="inlineStr">
        <is>
          <t>TYCSS3MAPN169778498328887</t>
        </is>
      </c>
      <c r="G967" s="29" t="inlineStr">
        <is>
          <t>Kapı Önü Paspası</t>
        </is>
      </c>
      <c r="H967" s="30" t="inlineStr">
        <is>
          <t>Paspas Yap</t>
        </is>
      </c>
      <c r="I967" s="31" t="n">
        <v>93.0</v>
      </c>
      <c r="J967" s="32" t="n">
        <v>28415.0</v>
      </c>
      <c r="K967" s="33" t="n">
        <v>26243.63</v>
      </c>
      <c r="L967" s="34" t="n">
        <v>22.0</v>
      </c>
      <c r="M967" s="35" t="n">
        <v>18645.59</v>
      </c>
      <c r="N967" s="36" t="inlineStr">
        <is>
          <t>25 Ağustos 08.00-1 Eylül 07.59</t>
        </is>
      </c>
      <c r="O967" s="37" t="n">
        <v>15.1</v>
      </c>
      <c r="P967" s="38" t="n">
        <v>26243.63</v>
      </c>
      <c r="Q967" s="39"/>
      <c r="R967" s="40" t="n">
        <f>=IF(AND(ISBLANK(Q967), ISBLANK(U967)), "", "7 Günlük Fiyat")</f>
        <v>0.0</v>
      </c>
      <c r="S967" s="41" t="n">
        <f>=IF(OR(Q967="", R967=""), "-", IF(ISNUMBER(SEARCH("7 Günlük", R967)), IF(Q967&lt;=M967, O967, "-"), "-"))</f>
        <v>0.0</v>
      </c>
      <c r="T967" s="42" t="str">
        <f>=IF(ISBLANK(Q967), "", "Hayır")</f>
      </c>
      <c r="U967" s="43"/>
      <c r="V967" s="44" t="inlineStr">
        <is>
          <t>50461ed1-c2c8-4393-967e-55d58a3e2664</t>
        </is>
      </c>
    </row>
    <row r="968">
      <c r="A968" s="23" t="inlineStr">
        <is>
          <t>Rampalı Kıvırcık Paspas Iş Yeri Paspası Su Emici Kaymaz Paspas Kivircik Iş Yeri Paspas Apartman Ofis</t>
        </is>
      </c>
      <c r="B968" s="24" t="inlineStr">
        <is>
          <t>772451067</t>
        </is>
      </c>
      <c r="C968" s="25" t="inlineStr">
        <is>
          <t>KIVIRCIKRAMPALII-KR1-TURKUAZ-80x500</t>
        </is>
      </c>
      <c r="D968" s="26" t="inlineStr">
        <is>
          <t>KIVIRCIKRAMPALII-KR1-TURKUAZ-80x500</t>
        </is>
      </c>
      <c r="E968" s="27" t="inlineStr">
        <is>
          <t>80 x 500</t>
        </is>
      </c>
      <c r="F968" s="28" t="inlineStr">
        <is>
          <t>TYCSS3MAPN169778498328887</t>
        </is>
      </c>
      <c r="G968" s="29" t="inlineStr">
        <is>
          <t>Kapı Önü Paspası</t>
        </is>
      </c>
      <c r="H968" s="30" t="inlineStr">
        <is>
          <t>Paspas Yap</t>
        </is>
      </c>
      <c r="I968" s="31" t="n">
        <v>93.0</v>
      </c>
      <c r="J968" s="32" t="n">
        <v>8102.0</v>
      </c>
      <c r="K968" s="33" t="n">
        <v>7548.61</v>
      </c>
      <c r="L968" s="34" t="n">
        <v>22.0</v>
      </c>
      <c r="M968" s="35" t="n">
        <v>5679.64</v>
      </c>
      <c r="N968" s="36" t="inlineStr">
        <is>
          <t>25 Ağustos 08.00-1 Eylül 07.59</t>
        </is>
      </c>
      <c r="O968" s="37" t="n">
        <v>16.5</v>
      </c>
      <c r="P968" s="38" t="n">
        <v>7548.61</v>
      </c>
      <c r="Q968" s="39"/>
      <c r="R968" s="40" t="n">
        <f>=IF(AND(ISBLANK(Q968), ISBLANK(U968)), "", "7 Günlük Fiyat")</f>
        <v>0.0</v>
      </c>
      <c r="S968" s="41" t="n">
        <f>=IF(OR(Q968="", R968=""), "-", IF(ISNUMBER(SEARCH("7 Günlük", R968)), IF(Q968&lt;=M968, O968, "-"), "-"))</f>
        <v>0.0</v>
      </c>
      <c r="T968" s="42" t="str">
        <f>=IF(ISBLANK(Q968), "", "Hayır")</f>
      </c>
      <c r="U968" s="43"/>
      <c r="V968" s="44" t="inlineStr">
        <is>
          <t>50461ed1-c2c8-4393-967e-55d58a3e2664</t>
        </is>
      </c>
    </row>
    <row r="969">
      <c r="A969" s="23" t="inlineStr">
        <is>
          <t>Rampalı Kıvırcık Paspas Iş Yeri Paspası Su Emici Kaymaz Paspas Kivircik Iş Yeri Paspas Apartman Ofis</t>
        </is>
      </c>
      <c r="B969" s="24" t="inlineStr">
        <is>
          <t>772451067</t>
        </is>
      </c>
      <c r="C969" s="25" t="inlineStr">
        <is>
          <t>KIVIRCIKRAMPALI-KR1-TURKUAZ-100x1000</t>
        </is>
      </c>
      <c r="D969" s="26" t="inlineStr">
        <is>
          <t>KIVIRCIKRAMPALI-KR1-TURKUAZ-100x1000</t>
        </is>
      </c>
      <c r="E969" s="27" t="inlineStr">
        <is>
          <t>100 x 1000</t>
        </is>
      </c>
      <c r="F969" s="28" t="inlineStr">
        <is>
          <t>TYCSS3MAPN169778498328887</t>
        </is>
      </c>
      <c r="G969" s="29" t="inlineStr">
        <is>
          <t>Kapı Önü Paspası</t>
        </is>
      </c>
      <c r="H969" s="30" t="inlineStr">
        <is>
          <t>Paspas Yap</t>
        </is>
      </c>
      <c r="I969" s="31" t="n">
        <v>93.0</v>
      </c>
      <c r="J969" s="32" t="n">
        <v>18373.0</v>
      </c>
      <c r="K969" s="33" t="n">
        <v>17151.17</v>
      </c>
      <c r="L969" s="34" t="n">
        <v>22.0</v>
      </c>
      <c r="M969" s="35" t="n">
        <v>13020.96</v>
      </c>
      <c r="N969" s="36" t="inlineStr">
        <is>
          <t>25 Ağustos 08.00-1 Eylül 07.59</t>
        </is>
      </c>
      <c r="O969" s="37" t="n">
        <v>16.6</v>
      </c>
      <c r="P969" s="38" t="n">
        <v>17151.17</v>
      </c>
      <c r="Q969" s="39"/>
      <c r="R969" s="40" t="n">
        <f>=IF(AND(ISBLANK(Q969), ISBLANK(U969)), "", "7 Günlük Fiyat")</f>
        <v>0.0</v>
      </c>
      <c r="S969" s="41" t="n">
        <f>=IF(OR(Q969="", R969=""), "-", IF(ISNUMBER(SEARCH("7 Günlük", R969)), IF(Q969&lt;=M969, O969, "-"), "-"))</f>
        <v>0.0</v>
      </c>
      <c r="T969" s="42" t="str">
        <f>=IF(ISBLANK(Q969), "", "Hayır")</f>
      </c>
      <c r="U969" s="43"/>
      <c r="V969" s="44" t="inlineStr">
        <is>
          <t>50461ed1-c2c8-4393-967e-55d58a3e2664</t>
        </is>
      </c>
    </row>
    <row r="970">
      <c r="A970" s="23" t="inlineStr">
        <is>
          <t>Rampalı Kıvırcık Paspas Iş Yeri Paspası Su Emici Kaymaz Paspas Kivircik Iş Yeri Paspas Apartman Ofis</t>
        </is>
      </c>
      <c r="B970" s="24" t="inlineStr">
        <is>
          <t>772451067</t>
        </is>
      </c>
      <c r="C970" s="25" t="inlineStr">
        <is>
          <t>KIVIRCIKRAMPALII-KR1-TURKUAZ-120x250</t>
        </is>
      </c>
      <c r="D970" s="26" t="inlineStr">
        <is>
          <t>KIVIRCIKRAMPALII-KR1-TURKUAZ-120x250</t>
        </is>
      </c>
      <c r="E970" s="27" t="inlineStr">
        <is>
          <t>120 x 250</t>
        </is>
      </c>
      <c r="F970" s="28" t="inlineStr">
        <is>
          <t>TYCSS3MAPN169778498328887</t>
        </is>
      </c>
      <c r="G970" s="29" t="inlineStr">
        <is>
          <t>Kapı Önü Paspası</t>
        </is>
      </c>
      <c r="H970" s="30" t="inlineStr">
        <is>
          <t>Paspas Yap</t>
        </is>
      </c>
      <c r="I970" s="31" t="n">
        <v>93.0</v>
      </c>
      <c r="J970" s="32" t="n">
        <v>5459.0</v>
      </c>
      <c r="K970" s="33" t="n">
        <v>5064.83</v>
      </c>
      <c r="L970" s="34" t="n">
        <v>22.0</v>
      </c>
      <c r="M970" s="35" t="n">
        <v>3867.09</v>
      </c>
      <c r="N970" s="36" t="inlineStr">
        <is>
          <t>25 Ağustos 08.00-1 Eylül 07.59</t>
        </is>
      </c>
      <c r="O970" s="37" t="n">
        <v>16.7</v>
      </c>
      <c r="P970" s="38" t="n">
        <v>5064.83</v>
      </c>
      <c r="Q970" s="39"/>
      <c r="R970" s="40" t="n">
        <f>=IF(AND(ISBLANK(Q970), ISBLANK(U970)), "", "7 Günlük Fiyat")</f>
        <v>0.0</v>
      </c>
      <c r="S970" s="41" t="n">
        <f>=IF(OR(Q970="", R970=""), "-", IF(ISNUMBER(SEARCH("7 Günlük", R970)), IF(Q970&lt;=M970, O970, "-"), "-"))</f>
        <v>0.0</v>
      </c>
      <c r="T970" s="42" t="str">
        <f>=IF(ISBLANK(Q970), "", "Hayır")</f>
      </c>
      <c r="U970" s="43"/>
      <c r="V970" s="44" t="inlineStr">
        <is>
          <t>50461ed1-c2c8-4393-967e-55d58a3e2664</t>
        </is>
      </c>
    </row>
    <row r="971">
      <c r="A971" s="23" t="inlineStr">
        <is>
          <t>Rampalı Kıvırcık Paspas Iş Yeri Paspası Su Emici Kaymaz Paspas Kivircik Iş Yeri Paspas Apartman Ofis</t>
        </is>
      </c>
      <c r="B971" s="24" t="inlineStr">
        <is>
          <t>772451067</t>
        </is>
      </c>
      <c r="C971" s="25" t="inlineStr">
        <is>
          <t>KIVIRCIKRAMPALI-KR1-TURKUAZ-60x100</t>
        </is>
      </c>
      <c r="D971" s="26" t="inlineStr">
        <is>
          <t>KIVIRCIKRAMPALI-KR1-TURKUAZ-60x100</t>
        </is>
      </c>
      <c r="E971" s="27" t="inlineStr">
        <is>
          <t>60 x 100</t>
        </is>
      </c>
      <c r="F971" s="28" t="inlineStr">
        <is>
          <t>TYCSS3MAPN169778498328887</t>
        </is>
      </c>
      <c r="G971" s="29" t="inlineStr">
        <is>
          <t>Kapı Önü Paspası</t>
        </is>
      </c>
      <c r="H971" s="30" t="inlineStr">
        <is>
          <t>Paspas Yap</t>
        </is>
      </c>
      <c r="I971" s="31" t="n">
        <v>93.0</v>
      </c>
      <c r="J971" s="32" t="n">
        <v>1858.0</v>
      </c>
      <c r="K971" s="33" t="n">
        <v>1614.54</v>
      </c>
      <c r="L971" s="34" t="n">
        <v>22.0</v>
      </c>
      <c r="M971" s="35" t="n">
        <v>1225.63</v>
      </c>
      <c r="N971" s="36" t="inlineStr">
        <is>
          <t>25 Ağustos 08.00-1 Eylül 07.59</t>
        </is>
      </c>
      <c r="O971" s="37" t="n">
        <v>15.7</v>
      </c>
      <c r="P971" s="38" t="n">
        <v>1614.54</v>
      </c>
      <c r="Q971" s="39"/>
      <c r="R971" s="40" t="n">
        <f>=IF(AND(ISBLANK(Q971), ISBLANK(U971)), "", "7 Günlük Fiyat")</f>
        <v>0.0</v>
      </c>
      <c r="S971" s="41" t="n">
        <f>=IF(OR(Q971="", R971=""), "-", IF(ISNUMBER(SEARCH("7 Günlük", R971)), IF(Q971&lt;=M971, O971, "-"), "-"))</f>
        <v>0.0</v>
      </c>
      <c r="T971" s="42" t="str">
        <f>=IF(ISBLANK(Q971), "", "Hayır")</f>
      </c>
      <c r="U971" s="43"/>
      <c r="V971" s="44" t="inlineStr">
        <is>
          <t>50461ed1-c2c8-4393-967e-55d58a3e2664</t>
        </is>
      </c>
    </row>
    <row r="972">
      <c r="A972" s="23" t="inlineStr">
        <is>
          <t>Rampalı Kıvırcık Paspas Iş Yeri Paspası Su Emici Kaymaz Paspas Kivircik Iş Yeri Paspas Apartman Ofis</t>
        </is>
      </c>
      <c r="B972" s="24" t="inlineStr">
        <is>
          <t>772451067</t>
        </is>
      </c>
      <c r="C972" s="25" t="inlineStr">
        <is>
          <t>KIVIRCIKRAMPALII-KR1-TURKUAZ-80x300</t>
        </is>
      </c>
      <c r="D972" s="26" t="inlineStr">
        <is>
          <t>KIVIRCIKRAMPALII-KR1-TURKUAZ-80x300</t>
        </is>
      </c>
      <c r="E972" s="27" t="inlineStr">
        <is>
          <t>80 x 300</t>
        </is>
      </c>
      <c r="F972" s="28" t="inlineStr">
        <is>
          <t>TYCSS3MAPN169778498328887</t>
        </is>
      </c>
      <c r="G972" s="29" t="inlineStr">
        <is>
          <t>Kapı Önü Paspası</t>
        </is>
      </c>
      <c r="H972" s="30" t="inlineStr">
        <is>
          <t>Paspas Yap</t>
        </is>
      </c>
      <c r="I972" s="31" t="n">
        <v>93.0</v>
      </c>
      <c r="J972" s="32" t="n">
        <v>4709.0</v>
      </c>
      <c r="K972" s="33" t="n">
        <v>4364.6</v>
      </c>
      <c r="L972" s="34" t="n">
        <v>22.0</v>
      </c>
      <c r="M972" s="35" t="n">
        <v>3378.35</v>
      </c>
      <c r="N972" s="36" t="inlineStr">
        <is>
          <t>25 Ağustos 08.00-1 Eylül 07.59</t>
        </is>
      </c>
      <c r="O972" s="37" t="n">
        <v>17.0</v>
      </c>
      <c r="P972" s="38" t="n">
        <v>4364.6</v>
      </c>
      <c r="Q972" s="39"/>
      <c r="R972" s="40" t="n">
        <f>=IF(AND(ISBLANK(Q972), ISBLANK(U972)), "", "7 Günlük Fiyat")</f>
        <v>0.0</v>
      </c>
      <c r="S972" s="41" t="n">
        <f>=IF(OR(Q972="", R972=""), "-", IF(ISNUMBER(SEARCH("7 Günlük", R972)), IF(Q972&lt;=M972, O972, "-"), "-"))</f>
        <v>0.0</v>
      </c>
      <c r="T972" s="42" t="str">
        <f>=IF(ISBLANK(Q972), "", "Hayır")</f>
      </c>
      <c r="U972" s="43"/>
      <c r="V972" s="44" t="inlineStr">
        <is>
          <t>50461ed1-c2c8-4393-967e-55d58a3e2664</t>
        </is>
      </c>
    </row>
    <row r="973">
      <c r="A973" s="23" t="inlineStr">
        <is>
          <t>Rampalı Kıvırcık Paspas Iş Yeri Paspası Su Emici Kaymaz Paspas Kivircik Iş Yeri Paspas Apartman Ofis</t>
        </is>
      </c>
      <c r="B973" s="24" t="inlineStr">
        <is>
          <t>772451067</t>
        </is>
      </c>
      <c r="C973" s="25" t="inlineStr">
        <is>
          <t>KIVIRCIKRAMPALI-KR1-TURKUAZ-120x180</t>
        </is>
      </c>
      <c r="D973" s="26" t="inlineStr">
        <is>
          <t>KIVIRCIKRAMPALI-KR1-TURKUAZ-120x180</t>
        </is>
      </c>
      <c r="E973" s="27" t="inlineStr">
        <is>
          <t>120 x 180</t>
        </is>
      </c>
      <c r="F973" s="28" t="inlineStr">
        <is>
          <t>TYCSS3MAPN169778498328887</t>
        </is>
      </c>
      <c r="G973" s="29" t="inlineStr">
        <is>
          <t>Kapı Önü Paspası</t>
        </is>
      </c>
      <c r="H973" s="30" t="inlineStr">
        <is>
          <t>Paspas Yap</t>
        </is>
      </c>
      <c r="I973" s="31" t="n">
        <v>93.0</v>
      </c>
      <c r="J973" s="32" t="n">
        <v>4232.0</v>
      </c>
      <c r="K973" s="33" t="n">
        <v>3913.28</v>
      </c>
      <c r="L973" s="34" t="n">
        <v>22.0</v>
      </c>
      <c r="M973" s="35" t="n">
        <v>3049.82</v>
      </c>
      <c r="N973" s="36" t="inlineStr">
        <is>
          <t>25 Ağustos 08.00-1 Eylül 07.59</t>
        </is>
      </c>
      <c r="O973" s="37" t="n">
        <v>17.1</v>
      </c>
      <c r="P973" s="38" t="n">
        <v>3913.28</v>
      </c>
      <c r="Q973" s="39"/>
      <c r="R973" s="40" t="n">
        <f>=IF(AND(ISBLANK(Q973), ISBLANK(U973)), "", "7 Günlük Fiyat")</f>
        <v>0.0</v>
      </c>
      <c r="S973" s="41" t="n">
        <f>=IF(OR(Q973="", R973=""), "-", IF(ISNUMBER(SEARCH("7 Günlük", R973)), IF(Q973&lt;=M973, O973, "-"), "-"))</f>
        <v>0.0</v>
      </c>
      <c r="T973" s="42" t="str">
        <f>=IF(ISBLANK(Q973), "", "Hayır")</f>
      </c>
      <c r="U973" s="43"/>
      <c r="V973" s="44" t="inlineStr">
        <is>
          <t>50461ed1-c2c8-4393-967e-55d58a3e2664</t>
        </is>
      </c>
    </row>
    <row r="974">
      <c r="A974" s="23" t="inlineStr">
        <is>
          <t>Rampalı Kıvırcık Paspas Iş Yeri Paspası Su Emici Kaymaz Paspas Kivircik Iş Yeri Paspas Apartman Ofis</t>
        </is>
      </c>
      <c r="B974" s="24" t="inlineStr">
        <is>
          <t>772451067</t>
        </is>
      </c>
      <c r="C974" s="25" t="inlineStr">
        <is>
          <t>KIVIRCIKRAMPALII-KR1-TURKUAZ-120x300</t>
        </is>
      </c>
      <c r="D974" s="26" t="inlineStr">
        <is>
          <t>KIVIRCIKRAMPALII-KR1-TURKUAZ-120x300</t>
        </is>
      </c>
      <c r="E974" s="27" t="inlineStr">
        <is>
          <t>120 x 300</t>
        </is>
      </c>
      <c r="F974" s="28" t="inlineStr">
        <is>
          <t>TYCSS3MAPN169778498328887</t>
        </is>
      </c>
      <c r="G974" s="29" t="inlineStr">
        <is>
          <t>Kapı Önü Paspası</t>
        </is>
      </c>
      <c r="H974" s="30" t="inlineStr">
        <is>
          <t>Paspas Yap</t>
        </is>
      </c>
      <c r="I974" s="31" t="n">
        <v>93.0</v>
      </c>
      <c r="J974" s="32" t="n">
        <v>7238.0</v>
      </c>
      <c r="K974" s="33" t="n">
        <v>6647.36</v>
      </c>
      <c r="L974" s="34" t="n">
        <v>22.0</v>
      </c>
      <c r="M974" s="35" t="n">
        <v>4725.73</v>
      </c>
      <c r="N974" s="36" t="inlineStr">
        <is>
          <t>25 Ağustos 08.00-1 Eylül 07.59</t>
        </is>
      </c>
      <c r="O974" s="37" t="n">
        <v>15.3</v>
      </c>
      <c r="P974" s="38" t="n">
        <v>6647.36</v>
      </c>
      <c r="Q974" s="39"/>
      <c r="R974" s="40" t="n">
        <f>=IF(AND(ISBLANK(Q974), ISBLANK(U974)), "", "7 Günlük Fiyat")</f>
        <v>0.0</v>
      </c>
      <c r="S974" s="41" t="n">
        <f>=IF(OR(Q974="", R974=""), "-", IF(ISNUMBER(SEARCH("7 Günlük", R974)), IF(Q974&lt;=M974, O974, "-"), "-"))</f>
        <v>0.0</v>
      </c>
      <c r="T974" s="42" t="str">
        <f>=IF(ISBLANK(Q974), "", "Hayır")</f>
      </c>
      <c r="U974" s="43"/>
      <c r="V974" s="44" t="inlineStr">
        <is>
          <t>50461ed1-c2c8-4393-967e-55d58a3e2664</t>
        </is>
      </c>
    </row>
    <row r="975">
      <c r="A975" s="23" t="inlineStr">
        <is>
          <t>Rampalı Kıvırcık Paspas Iş Yeri Paspası Su Emici Kaymaz Paspas Kivircik Iş Yeri Paspas Apartman Ofis</t>
        </is>
      </c>
      <c r="B975" s="24" t="inlineStr">
        <is>
          <t>772451067</t>
        </is>
      </c>
      <c r="C975" s="25" t="inlineStr">
        <is>
          <t>KIVIRCIKRAMPALII-KR1-TURKUAZ-100x850</t>
        </is>
      </c>
      <c r="D975" s="26" t="inlineStr">
        <is>
          <t>KIVIRCIKRAMPALII-KR1-TURKUAZ-100x850</t>
        </is>
      </c>
      <c r="E975" s="27" t="inlineStr">
        <is>
          <t>100 x 850</t>
        </is>
      </c>
      <c r="F975" s="28" t="inlineStr">
        <is>
          <t>TYCSS3MAPN169778498328887</t>
        </is>
      </c>
      <c r="G975" s="29" t="inlineStr">
        <is>
          <t>Kapı Önü Paspası</t>
        </is>
      </c>
      <c r="H975" s="30" t="inlineStr">
        <is>
          <t>Paspas Yap</t>
        </is>
      </c>
      <c r="I975" s="31" t="n">
        <v>93.0</v>
      </c>
      <c r="J975" s="32" t="n">
        <v>15834.0</v>
      </c>
      <c r="K975" s="33" t="n">
        <v>14869.23</v>
      </c>
      <c r="L975" s="34" t="n">
        <v>22.0</v>
      </c>
      <c r="M975" s="35" t="n">
        <v>12056.58</v>
      </c>
      <c r="N975" s="36" t="inlineStr">
        <is>
          <t>25 Ağustos 08.00-1 Eylül 07.59</t>
        </is>
      </c>
      <c r="O975" s="37" t="n">
        <v>17.9</v>
      </c>
      <c r="P975" s="38" t="n">
        <v>14869.23</v>
      </c>
      <c r="Q975" s="39"/>
      <c r="R975" s="40" t="n">
        <f>=IF(AND(ISBLANK(Q975), ISBLANK(U975)), "", "7 Günlük Fiyat")</f>
        <v>0.0</v>
      </c>
      <c r="S975" s="41" t="n">
        <f>=IF(OR(Q975="", R975=""), "-", IF(ISNUMBER(SEARCH("7 Günlük", R975)), IF(Q975&lt;=M975, O975, "-"), "-"))</f>
        <v>0.0</v>
      </c>
      <c r="T975" s="42" t="str">
        <f>=IF(ISBLANK(Q975), "", "Hayır")</f>
      </c>
      <c r="U975" s="43"/>
      <c r="V975" s="44" t="inlineStr">
        <is>
          <t>50461ed1-c2c8-4393-967e-55d58a3e2664</t>
        </is>
      </c>
    </row>
    <row r="976">
      <c r="A976" s="23" t="inlineStr">
        <is>
          <t>Rampalı Kıvırcık Paspas Iş Yeri Paspası Su Emici Kaymaz Paspas Kivircik Iş Yeri Paspas Apartman Ofis</t>
        </is>
      </c>
      <c r="B976" s="24" t="inlineStr">
        <is>
          <t>772451067</t>
        </is>
      </c>
      <c r="C976" s="25" t="inlineStr">
        <is>
          <t>KIVIRCIKRAMPALII-KR1-TURKUAZ-80x1150</t>
        </is>
      </c>
      <c r="D976" s="26" t="inlineStr">
        <is>
          <t>KIVIRCIKRAMPALII-KR1-TURKUAZ-80x1150</t>
        </is>
      </c>
      <c r="E976" s="27" t="inlineStr">
        <is>
          <t>80 x 1150</t>
        </is>
      </c>
      <c r="F976" s="28" t="inlineStr">
        <is>
          <t>TYCSS3MAPN169778498328887</t>
        </is>
      </c>
      <c r="G976" s="29" t="inlineStr">
        <is>
          <t>Kapı Önü Paspası</t>
        </is>
      </c>
      <c r="H976" s="30" t="inlineStr">
        <is>
          <t>Paspas Yap</t>
        </is>
      </c>
      <c r="I976" s="31" t="n">
        <v>93.0</v>
      </c>
      <c r="J976" s="32" t="n">
        <v>17067.0</v>
      </c>
      <c r="K976" s="33" t="n">
        <v>15971.79</v>
      </c>
      <c r="L976" s="34" t="n">
        <v>22.0</v>
      </c>
      <c r="M976" s="35" t="n">
        <v>12404.27</v>
      </c>
      <c r="N976" s="36" t="inlineStr">
        <is>
          <t>25 Ağustos 08.00-1 Eylül 07.59</t>
        </is>
      </c>
      <c r="O976" s="37" t="n">
        <v>17.1</v>
      </c>
      <c r="P976" s="38" t="n">
        <v>15971.79</v>
      </c>
      <c r="Q976" s="39"/>
      <c r="R976" s="40" t="n">
        <f>=IF(AND(ISBLANK(Q976), ISBLANK(U976)), "", "7 Günlük Fiyat")</f>
        <v>0.0</v>
      </c>
      <c r="S976" s="41" t="n">
        <f>=IF(OR(Q976="", R976=""), "-", IF(ISNUMBER(SEARCH("7 Günlük", R976)), IF(Q976&lt;=M976, O976, "-"), "-"))</f>
        <v>0.0</v>
      </c>
      <c r="T976" s="42" t="str">
        <f>=IF(ISBLANK(Q976), "", "Hayır")</f>
      </c>
      <c r="U976" s="43"/>
      <c r="V976" s="44" t="inlineStr">
        <is>
          <t>50461ed1-c2c8-4393-967e-55d58a3e2664</t>
        </is>
      </c>
    </row>
    <row r="977">
      <c r="A977" s="23" t="inlineStr">
        <is>
          <t>Rampalı Kıvırcık Paspas Iş Yeri Paspası Su Emici Kaymaz Paspas Kivircik Iş Yeri Paspas Apartman Ofis</t>
        </is>
      </c>
      <c r="B977" s="24" t="inlineStr">
        <is>
          <t>772451067</t>
        </is>
      </c>
      <c r="C977" s="25" t="inlineStr">
        <is>
          <t>KIVIRCIKRAMPALII-KR1-TURKUAZ-100x950</t>
        </is>
      </c>
      <c r="D977" s="26" t="inlineStr">
        <is>
          <t>KIVIRCIKRAMPALII-KR1-TURKUAZ-100x950</t>
        </is>
      </c>
      <c r="E977" s="27" t="inlineStr">
        <is>
          <t>100 x 950</t>
        </is>
      </c>
      <c r="F977" s="28" t="inlineStr">
        <is>
          <t>TYCSS3MAPN169778498328887</t>
        </is>
      </c>
      <c r="G977" s="29" t="inlineStr">
        <is>
          <t>Kapı Önü Paspası</t>
        </is>
      </c>
      <c r="H977" s="30" t="inlineStr">
        <is>
          <t>Paspas Yap</t>
        </is>
      </c>
      <c r="I977" s="31" t="n">
        <v>93.0</v>
      </c>
      <c r="J977" s="32" t="n">
        <v>17307.0</v>
      </c>
      <c r="K977" s="33" t="n">
        <v>16209.07</v>
      </c>
      <c r="L977" s="34" t="n">
        <v>22.0</v>
      </c>
      <c r="M977" s="35" t="n">
        <v>12782.24</v>
      </c>
      <c r="N977" s="36" t="inlineStr">
        <is>
          <t>25 Ağustos 08.00-1 Eylül 07.59</t>
        </is>
      </c>
      <c r="O977" s="37" t="n">
        <v>17.4</v>
      </c>
      <c r="P977" s="38" t="n">
        <v>16209.07</v>
      </c>
      <c r="Q977" s="39"/>
      <c r="R977" s="40" t="n">
        <f>=IF(AND(ISBLANK(Q977), ISBLANK(U977)), "", "7 Günlük Fiyat")</f>
        <v>0.0</v>
      </c>
      <c r="S977" s="41" t="n">
        <f>=IF(OR(Q977="", R977=""), "-", IF(ISNUMBER(SEARCH("7 Günlük", R977)), IF(Q977&lt;=M977, O977, "-"), "-"))</f>
        <v>0.0</v>
      </c>
      <c r="T977" s="42" t="str">
        <f>=IF(ISBLANK(Q977), "", "Hayır")</f>
      </c>
      <c r="U977" s="43"/>
      <c r="V977" s="44" t="inlineStr">
        <is>
          <t>50461ed1-c2c8-4393-967e-55d58a3e2664</t>
        </is>
      </c>
    </row>
    <row r="978">
      <c r="A978" s="23" t="inlineStr">
        <is>
          <t>Rampalı Kıvırcık Paspas Iş Yeri Paspası Su Emici Kaymaz Paspas Kivircik Iş Yeri Paspas Apartman Ofis</t>
        </is>
      </c>
      <c r="B978" s="24" t="inlineStr">
        <is>
          <t>772451067</t>
        </is>
      </c>
      <c r="C978" s="25" t="inlineStr">
        <is>
          <t>KIVIRCIKRAMPALII-KR1-TURKUAZ-120x1350</t>
        </is>
      </c>
      <c r="D978" s="26" t="inlineStr">
        <is>
          <t>KIVIRCIKRAMPALII-KR1-TURKUAZ-120x1350</t>
        </is>
      </c>
      <c r="E978" s="27" t="inlineStr">
        <is>
          <t>120 x 1350</t>
        </is>
      </c>
      <c r="F978" s="28" t="inlineStr">
        <is>
          <t>TYCSS3MAPN169778498328887</t>
        </is>
      </c>
      <c r="G978" s="29" t="inlineStr">
        <is>
          <t>Kapı Önü Paspası</t>
        </is>
      </c>
      <c r="H978" s="30" t="inlineStr">
        <is>
          <t>Paspas Yap</t>
        </is>
      </c>
      <c r="I978" s="31" t="n">
        <v>93.0</v>
      </c>
      <c r="J978" s="32" t="n">
        <v>31675.0</v>
      </c>
      <c r="K978" s="33" t="n">
        <v>29220.32</v>
      </c>
      <c r="L978" s="34" t="n">
        <v>22.0</v>
      </c>
      <c r="M978" s="35" t="n">
        <v>21091.26</v>
      </c>
      <c r="N978" s="36" t="inlineStr">
        <is>
          <t>25 Ağustos 08.00-1 Eylül 07.59</t>
        </is>
      </c>
      <c r="O978" s="37" t="n">
        <v>15.5</v>
      </c>
      <c r="P978" s="38" t="n">
        <v>29220.32</v>
      </c>
      <c r="Q978" s="39"/>
      <c r="R978" s="40" t="n">
        <f>=IF(AND(ISBLANK(Q978), ISBLANK(U978)), "", "7 Günlük Fiyat")</f>
        <v>0.0</v>
      </c>
      <c r="S978" s="41" t="n">
        <f>=IF(OR(Q978="", R978=""), "-", IF(ISNUMBER(SEARCH("7 Günlük", R978)), IF(Q978&lt;=M978, O978, "-"), "-"))</f>
        <v>0.0</v>
      </c>
      <c r="T978" s="42" t="str">
        <f>=IF(ISBLANK(Q978), "", "Hayır")</f>
      </c>
      <c r="U978" s="43"/>
      <c r="V978" s="44" t="inlineStr">
        <is>
          <t>50461ed1-c2c8-4393-967e-55d58a3e2664</t>
        </is>
      </c>
    </row>
    <row r="979">
      <c r="A979" s="23" t="inlineStr">
        <is>
          <t>Rampalı Kıvırcık Paspas Iş Yeri Paspası Su Emici Kaymaz Paspas Kivircik Iş Yeri Paspas Apartman Ofis</t>
        </is>
      </c>
      <c r="B979" s="24" t="inlineStr">
        <is>
          <t>772451067</t>
        </is>
      </c>
      <c r="C979" s="25" t="inlineStr">
        <is>
          <t>KIVIRCIKRAMPALII-KR1-TURKUAZ-80x700</t>
        </is>
      </c>
      <c r="D979" s="26" t="inlineStr">
        <is>
          <t>KIVIRCIKRAMPALII-KR1-TURKUAZ-80x700</t>
        </is>
      </c>
      <c r="E979" s="27" t="inlineStr">
        <is>
          <t>80 x 700</t>
        </is>
      </c>
      <c r="F979" s="28" t="inlineStr">
        <is>
          <t>TYCSS3MAPN169778498328887</t>
        </is>
      </c>
      <c r="G979" s="29" t="inlineStr">
        <is>
          <t>Kapı Önü Paspası</t>
        </is>
      </c>
      <c r="H979" s="30" t="inlineStr">
        <is>
          <t>Paspas Yap</t>
        </is>
      </c>
      <c r="I979" s="31" t="n">
        <v>93.0</v>
      </c>
      <c r="J979" s="32" t="n">
        <v>11255.0</v>
      </c>
      <c r="K979" s="33" t="n">
        <v>10467.55</v>
      </c>
      <c r="L979" s="34" t="n">
        <v>22.0</v>
      </c>
      <c r="M979" s="35" t="n">
        <v>8085.42</v>
      </c>
      <c r="N979" s="36" t="inlineStr">
        <is>
          <t>25 Ağustos 08.00-1 Eylül 07.59</t>
        </is>
      </c>
      <c r="O979" s="37" t="n">
        <v>17.1</v>
      </c>
      <c r="P979" s="38" t="n">
        <v>10467.55</v>
      </c>
      <c r="Q979" s="39"/>
      <c r="R979" s="40" t="n">
        <f>=IF(AND(ISBLANK(Q979), ISBLANK(U979)), "", "7 Günlük Fiyat")</f>
        <v>0.0</v>
      </c>
      <c r="S979" s="41" t="n">
        <f>=IF(OR(Q979="", R979=""), "-", IF(ISNUMBER(SEARCH("7 Günlük", R979)), IF(Q979&lt;=M979, O979, "-"), "-"))</f>
        <v>0.0</v>
      </c>
      <c r="T979" s="42" t="str">
        <f>=IF(ISBLANK(Q979), "", "Hayır")</f>
      </c>
      <c r="U979" s="43"/>
      <c r="V979" s="44" t="inlineStr">
        <is>
          <t>50461ed1-c2c8-4393-967e-55d58a3e2664</t>
        </is>
      </c>
    </row>
    <row r="980">
      <c r="A980" s="23" t="inlineStr">
        <is>
          <t>Rampalı Kıvırcık Paspas Iş Yeri Paspası Su Emici Kaymaz Paspas Kivircik Iş Yeri Paspas Apartman Ofis</t>
        </is>
      </c>
      <c r="B980" s="24" t="inlineStr">
        <is>
          <t>772451067</t>
        </is>
      </c>
      <c r="C980" s="25" t="inlineStr">
        <is>
          <t>KIVIRCIKRAMPALII-KR1-TURKUAZ-100x1100</t>
        </is>
      </c>
      <c r="D980" s="26" t="inlineStr">
        <is>
          <t>KIVIRCIKRAMPALII-KR1-TURKUAZ-100x1100</t>
        </is>
      </c>
      <c r="E980" s="27" t="inlineStr">
        <is>
          <t>100 x 1100</t>
        </is>
      </c>
      <c r="F980" s="28" t="inlineStr">
        <is>
          <t>TYCSS3MAPN169778498328887</t>
        </is>
      </c>
      <c r="G980" s="29" t="inlineStr">
        <is>
          <t>Kapı Önü Paspası</t>
        </is>
      </c>
      <c r="H980" s="30" t="inlineStr">
        <is>
          <t>Paspas Yap</t>
        </is>
      </c>
      <c r="I980" s="31" t="n">
        <v>93.0</v>
      </c>
      <c r="J980" s="32" t="n">
        <v>23587.0</v>
      </c>
      <c r="K980" s="33" t="n">
        <v>21883.12</v>
      </c>
      <c r="L980" s="34" t="n">
        <v>22.0</v>
      </c>
      <c r="M980" s="35" t="n">
        <v>16229.69</v>
      </c>
      <c r="N980" s="36" t="inlineStr">
        <is>
          <t>25 Ağustos 08.00-1 Eylül 07.59</t>
        </is>
      </c>
      <c r="O980" s="37" t="n">
        <v>16.1</v>
      </c>
      <c r="P980" s="38" t="n">
        <v>21883.12</v>
      </c>
      <c r="Q980" s="39"/>
      <c r="R980" s="40" t="n">
        <f>=IF(AND(ISBLANK(Q980), ISBLANK(U980)), "", "7 Günlük Fiyat")</f>
        <v>0.0</v>
      </c>
      <c r="S980" s="41" t="n">
        <f>=IF(OR(Q980="", R980=""), "-", IF(ISNUMBER(SEARCH("7 Günlük", R980)), IF(Q980&lt;=M980, O980, "-"), "-"))</f>
        <v>0.0</v>
      </c>
      <c r="T980" s="42" t="str">
        <f>=IF(ISBLANK(Q980), "", "Hayır")</f>
      </c>
      <c r="U980" s="43"/>
      <c r="V980" s="44" t="inlineStr">
        <is>
          <t>50461ed1-c2c8-4393-967e-55d58a3e2664</t>
        </is>
      </c>
    </row>
    <row r="981">
      <c r="A981" s="23" t="inlineStr">
        <is>
          <t>Rampalı Kıvırcık Paspas Iş Yeri Paspası Su Emici Kaymaz Paspas Kivircik Iş Yeri Paspas Apartman Ofis</t>
        </is>
      </c>
      <c r="B981" s="24" t="inlineStr">
        <is>
          <t>772451067</t>
        </is>
      </c>
      <c r="C981" s="25" t="inlineStr">
        <is>
          <t>KIVIRCIKRAMPALII-KR1-TURKUAZ-80x1500</t>
        </is>
      </c>
      <c r="D981" s="26" t="inlineStr">
        <is>
          <t>KIVIRCIKRAMPALII-KR1-TURKUAZ-80x1500</t>
        </is>
      </c>
      <c r="E981" s="27" t="inlineStr">
        <is>
          <t>80 x 1500</t>
        </is>
      </c>
      <c r="F981" s="28" t="inlineStr">
        <is>
          <t>TYCSS3MAPN169778498328887</t>
        </is>
      </c>
      <c r="G981" s="29" t="inlineStr">
        <is>
          <t>Kapı Önü Paspası</t>
        </is>
      </c>
      <c r="H981" s="30" t="inlineStr">
        <is>
          <t>Paspas Yap</t>
        </is>
      </c>
      <c r="I981" s="31" t="n">
        <v>93.0</v>
      </c>
      <c r="J981" s="32" t="n">
        <v>25575.0</v>
      </c>
      <c r="K981" s="33" t="n">
        <v>23824.38</v>
      </c>
      <c r="L981" s="34" t="n">
        <v>22.0</v>
      </c>
      <c r="M981" s="35" t="n">
        <v>17129.8</v>
      </c>
      <c r="N981" s="36" t="inlineStr">
        <is>
          <t>25 Ağustos 08.00-1 Eylül 07.59</t>
        </is>
      </c>
      <c r="O981" s="37" t="n">
        <v>15.7</v>
      </c>
      <c r="P981" s="38" t="n">
        <v>23824.38</v>
      </c>
      <c r="Q981" s="39"/>
      <c r="R981" s="40" t="n">
        <f>=IF(AND(ISBLANK(Q981), ISBLANK(U981)), "", "7 Günlük Fiyat")</f>
        <v>0.0</v>
      </c>
      <c r="S981" s="41" t="n">
        <f>=IF(OR(Q981="", R981=""), "-", IF(ISNUMBER(SEARCH("7 Günlük", R981)), IF(Q981&lt;=M981, O981, "-"), "-"))</f>
        <v>0.0</v>
      </c>
      <c r="T981" s="42" t="str">
        <f>=IF(ISBLANK(Q981), "", "Hayır")</f>
      </c>
      <c r="U981" s="43"/>
      <c r="V981" s="44" t="inlineStr">
        <is>
          <t>50461ed1-c2c8-4393-967e-55d58a3e2664</t>
        </is>
      </c>
    </row>
    <row r="982">
      <c r="A982" s="23" t="inlineStr">
        <is>
          <t>Rampalı Kıvırcık Paspas Iş Yeri Paspası Su Emici Kaymaz Paspas Kivircik Iş Yeri Paspas Apartman Ofis</t>
        </is>
      </c>
      <c r="B982" s="24" t="inlineStr">
        <is>
          <t>772451067</t>
        </is>
      </c>
      <c r="C982" s="25" t="inlineStr">
        <is>
          <t>KIVIRCIKRAMPALII-KR1-TURKUAZ-80x100</t>
        </is>
      </c>
      <c r="D982" s="26" t="inlineStr">
        <is>
          <t>KIVIRCIKRAMPALII-KR1-TURKUAZ-80x100</t>
        </is>
      </c>
      <c r="E982" s="27" t="inlineStr">
        <is>
          <t>80 x 100</t>
        </is>
      </c>
      <c r="F982" s="28" t="inlineStr">
        <is>
          <t>TYCSS3MAPN169778498328887</t>
        </is>
      </c>
      <c r="G982" s="29" t="inlineStr">
        <is>
          <t>Kapı Önü Paspası</t>
        </is>
      </c>
      <c r="H982" s="30" t="inlineStr">
        <is>
          <t>Paspas Yap</t>
        </is>
      </c>
      <c r="I982" s="31" t="n">
        <v>93.0</v>
      </c>
      <c r="J982" s="32" t="n">
        <v>2120.0</v>
      </c>
      <c r="K982" s="33" t="n">
        <v>2120.0</v>
      </c>
      <c r="L982" s="34" t="n">
        <v>22.0</v>
      </c>
      <c r="M982" s="35" t="n">
        <v>1635.42</v>
      </c>
      <c r="N982" s="36" t="inlineStr">
        <is>
          <t>25 Ağustos 08.00-1 Eylül 07.59</t>
        </is>
      </c>
      <c r="O982" s="37" t="n">
        <v>17.7</v>
      </c>
      <c r="P982" s="38" t="n">
        <v>2120.0</v>
      </c>
      <c r="Q982" s="39"/>
      <c r="R982" s="40" t="n">
        <f>=IF(AND(ISBLANK(Q982), ISBLANK(U982)), "", "7 Günlük Fiyat")</f>
        <v>0.0</v>
      </c>
      <c r="S982" s="41" t="n">
        <f>=IF(OR(Q982="", R982=""), "-", IF(ISNUMBER(SEARCH("7 Günlük", R982)), IF(Q982&lt;=M982, O982, "-"), "-"))</f>
        <v>0.0</v>
      </c>
      <c r="T982" s="42" t="str">
        <f>=IF(ISBLANK(Q982), "", "Hayır")</f>
      </c>
      <c r="U982" s="43"/>
      <c r="V982" s="44" t="inlineStr">
        <is>
          <t>50461ed1-c2c8-4393-967e-55d58a3e2664</t>
        </is>
      </c>
    </row>
    <row r="983">
      <c r="A983" s="23" t="inlineStr">
        <is>
          <t>Rampalı Kıvırcık Paspas Iş Yeri Paspası Su Emici Kaymaz Paspas Kivircik Iş Yeri Paspas Apartman Ofis</t>
        </is>
      </c>
      <c r="B983" s="24" t="inlineStr">
        <is>
          <t>772451067</t>
        </is>
      </c>
      <c r="C983" s="25" t="inlineStr">
        <is>
          <t>KIVIRCIKRAMPALII-KR1-TURKUAZ-80x750</t>
        </is>
      </c>
      <c r="D983" s="26" t="inlineStr">
        <is>
          <t>KIVIRCIKRAMPALII-KR1-TURKUAZ-80x750</t>
        </is>
      </c>
      <c r="E983" s="27" t="inlineStr">
        <is>
          <t>80 x 750</t>
        </is>
      </c>
      <c r="F983" s="28" t="inlineStr">
        <is>
          <t>TYCSS3MAPN169778498328887</t>
        </is>
      </c>
      <c r="G983" s="29" t="inlineStr">
        <is>
          <t>Kapı Önü Paspası</t>
        </is>
      </c>
      <c r="H983" s="30" t="inlineStr">
        <is>
          <t>Paspas Yap</t>
        </is>
      </c>
      <c r="I983" s="31" t="n">
        <v>93.0</v>
      </c>
      <c r="J983" s="32" t="n">
        <v>12312.0</v>
      </c>
      <c r="K983" s="33" t="n">
        <v>11446.53</v>
      </c>
      <c r="L983" s="34" t="n">
        <v>22.0</v>
      </c>
      <c r="M983" s="35" t="n">
        <v>8217.68</v>
      </c>
      <c r="N983" s="36" t="inlineStr">
        <is>
          <t>25 Ağustos 08.00-1 Eylül 07.59</t>
        </is>
      </c>
      <c r="O983" s="37" t="n">
        <v>15.6</v>
      </c>
      <c r="P983" s="38" t="n">
        <v>11446.53</v>
      </c>
      <c r="Q983" s="39"/>
      <c r="R983" s="40" t="n">
        <f>=IF(AND(ISBLANK(Q983), ISBLANK(U983)), "", "7 Günlük Fiyat")</f>
        <v>0.0</v>
      </c>
      <c r="S983" s="41" t="n">
        <f>=IF(OR(Q983="", R983=""), "-", IF(ISNUMBER(SEARCH("7 Günlük", R983)), IF(Q983&lt;=M983, O983, "-"), "-"))</f>
        <v>0.0</v>
      </c>
      <c r="T983" s="42" t="str">
        <f>=IF(ISBLANK(Q983), "", "Hayır")</f>
      </c>
      <c r="U983" s="43"/>
      <c r="V983" s="44" t="inlineStr">
        <is>
          <t>50461ed1-c2c8-4393-967e-55d58a3e2664</t>
        </is>
      </c>
    </row>
    <row r="984">
      <c r="A984" s="23" t="inlineStr">
        <is>
          <t>Rampalı Kıvırcık Paspas Iş Yeri Paspası Su Emici Kaymaz Paspas Kivircik Iş Yeri Paspas Apartman Ofis</t>
        </is>
      </c>
      <c r="B984" s="24" t="inlineStr">
        <is>
          <t>772451067</t>
        </is>
      </c>
      <c r="C984" s="25" t="inlineStr">
        <is>
          <t>KIVIRCIKRAMPALII-KR1-TURKUAZ-80x150</t>
        </is>
      </c>
      <c r="D984" s="26" t="inlineStr">
        <is>
          <t>KIVIRCIKRAMPALII-KR1-TURKUAZ-80x150</t>
        </is>
      </c>
      <c r="E984" s="27" t="inlineStr">
        <is>
          <t>80 x 150</t>
        </is>
      </c>
      <c r="F984" s="28" t="inlineStr">
        <is>
          <t>TYCSS3MAPN169778498328887</t>
        </is>
      </c>
      <c r="G984" s="29" t="inlineStr">
        <is>
          <t>Kapı Önü Paspası</t>
        </is>
      </c>
      <c r="H984" s="30" t="inlineStr">
        <is>
          <t>Paspas Yap</t>
        </is>
      </c>
      <c r="I984" s="31" t="n">
        <v>92.0</v>
      </c>
      <c r="J984" s="32" t="n">
        <v>2809.0</v>
      </c>
      <c r="K984" s="33" t="n">
        <v>2569.6</v>
      </c>
      <c r="L984" s="34" t="n">
        <v>22.0</v>
      </c>
      <c r="M984" s="35" t="n">
        <v>2010.23</v>
      </c>
      <c r="N984" s="36" t="inlineStr">
        <is>
          <t>25 Ağustos 08.00-1 Eylül 07.59</t>
        </is>
      </c>
      <c r="O984" s="37" t="n">
        <v>17.0</v>
      </c>
      <c r="P984" s="38" t="n">
        <v>2569.6</v>
      </c>
      <c r="Q984" s="39"/>
      <c r="R984" s="40" t="n">
        <f>=IF(AND(ISBLANK(Q984), ISBLANK(U984)), "", "7 Günlük Fiyat")</f>
        <v>0.0</v>
      </c>
      <c r="S984" s="41" t="n">
        <f>=IF(OR(Q984="", R984=""), "-", IF(ISNUMBER(SEARCH("7 Günlük", R984)), IF(Q984&lt;=M984, O984, "-"), "-"))</f>
        <v>0.0</v>
      </c>
      <c r="T984" s="42" t="str">
        <f>=IF(ISBLANK(Q984), "", "Hayır")</f>
      </c>
      <c r="U984" s="43"/>
      <c r="V984" s="44" t="inlineStr">
        <is>
          <t>50461ed1-c2c8-4393-967e-55d58a3e2664</t>
        </is>
      </c>
    </row>
    <row r="985">
      <c r="A985" s="23" t="inlineStr">
        <is>
          <t>Rampalı Kıvırcık Paspas Iş Yeri Paspası Su Emici Kaymaz Paspas Kivircik Iş Yeri Paspas Apartman Ofis</t>
        </is>
      </c>
      <c r="B985" s="24" t="inlineStr">
        <is>
          <t>772451067</t>
        </is>
      </c>
      <c r="C985" s="25" t="inlineStr">
        <is>
          <t>KIVIRCIKRAMPALII-KR1-TURKUAZ-120x1100</t>
        </is>
      </c>
      <c r="D985" s="26" t="inlineStr">
        <is>
          <t>KIVIRCIKRAMPALII-KR1-TURKUAZ-120x1100</t>
        </is>
      </c>
      <c r="E985" s="27" t="inlineStr">
        <is>
          <t>120 x 1100</t>
        </is>
      </c>
      <c r="F985" s="28" t="inlineStr">
        <is>
          <t>TYCSS3MAPN169778498328887</t>
        </is>
      </c>
      <c r="G985" s="29" t="inlineStr">
        <is>
          <t>Kapı Önü Paspası</t>
        </is>
      </c>
      <c r="H985" s="30" t="inlineStr">
        <is>
          <t>Paspas Yap</t>
        </is>
      </c>
      <c r="I985" s="31" t="n">
        <v>93.0</v>
      </c>
      <c r="J985" s="32" t="n">
        <v>26963.0</v>
      </c>
      <c r="K985" s="33" t="n">
        <v>25045.25</v>
      </c>
      <c r="L985" s="34" t="n">
        <v>22.0</v>
      </c>
      <c r="M985" s="35" t="n">
        <v>19127.53</v>
      </c>
      <c r="N985" s="36" t="inlineStr">
        <is>
          <t>25 Ağustos 08.00-1 Eylül 07.59</t>
        </is>
      </c>
      <c r="O985" s="37" t="n">
        <v>16.7</v>
      </c>
      <c r="P985" s="38" t="n">
        <v>25045.25</v>
      </c>
      <c r="Q985" s="39"/>
      <c r="R985" s="40" t="n">
        <f>=IF(AND(ISBLANK(Q985), ISBLANK(U985)), "", "7 Günlük Fiyat")</f>
        <v>0.0</v>
      </c>
      <c r="S985" s="41" t="n">
        <f>=IF(OR(Q985="", R985=""), "-", IF(ISNUMBER(SEARCH("7 Günlük", R985)), IF(Q985&lt;=M985, O985, "-"), "-"))</f>
        <v>0.0</v>
      </c>
      <c r="T985" s="42" t="str">
        <f>=IF(ISBLANK(Q985), "", "Hayır")</f>
      </c>
      <c r="U985" s="43"/>
      <c r="V985" s="44" t="inlineStr">
        <is>
          <t>50461ed1-c2c8-4393-967e-55d58a3e2664</t>
        </is>
      </c>
    </row>
    <row r="986">
      <c r="A986" s="23" t="inlineStr">
        <is>
          <t>Rampalı Kıvırcık Paspas Iş Yeri Paspası Su Emici Kaymaz Paspas Kivircik Iş Yeri Paspas Apartman Ofis</t>
        </is>
      </c>
      <c r="B986" s="24" t="inlineStr">
        <is>
          <t>772451067</t>
        </is>
      </c>
      <c r="C986" s="25" t="inlineStr">
        <is>
          <t>KIVIRCIKRAMPALII-KR1-TURKUAZ-100x120</t>
        </is>
      </c>
      <c r="D986" s="26" t="inlineStr">
        <is>
          <t>KIVIRCIKRAMPALII-KR1-TURKUAZ-100x120</t>
        </is>
      </c>
      <c r="E986" s="27" t="inlineStr">
        <is>
          <t>100 x 120</t>
        </is>
      </c>
      <c r="F986" s="28" t="inlineStr">
        <is>
          <t>TYCSS3MAPN169778498328887</t>
        </is>
      </c>
      <c r="G986" s="29" t="inlineStr">
        <is>
          <t>Kapı Önü Paspası</t>
        </is>
      </c>
      <c r="H986" s="30" t="inlineStr">
        <is>
          <t>Paspas Yap</t>
        </is>
      </c>
      <c r="I986" s="31" t="n">
        <v>93.0</v>
      </c>
      <c r="J986" s="32" t="n">
        <v>2809.0</v>
      </c>
      <c r="K986" s="33" t="n">
        <v>2493.58</v>
      </c>
      <c r="L986" s="34" t="n">
        <v>22.0</v>
      </c>
      <c r="M986" s="35" t="n">
        <v>1935.12</v>
      </c>
      <c r="N986" s="36" t="inlineStr">
        <is>
          <t>25 Ağustos 08.00-1 Eylül 07.59</t>
        </is>
      </c>
      <c r="O986" s="37" t="n">
        <v>16.5</v>
      </c>
      <c r="P986" s="38" t="n">
        <v>2493.58</v>
      </c>
      <c r="Q986" s="39"/>
      <c r="R986" s="40" t="n">
        <f>=IF(AND(ISBLANK(Q986), ISBLANK(U986)), "", "7 Günlük Fiyat")</f>
        <v>0.0</v>
      </c>
      <c r="S986" s="41" t="n">
        <f>=IF(OR(Q986="", R986=""), "-", IF(ISNUMBER(SEARCH("7 Günlük", R986)), IF(Q986&lt;=M986, O986, "-"), "-"))</f>
        <v>0.0</v>
      </c>
      <c r="T986" s="42" t="str">
        <f>=IF(ISBLANK(Q986), "", "Hayır")</f>
      </c>
      <c r="U986" s="43"/>
      <c r="V986" s="44" t="inlineStr">
        <is>
          <t>50461ed1-c2c8-4393-967e-55d58a3e2664</t>
        </is>
      </c>
    </row>
    <row r="987">
      <c r="A987" s="23" t="inlineStr">
        <is>
          <t>Rampalı Kıvırcık Paspas Iş Yeri Paspası Su Emici Kaymaz Paspas Kivircik Iş Yeri Paspas Apartman Ofis</t>
        </is>
      </c>
      <c r="B987" s="24" t="inlineStr">
        <is>
          <t>772451067</t>
        </is>
      </c>
      <c r="C987" s="25" t="inlineStr">
        <is>
          <t>KIVIRCIKRAMPALII-KR1-TURKUAZ-80x1200</t>
        </is>
      </c>
      <c r="D987" s="26" t="inlineStr">
        <is>
          <t>KIVIRCIKRAMPALII-KR1-TURKUAZ-80x1200</t>
        </is>
      </c>
      <c r="E987" s="27" t="inlineStr">
        <is>
          <t>80 x 1200</t>
        </is>
      </c>
      <c r="F987" s="28" t="inlineStr">
        <is>
          <t>TYCSS3MAPN169778498328887</t>
        </is>
      </c>
      <c r="G987" s="29" t="inlineStr">
        <is>
          <t>Kapı Önü Paspası</t>
        </is>
      </c>
      <c r="H987" s="30" t="inlineStr">
        <is>
          <t>Paspas Yap</t>
        </is>
      </c>
      <c r="I987" s="31" t="n">
        <v>93.0</v>
      </c>
      <c r="J987" s="32" t="n">
        <v>17652.0</v>
      </c>
      <c r="K987" s="33" t="n">
        <v>16507.33</v>
      </c>
      <c r="L987" s="34" t="n">
        <v>22.0</v>
      </c>
      <c r="M987" s="35" t="n">
        <v>12857.24</v>
      </c>
      <c r="N987" s="36" t="inlineStr">
        <is>
          <t>25 Ağustos 08.00-1 Eylül 07.59</t>
        </is>
      </c>
      <c r="O987" s="37" t="n">
        <v>17.1</v>
      </c>
      <c r="P987" s="38" t="n">
        <v>16507.33</v>
      </c>
      <c r="Q987" s="39"/>
      <c r="R987" s="40" t="n">
        <f>=IF(AND(ISBLANK(Q987), ISBLANK(U987)), "", "7 Günlük Fiyat")</f>
        <v>0.0</v>
      </c>
      <c r="S987" s="41" t="n">
        <f>=IF(OR(Q987="", R987=""), "-", IF(ISNUMBER(SEARCH("7 Günlük", R987)), IF(Q987&lt;=M987, O987, "-"), "-"))</f>
        <v>0.0</v>
      </c>
      <c r="T987" s="42" t="str">
        <f>=IF(ISBLANK(Q987), "", "Hayır")</f>
      </c>
      <c r="U987" s="43"/>
      <c r="V987" s="44" t="inlineStr">
        <is>
          <t>50461ed1-c2c8-4393-967e-55d58a3e2664</t>
        </is>
      </c>
    </row>
    <row r="988">
      <c r="A988" s="23" t="inlineStr">
        <is>
          <t>Rampalı Kıvırcık Paspas Iş Yeri Paspası Su Emici Kaymaz Paspas Kivircik Iş Yeri Paspas Apartman Ofis</t>
        </is>
      </c>
      <c r="B988" s="24" t="inlineStr">
        <is>
          <t>772451067</t>
        </is>
      </c>
      <c r="C988" s="25" t="inlineStr">
        <is>
          <t>KIVIRCIKRAMPALII-KR1-TURKUAZ-80x900</t>
        </is>
      </c>
      <c r="D988" s="26" t="inlineStr">
        <is>
          <t>KIVIRCIKRAMPALII-KR1-TURKUAZ-80x900</t>
        </is>
      </c>
      <c r="E988" s="27" t="inlineStr">
        <is>
          <t>80 x 900</t>
        </is>
      </c>
      <c r="F988" s="28" t="inlineStr">
        <is>
          <t>TYCSS3MAPN169778498328887</t>
        </is>
      </c>
      <c r="G988" s="29" t="inlineStr">
        <is>
          <t>Kapı Önü Paspası</t>
        </is>
      </c>
      <c r="H988" s="30" t="inlineStr">
        <is>
          <t>Paspas Yap</t>
        </is>
      </c>
      <c r="I988" s="31" t="n">
        <v>93.0</v>
      </c>
      <c r="J988" s="32" t="n">
        <v>14087.0</v>
      </c>
      <c r="K988" s="33" t="n">
        <v>13161.63</v>
      </c>
      <c r="L988" s="34" t="n">
        <v>22.0</v>
      </c>
      <c r="M988" s="35" t="n">
        <v>9697.05</v>
      </c>
      <c r="N988" s="36" t="inlineStr">
        <is>
          <t>25 Ağustos 08.00-1 Eylül 07.59</t>
        </is>
      </c>
      <c r="O988" s="37" t="n">
        <v>16.2</v>
      </c>
      <c r="P988" s="38" t="n">
        <v>13161.63</v>
      </c>
      <c r="Q988" s="39"/>
      <c r="R988" s="40" t="n">
        <f>=IF(AND(ISBLANK(Q988), ISBLANK(U988)), "", "7 Günlük Fiyat")</f>
        <v>0.0</v>
      </c>
      <c r="S988" s="41" t="n">
        <f>=IF(OR(Q988="", R988=""), "-", IF(ISNUMBER(SEARCH("7 Günlük", R988)), IF(Q988&lt;=M988, O988, "-"), "-"))</f>
        <v>0.0</v>
      </c>
      <c r="T988" s="42" t="str">
        <f>=IF(ISBLANK(Q988), "", "Hayır")</f>
      </c>
      <c r="U988" s="43"/>
      <c r="V988" s="44" t="inlineStr">
        <is>
          <t>50461ed1-c2c8-4393-967e-55d58a3e2664</t>
        </is>
      </c>
    </row>
    <row r="989">
      <c r="A989" s="23" t="inlineStr">
        <is>
          <t>Rampalı Kıvırcık Paspas Iş Yeri Paspası Su Emici Kaymaz Paspas Kivircik Iş Yeri Paspas Apartman Ofis</t>
        </is>
      </c>
      <c r="B989" s="24" t="inlineStr">
        <is>
          <t>772451067</t>
        </is>
      </c>
      <c r="C989" s="25" t="inlineStr">
        <is>
          <t>KIVIRCIKRAMPALII-KR1-TURKUAZ-100x750</t>
        </is>
      </c>
      <c r="D989" s="26" t="inlineStr">
        <is>
          <t>KIVIRCIKRAMPALII-KR1-TURKUAZ-100x750</t>
        </is>
      </c>
      <c r="E989" s="27" t="inlineStr">
        <is>
          <t>100 x 750</t>
        </is>
      </c>
      <c r="F989" s="28" t="inlineStr">
        <is>
          <t>TYCSS3MAPN169778498328887</t>
        </is>
      </c>
      <c r="G989" s="29" t="inlineStr">
        <is>
          <t>Kapı Önü Paspası</t>
        </is>
      </c>
      <c r="H989" s="30" t="inlineStr">
        <is>
          <t>Paspas Yap</t>
        </is>
      </c>
      <c r="I989" s="31" t="n">
        <v>93.0</v>
      </c>
      <c r="J989" s="32" t="n">
        <v>14363.0</v>
      </c>
      <c r="K989" s="33" t="n">
        <v>13456.08</v>
      </c>
      <c r="L989" s="34" t="n">
        <v>22.0</v>
      </c>
      <c r="M989" s="35" t="n">
        <v>10096.93</v>
      </c>
      <c r="N989" s="36" t="inlineStr">
        <is>
          <t>25 Ağustos 08.00-1 Eylül 07.59</t>
        </is>
      </c>
      <c r="O989" s="37" t="n">
        <v>16.5</v>
      </c>
      <c r="P989" s="38" t="n">
        <v>13456.08</v>
      </c>
      <c r="Q989" s="39"/>
      <c r="R989" s="40" t="n">
        <f>=IF(AND(ISBLANK(Q989), ISBLANK(U989)), "", "7 Günlük Fiyat")</f>
        <v>0.0</v>
      </c>
      <c r="S989" s="41" t="n">
        <f>=IF(OR(Q989="", R989=""), "-", IF(ISNUMBER(SEARCH("7 Günlük", R989)), IF(Q989&lt;=M989, O989, "-"), "-"))</f>
        <v>0.0</v>
      </c>
      <c r="T989" s="42" t="str">
        <f>=IF(ISBLANK(Q989), "", "Hayır")</f>
      </c>
      <c r="U989" s="43"/>
      <c r="V989" s="44" t="inlineStr">
        <is>
          <t>50461ed1-c2c8-4393-967e-55d58a3e2664</t>
        </is>
      </c>
    </row>
    <row r="990">
      <c r="A990" s="23" t="inlineStr">
        <is>
          <t>Rampalı Kıvırcık Paspas Iş Yeri Paspası Su Emici Kaymaz Paspas Kivircik Iş Yeri Paspas Apartman Ofis</t>
        </is>
      </c>
      <c r="B990" s="24" t="inlineStr">
        <is>
          <t>772451067</t>
        </is>
      </c>
      <c r="C990" s="25" t="inlineStr">
        <is>
          <t>KIVIRCIKRAMPALII-KR1-TURKUAZ-100x650</t>
        </is>
      </c>
      <c r="D990" s="26" t="inlineStr">
        <is>
          <t>KIVIRCIKRAMPALII-KR1-TURKUAZ-100x650</t>
        </is>
      </c>
      <c r="E990" s="27" t="inlineStr">
        <is>
          <t>100 x 650</t>
        </is>
      </c>
      <c r="F990" s="28" t="inlineStr">
        <is>
          <t>TYCSS3MAPN169778498328887</t>
        </is>
      </c>
      <c r="G990" s="29" t="inlineStr">
        <is>
          <t>Kapı Önü Paspası</t>
        </is>
      </c>
      <c r="H990" s="30" t="inlineStr">
        <is>
          <t>Paspas Yap</t>
        </is>
      </c>
      <c r="I990" s="31" t="n">
        <v>93.0</v>
      </c>
      <c r="J990" s="32" t="n">
        <v>12753.0</v>
      </c>
      <c r="K990" s="33" t="n">
        <v>11719.5</v>
      </c>
      <c r="L990" s="34" t="n">
        <v>22.0</v>
      </c>
      <c r="M990" s="35" t="n">
        <v>8967.52</v>
      </c>
      <c r="N990" s="36" t="inlineStr">
        <is>
          <t>25 Ağustos 08.00-1 Eylül 07.59</t>
        </is>
      </c>
      <c r="O990" s="37" t="n">
        <v>16.7</v>
      </c>
      <c r="P990" s="38" t="n">
        <v>11719.5</v>
      </c>
      <c r="Q990" s="39"/>
      <c r="R990" s="40" t="n">
        <f>=IF(AND(ISBLANK(Q990), ISBLANK(U990)), "", "7 Günlük Fiyat")</f>
        <v>0.0</v>
      </c>
      <c r="S990" s="41" t="n">
        <f>=IF(OR(Q990="", R990=""), "-", IF(ISNUMBER(SEARCH("7 Günlük", R990)), IF(Q990&lt;=M990, O990, "-"), "-"))</f>
        <v>0.0</v>
      </c>
      <c r="T990" s="42" t="str">
        <f>=IF(ISBLANK(Q990), "", "Hayır")</f>
      </c>
      <c r="U990" s="43"/>
      <c r="V990" s="44" t="inlineStr">
        <is>
          <t>50461ed1-c2c8-4393-967e-55d58a3e2664</t>
        </is>
      </c>
    </row>
    <row r="991">
      <c r="A991" s="23" t="inlineStr">
        <is>
          <t>Rampalı Kıvırcık Paspas Iş Yeri Paspası Su Emici Kaymaz Paspas Kivircik Iş Yeri Paspas Apartman Ofis</t>
        </is>
      </c>
      <c r="B991" s="24" t="inlineStr">
        <is>
          <t>772451067</t>
        </is>
      </c>
      <c r="C991" s="25" t="inlineStr">
        <is>
          <t>KIVIRCIKRAMPALII-KR1-TURKUAZ-80x850</t>
        </is>
      </c>
      <c r="D991" s="26" t="inlineStr">
        <is>
          <t>KIVIRCIKRAMPALII-KR1-TURKUAZ-80x850</t>
        </is>
      </c>
      <c r="E991" s="27" t="inlineStr">
        <is>
          <t>80 x 850</t>
        </is>
      </c>
      <c r="F991" s="28" t="inlineStr">
        <is>
          <t>TYCSS3MAPN169778498328887</t>
        </is>
      </c>
      <c r="G991" s="29" t="inlineStr">
        <is>
          <t>Kapı Önü Paspası</t>
        </is>
      </c>
      <c r="H991" s="30" t="inlineStr">
        <is>
          <t>Paspas Yap</t>
        </is>
      </c>
      <c r="I991" s="31" t="n">
        <v>93.0</v>
      </c>
      <c r="J991" s="32" t="n">
        <v>13147.0</v>
      </c>
      <c r="K991" s="33" t="n">
        <v>12332.31</v>
      </c>
      <c r="L991" s="34" t="n">
        <v>22.0</v>
      </c>
      <c r="M991" s="35" t="n">
        <v>9277.77</v>
      </c>
      <c r="N991" s="36" t="inlineStr">
        <is>
          <t>25 Ağustos 08.00-1 Eylül 07.59</t>
        </is>
      </c>
      <c r="O991" s="37" t="n">
        <v>16.6</v>
      </c>
      <c r="P991" s="38" t="n">
        <v>12332.31</v>
      </c>
      <c r="Q991" s="39"/>
      <c r="R991" s="40" t="n">
        <f>=IF(AND(ISBLANK(Q991), ISBLANK(U991)), "", "7 Günlük Fiyat")</f>
        <v>0.0</v>
      </c>
      <c r="S991" s="41" t="n">
        <f>=IF(OR(Q991="", R991=""), "-", IF(ISNUMBER(SEARCH("7 Günlük", R991)), IF(Q991&lt;=M991, O991, "-"), "-"))</f>
        <v>0.0</v>
      </c>
      <c r="T991" s="42" t="str">
        <f>=IF(ISBLANK(Q991), "", "Hayır")</f>
      </c>
      <c r="U991" s="43"/>
      <c r="V991" s="44" t="inlineStr">
        <is>
          <t>50461ed1-c2c8-4393-967e-55d58a3e2664</t>
        </is>
      </c>
    </row>
    <row r="992">
      <c r="A992" s="23" t="inlineStr">
        <is>
          <t>Rampalı Kıvırcık Paspas Iş Yeri Paspası Su Emici Kaymaz Paspas Kivircik Iş Yeri Paspas Apartman Ofis</t>
        </is>
      </c>
      <c r="B992" s="24" t="inlineStr">
        <is>
          <t>772451067</t>
        </is>
      </c>
      <c r="C992" s="25" t="inlineStr">
        <is>
          <t>KIVIRCIKRAMPALII-KR1-TURKUAZ-120x1300</t>
        </is>
      </c>
      <c r="D992" s="26" t="inlineStr">
        <is>
          <t>KIVIRCIKRAMPALII-KR1-TURKUAZ-120x1300</t>
        </is>
      </c>
      <c r="E992" s="27" t="inlineStr">
        <is>
          <t>120 x 1300</t>
        </is>
      </c>
      <c r="F992" s="28" t="inlineStr">
        <is>
          <t>TYCSS3MAPN169778498328887</t>
        </is>
      </c>
      <c r="G992" s="29" t="inlineStr">
        <is>
          <t>Kapı Önü Paspası</t>
        </is>
      </c>
      <c r="H992" s="30" t="inlineStr">
        <is>
          <t>Paspas Yap</t>
        </is>
      </c>
      <c r="I992" s="31" t="n">
        <v>93.0</v>
      </c>
      <c r="J992" s="32" t="n">
        <v>30650.0</v>
      </c>
      <c r="K992" s="33" t="n">
        <v>28082.36</v>
      </c>
      <c r="L992" s="34" t="n">
        <v>22.0</v>
      </c>
      <c r="M992" s="35" t="n">
        <v>19621.36</v>
      </c>
      <c r="N992" s="36" t="inlineStr">
        <is>
          <t>25 Ağustos 08.00-1 Eylül 07.59</t>
        </is>
      </c>
      <c r="O992" s="37" t="n">
        <v>15.0</v>
      </c>
      <c r="P992" s="38" t="n">
        <v>28082.36</v>
      </c>
      <c r="Q992" s="39"/>
      <c r="R992" s="40" t="n">
        <f>=IF(AND(ISBLANK(Q992), ISBLANK(U992)), "", "7 Günlük Fiyat")</f>
        <v>0.0</v>
      </c>
      <c r="S992" s="41" t="n">
        <f>=IF(OR(Q992="", R992=""), "-", IF(ISNUMBER(SEARCH("7 Günlük", R992)), IF(Q992&lt;=M992, O992, "-"), "-"))</f>
        <v>0.0</v>
      </c>
      <c r="T992" s="42" t="str">
        <f>=IF(ISBLANK(Q992), "", "Hayır")</f>
      </c>
      <c r="U992" s="43"/>
      <c r="V992" s="44" t="inlineStr">
        <is>
          <t>50461ed1-c2c8-4393-967e-55d58a3e2664</t>
        </is>
      </c>
    </row>
    <row r="993">
      <c r="A993" s="23" t="inlineStr">
        <is>
          <t>Rampalı Kıvırcık Paspas Iş Yeri Paspası Su Emici Kaymaz Paspas Kivircik Iş Yeri Paspas Apartman Ofis</t>
        </is>
      </c>
      <c r="B993" s="24" t="inlineStr">
        <is>
          <t>772451067</t>
        </is>
      </c>
      <c r="C993" s="25" t="inlineStr">
        <is>
          <t>KIVIRCIKRAMPALII-KR1-TURKUAZ-80x1000</t>
        </is>
      </c>
      <c r="D993" s="26" t="inlineStr">
        <is>
          <t>KIVIRCIKRAMPALII-KR1-TURKUAZ-80x1000</t>
        </is>
      </c>
      <c r="E993" s="27" t="inlineStr">
        <is>
          <t>80 x 1000</t>
        </is>
      </c>
      <c r="F993" s="28" t="inlineStr">
        <is>
          <t>TYCSS3MAPN169778498328887</t>
        </is>
      </c>
      <c r="G993" s="29" t="inlineStr">
        <is>
          <t>Kapı Önü Paspası</t>
        </is>
      </c>
      <c r="H993" s="30" t="inlineStr">
        <is>
          <t>Paspas Yap</t>
        </is>
      </c>
      <c r="I993" s="31" t="n">
        <v>93.0</v>
      </c>
      <c r="J993" s="32" t="n">
        <v>15030.0</v>
      </c>
      <c r="K993" s="33" t="n">
        <v>14096.25</v>
      </c>
      <c r="L993" s="34" t="n">
        <v>22.0</v>
      </c>
      <c r="M993" s="35" t="n">
        <v>10775.35</v>
      </c>
      <c r="N993" s="36" t="inlineStr">
        <is>
          <t>25 Ağustos 08.00-1 Eylül 07.59</t>
        </is>
      </c>
      <c r="O993" s="37" t="n">
        <v>17.0</v>
      </c>
      <c r="P993" s="38" t="n">
        <v>14096.25</v>
      </c>
      <c r="Q993" s="39"/>
      <c r="R993" s="40" t="n">
        <f>=IF(AND(ISBLANK(Q993), ISBLANK(U993)), "", "7 Günlük Fiyat")</f>
        <v>0.0</v>
      </c>
      <c r="S993" s="41" t="n">
        <f>=IF(OR(Q993="", R993=""), "-", IF(ISNUMBER(SEARCH("7 Günlük", R993)), IF(Q993&lt;=M993, O993, "-"), "-"))</f>
        <v>0.0</v>
      </c>
      <c r="T993" s="42" t="str">
        <f>=IF(ISBLANK(Q993), "", "Hayır")</f>
      </c>
      <c r="U993" s="43"/>
      <c r="V993" s="44" t="inlineStr">
        <is>
          <t>50461ed1-c2c8-4393-967e-55d58a3e2664</t>
        </is>
      </c>
    </row>
    <row r="994">
      <c r="A994" s="23" t="inlineStr">
        <is>
          <t>Rampalı Kıvırcık Paspas Iş Yeri Paspası Su Emici Kaymaz Paspas Kivircik Iş Yeri Paspas Apartman Ofis</t>
        </is>
      </c>
      <c r="B994" s="24" t="inlineStr">
        <is>
          <t>772451067</t>
        </is>
      </c>
      <c r="C994" s="25" t="inlineStr">
        <is>
          <t>KIVIRCIKRAMPALII-KR1-TURKUAZ-100x1350</t>
        </is>
      </c>
      <c r="D994" s="26" t="inlineStr">
        <is>
          <t>KIVIRCIKRAMPALII-KR1-TURKUAZ-100x1350</t>
        </is>
      </c>
      <c r="E994" s="27" t="inlineStr">
        <is>
          <t>100 x 1350</t>
        </is>
      </c>
      <c r="F994" s="28" t="inlineStr">
        <is>
          <t>TYCSS3MAPN169778498328887</t>
        </is>
      </c>
      <c r="G994" s="29" t="inlineStr">
        <is>
          <t>Kapı Önü Paspası</t>
        </is>
      </c>
      <c r="H994" s="30" t="inlineStr">
        <is>
          <t>Paspas Yap</t>
        </is>
      </c>
      <c r="I994" s="31" t="n">
        <v>93.0</v>
      </c>
      <c r="J994" s="32" t="n">
        <v>27610.0</v>
      </c>
      <c r="K994" s="33" t="n">
        <v>25590.93</v>
      </c>
      <c r="L994" s="34" t="n">
        <v>22.0</v>
      </c>
      <c r="M994" s="35" t="n">
        <v>18907.94</v>
      </c>
      <c r="N994" s="36" t="inlineStr">
        <is>
          <t>25 Ağustos 08.00-1 Eylül 07.59</t>
        </is>
      </c>
      <c r="O994" s="37" t="n">
        <v>16.0</v>
      </c>
      <c r="P994" s="38" t="n">
        <v>25590.93</v>
      </c>
      <c r="Q994" s="39"/>
      <c r="R994" s="40" t="n">
        <f>=IF(AND(ISBLANK(Q994), ISBLANK(U994)), "", "7 Günlük Fiyat")</f>
        <v>0.0</v>
      </c>
      <c r="S994" s="41" t="n">
        <f>=IF(OR(Q994="", R994=""), "-", IF(ISNUMBER(SEARCH("7 Günlük", R994)), IF(Q994&lt;=M994, O994, "-"), "-"))</f>
        <v>0.0</v>
      </c>
      <c r="T994" s="42" t="str">
        <f>=IF(ISBLANK(Q994), "", "Hayır")</f>
      </c>
      <c r="U994" s="43"/>
      <c r="V994" s="44" t="inlineStr">
        <is>
          <t>50461ed1-c2c8-4393-967e-55d58a3e2664</t>
        </is>
      </c>
    </row>
    <row r="995">
      <c r="A995" s="23" t="inlineStr">
        <is>
          <t>Rampalı Kıvırcık Paspas Iş Yeri Paspası Su Emici Kaymaz Paspas Kivircik Iş Yeri Paspas Apartman Ofis</t>
        </is>
      </c>
      <c r="B995" s="24" t="inlineStr">
        <is>
          <t>772451067</t>
        </is>
      </c>
      <c r="C995" s="25" t="inlineStr">
        <is>
          <t>KIVIRCIKRAMPALII-KR1-TURKUAZ-80x250</t>
        </is>
      </c>
      <c r="D995" s="26" t="inlineStr">
        <is>
          <t>KIVIRCIKRAMPALII-KR1-TURKUAZ-80x250</t>
        </is>
      </c>
      <c r="E995" s="27" t="inlineStr">
        <is>
          <t>80 x 250</t>
        </is>
      </c>
      <c r="F995" s="28" t="inlineStr">
        <is>
          <t>TYCSS3MAPN169778498328887</t>
        </is>
      </c>
      <c r="G995" s="29" t="inlineStr">
        <is>
          <t>Kapı Önü Paspası</t>
        </is>
      </c>
      <c r="H995" s="30" t="inlineStr">
        <is>
          <t>Paspas Yap</t>
        </is>
      </c>
      <c r="I995" s="31" t="n">
        <v>93.0</v>
      </c>
      <c r="J995" s="32" t="n">
        <v>3830.0</v>
      </c>
      <c r="K995" s="33" t="n">
        <v>3494.57</v>
      </c>
      <c r="L995" s="34" t="n">
        <v>22.0</v>
      </c>
      <c r="M995" s="35" t="n">
        <v>2796.15</v>
      </c>
      <c r="N995" s="36" t="inlineStr">
        <is>
          <t>25 Ağustos 08.00-1 Eylül 07.59</t>
        </is>
      </c>
      <c r="O995" s="37" t="n">
        <v>17.4</v>
      </c>
      <c r="P995" s="38" t="n">
        <v>3494.57</v>
      </c>
      <c r="Q995" s="39"/>
      <c r="R995" s="40" t="n">
        <f>=IF(AND(ISBLANK(Q995), ISBLANK(U995)), "", "7 Günlük Fiyat")</f>
        <v>0.0</v>
      </c>
      <c r="S995" s="41" t="n">
        <f>=IF(OR(Q995="", R995=""), "-", IF(ISNUMBER(SEARCH("7 Günlük", R995)), IF(Q995&lt;=M995, O995, "-"), "-"))</f>
        <v>0.0</v>
      </c>
      <c r="T995" s="42" t="str">
        <f>=IF(ISBLANK(Q995), "", "Hayır")</f>
      </c>
      <c r="U995" s="43"/>
      <c r="V995" s="44" t="inlineStr">
        <is>
          <t>50461ed1-c2c8-4393-967e-55d58a3e2664</t>
        </is>
      </c>
    </row>
    <row r="996">
      <c r="A996" s="23" t="inlineStr">
        <is>
          <t>Rampalı Kıvırcık Paspas Iş Yeri Paspası Su Emici Kaymaz Paspas Kivircik Iş Yeri Paspas Apartman Ofis</t>
        </is>
      </c>
      <c r="B996" s="24" t="inlineStr">
        <is>
          <t>772451067</t>
        </is>
      </c>
      <c r="C996" s="25" t="inlineStr">
        <is>
          <t>KIVIRCIKRAMPALII-KR1-TURKUAZ-120x900</t>
        </is>
      </c>
      <c r="D996" s="26" t="inlineStr">
        <is>
          <t>KIVIRCIKRAMPALII-KR1-TURKUAZ-120x900</t>
        </is>
      </c>
      <c r="E996" s="27" t="inlineStr">
        <is>
          <t>120 x 900</t>
        </is>
      </c>
      <c r="F996" s="28" t="inlineStr">
        <is>
          <t>TYCSS3MAPN169778498328887</t>
        </is>
      </c>
      <c r="G996" s="29" t="inlineStr">
        <is>
          <t>Kapı Önü Paspası</t>
        </is>
      </c>
      <c r="H996" s="30" t="inlineStr">
        <is>
          <t>Paspas Yap</t>
        </is>
      </c>
      <c r="I996" s="31" t="n">
        <v>93.0</v>
      </c>
      <c r="J996" s="32" t="n">
        <v>23547.0</v>
      </c>
      <c r="K996" s="33" t="n">
        <v>21831.6</v>
      </c>
      <c r="L996" s="34" t="n">
        <v>22.0</v>
      </c>
      <c r="M996" s="35" t="n">
        <v>16135.42</v>
      </c>
      <c r="N996" s="36" t="inlineStr">
        <is>
          <t>25 Ağustos 08.00-1 Eylül 07.59</t>
        </is>
      </c>
      <c r="O996" s="37" t="n">
        <v>16.0</v>
      </c>
      <c r="P996" s="38" t="n">
        <v>21831.6</v>
      </c>
      <c r="Q996" s="39"/>
      <c r="R996" s="40" t="n">
        <f>=IF(AND(ISBLANK(Q996), ISBLANK(U996)), "", "7 Günlük Fiyat")</f>
        <v>0.0</v>
      </c>
      <c r="S996" s="41" t="n">
        <f>=IF(OR(Q996="", R996=""), "-", IF(ISNUMBER(SEARCH("7 Günlük", R996)), IF(Q996&lt;=M996, O996, "-"), "-"))</f>
        <v>0.0</v>
      </c>
      <c r="T996" s="42" t="str">
        <f>=IF(ISBLANK(Q996), "", "Hayır")</f>
      </c>
      <c r="U996" s="43"/>
      <c r="V996" s="44" t="inlineStr">
        <is>
          <t>50461ed1-c2c8-4393-967e-55d58a3e2664</t>
        </is>
      </c>
    </row>
    <row r="997">
      <c r="A997" s="23" t="inlineStr">
        <is>
          <t>Rampalı Kıvırcık Paspas Iş Yeri Paspası Su Emici Kaymaz Paspas Kivircik Iş Yeri Paspas Apartman Ofis</t>
        </is>
      </c>
      <c r="B997" s="24" t="inlineStr">
        <is>
          <t>772451067</t>
        </is>
      </c>
      <c r="C997" s="25" t="inlineStr">
        <is>
          <t>KIVIRCIKRAMPALI-KR1-TURKUAZ-100x900</t>
        </is>
      </c>
      <c r="D997" s="26" t="inlineStr">
        <is>
          <t>KIVIRCIKRAMPALI-KR1-TURKUAZ-100x900</t>
        </is>
      </c>
      <c r="E997" s="27" t="inlineStr">
        <is>
          <t>100 x 900</t>
        </is>
      </c>
      <c r="F997" s="28" t="inlineStr">
        <is>
          <t>TYCSS3MAPN169778498328887</t>
        </is>
      </c>
      <c r="G997" s="29" t="inlineStr">
        <is>
          <t>Kapı Önü Paspası</t>
        </is>
      </c>
      <c r="H997" s="30" t="inlineStr">
        <is>
          <t>Paspas Yap</t>
        </is>
      </c>
      <c r="I997" s="31" t="n">
        <v>93.0</v>
      </c>
      <c r="J997" s="32" t="n">
        <v>16749.0</v>
      </c>
      <c r="K997" s="33" t="n">
        <v>15660.72</v>
      </c>
      <c r="L997" s="34" t="n">
        <v>22.0</v>
      </c>
      <c r="M997" s="35" t="n">
        <v>12113.12</v>
      </c>
      <c r="N997" s="36" t="inlineStr">
        <is>
          <t>25 Ağustos 08.00-1 Eylül 07.59</t>
        </is>
      </c>
      <c r="O997" s="37" t="n">
        <v>17.0</v>
      </c>
      <c r="P997" s="38" t="n">
        <v>15660.72</v>
      </c>
      <c r="Q997" s="39"/>
      <c r="R997" s="40" t="n">
        <f>=IF(AND(ISBLANK(Q997), ISBLANK(U997)), "", "7 Günlük Fiyat")</f>
        <v>0.0</v>
      </c>
      <c r="S997" s="41" t="n">
        <f>=IF(OR(Q997="", R997=""), "-", IF(ISNUMBER(SEARCH("7 Günlük", R997)), IF(Q997&lt;=M997, O997, "-"), "-"))</f>
        <v>0.0</v>
      </c>
      <c r="T997" s="42" t="str">
        <f>=IF(ISBLANK(Q997), "", "Hayır")</f>
      </c>
      <c r="U997" s="43"/>
      <c r="V997" s="44" t="inlineStr">
        <is>
          <t>50461ed1-c2c8-4393-967e-55d58a3e2664</t>
        </is>
      </c>
    </row>
    <row r="998">
      <c r="A998" s="23" t="inlineStr">
        <is>
          <t>Rampalı Kıvırcık Paspas Iş Yeri Paspası Su Emici Kaymaz Paspas Kivircik Iş Yeri Paspas Apartman Ofis</t>
        </is>
      </c>
      <c r="B998" s="24" t="inlineStr">
        <is>
          <t>772451067</t>
        </is>
      </c>
      <c r="C998" s="25" t="inlineStr">
        <is>
          <t>KIVIRCIKRAMPALI-KR1-TURKUAZ-100x200</t>
        </is>
      </c>
      <c r="D998" s="26" t="inlineStr">
        <is>
          <t>KIVIRCIKRAMPALI-KR1-TURKUAZ-100x200</t>
        </is>
      </c>
      <c r="E998" s="27" t="inlineStr">
        <is>
          <t>100 x 200</t>
        </is>
      </c>
      <c r="F998" s="28" t="inlineStr">
        <is>
          <t>TYCSS3MAPN169778498328887</t>
        </is>
      </c>
      <c r="G998" s="29" t="inlineStr">
        <is>
          <t>Kapı Önü Paspası</t>
        </is>
      </c>
      <c r="H998" s="30" t="inlineStr">
        <is>
          <t>Paspas Yap</t>
        </is>
      </c>
      <c r="I998" s="31" t="n">
        <v>93.0</v>
      </c>
      <c r="J998" s="32" t="n">
        <v>3830.0</v>
      </c>
      <c r="K998" s="33" t="n">
        <v>3537.88</v>
      </c>
      <c r="L998" s="34" t="n">
        <v>22.0</v>
      </c>
      <c r="M998" s="35" t="n">
        <v>2727.03</v>
      </c>
      <c r="N998" s="36" t="inlineStr">
        <is>
          <t>25 Ağustos 08.00-1 Eylül 07.59</t>
        </is>
      </c>
      <c r="O998" s="37" t="n">
        <v>16.9</v>
      </c>
      <c r="P998" s="38" t="n">
        <v>3537.88</v>
      </c>
      <c r="Q998" s="39"/>
      <c r="R998" s="40" t="n">
        <f>=IF(AND(ISBLANK(Q998), ISBLANK(U998)), "", "7 Günlük Fiyat")</f>
        <v>0.0</v>
      </c>
      <c r="S998" s="41" t="n">
        <f>=IF(OR(Q998="", R998=""), "-", IF(ISNUMBER(SEARCH("7 Günlük", R998)), IF(Q998&lt;=M998, O998, "-"), "-"))</f>
        <v>0.0</v>
      </c>
      <c r="T998" s="42" t="str">
        <f>=IF(ISBLANK(Q998), "", "Hayır")</f>
      </c>
      <c r="U998" s="43"/>
      <c r="V998" s="44" t="inlineStr">
        <is>
          <t>50461ed1-c2c8-4393-967e-55d58a3e2664</t>
        </is>
      </c>
    </row>
    <row r="999">
      <c r="A999" s="23" t="inlineStr">
        <is>
          <t>Rampalı Kıvırcık Paspas Iş Yeri Paspası Su Emici Kaymaz Paspas Kivircik Iş Yeri Paspas Apartman Ofis</t>
        </is>
      </c>
      <c r="B999" s="24" t="inlineStr">
        <is>
          <t>772451067</t>
        </is>
      </c>
      <c r="C999" s="25" t="inlineStr">
        <is>
          <t>KIVIRCIKRAMPALII-KR1-TURKUAZ-120x650</t>
        </is>
      </c>
      <c r="D999" s="26" t="inlineStr">
        <is>
          <t>KIVIRCIKRAMPALII-KR1-TURKUAZ-120x650</t>
        </is>
      </c>
      <c r="E999" s="27" t="inlineStr">
        <is>
          <t>120 x 650</t>
        </is>
      </c>
      <c r="F999" s="28" t="inlineStr">
        <is>
          <t>TYCSS3MAPN169778498328887</t>
        </is>
      </c>
      <c r="G999" s="29" t="inlineStr">
        <is>
          <t>Kapı Önü Paspası</t>
        </is>
      </c>
      <c r="H999" s="30" t="inlineStr">
        <is>
          <t>Paspas Yap</t>
        </is>
      </c>
      <c r="I999" s="31" t="n">
        <v>93.0</v>
      </c>
      <c r="J999" s="32" t="n">
        <v>14974.0</v>
      </c>
      <c r="K999" s="33" t="n">
        <v>14067.56</v>
      </c>
      <c r="L999" s="34" t="n">
        <v>22.0</v>
      </c>
      <c r="M999" s="35" t="n">
        <v>11459.01</v>
      </c>
      <c r="N999" s="36" t="inlineStr">
        <is>
          <t>25 Ağustos 08.00-1 Eylül 07.59</t>
        </is>
      </c>
      <c r="O999" s="37" t="n">
        <v>18.0</v>
      </c>
      <c r="P999" s="38" t="n">
        <v>14067.56</v>
      </c>
      <c r="Q999" s="39"/>
      <c r="R999" s="40" t="n">
        <f>=IF(AND(ISBLANK(Q999), ISBLANK(U999)), "", "7 Günlük Fiyat")</f>
        <v>0.0</v>
      </c>
      <c r="S999" s="41" t="n">
        <f>=IF(OR(Q999="", R999=""), "-", IF(ISNUMBER(SEARCH("7 Günlük", R999)), IF(Q999&lt;=M999, O999, "-"), "-"))</f>
        <v>0.0</v>
      </c>
      <c r="T999" s="42" t="str">
        <f>=IF(ISBLANK(Q999), "", "Hayır")</f>
      </c>
      <c r="U999" s="43"/>
      <c r="V999" s="44" t="inlineStr">
        <is>
          <t>50461ed1-c2c8-4393-967e-55d58a3e2664</t>
        </is>
      </c>
    </row>
    <row r="1000">
      <c r="A1000" s="23" t="inlineStr">
        <is>
          <t>Rampalı Kıvırcık Paspas Iş Yeri Paspası Su Emici Kaymaz Paspas Kivircik Iş Yeri Paspas Apartman Ofis</t>
        </is>
      </c>
      <c r="B1000" s="24" t="inlineStr">
        <is>
          <t>772451067</t>
        </is>
      </c>
      <c r="C1000" s="25" t="inlineStr">
        <is>
          <t>KIVIRCIKRAMPALII-KR1-TURKUAZ-100x1300</t>
        </is>
      </c>
      <c r="D1000" s="26" t="inlineStr">
        <is>
          <t>KIVIRCIKRAMPALII-KR1-TURKUAZ-100x1300</t>
        </is>
      </c>
      <c r="E1000" s="27" t="inlineStr">
        <is>
          <t>100 x 1300</t>
        </is>
      </c>
      <c r="F1000" s="28" t="inlineStr">
        <is>
          <t>TYCSS3MAPN169778498328887</t>
        </is>
      </c>
      <c r="G1000" s="29" t="inlineStr">
        <is>
          <t>Kapı Önü Paspası</t>
        </is>
      </c>
      <c r="H1000" s="30" t="inlineStr">
        <is>
          <t>Paspas Yap</t>
        </is>
      </c>
      <c r="I1000" s="31" t="n">
        <v>93.0</v>
      </c>
      <c r="J1000" s="32" t="n">
        <v>26805.0</v>
      </c>
      <c r="K1000" s="33" t="n">
        <v>24851.62</v>
      </c>
      <c r="L1000" s="34" t="n">
        <v>22.0</v>
      </c>
      <c r="M1000" s="35" t="n">
        <v>18304.14</v>
      </c>
      <c r="N1000" s="36" t="inlineStr">
        <is>
          <t>25 Ağustos 08.00-1 Eylül 07.59</t>
        </is>
      </c>
      <c r="O1000" s="37" t="n">
        <v>15.9</v>
      </c>
      <c r="P1000" s="38" t="n">
        <v>24851.62</v>
      </c>
      <c r="Q1000" s="39"/>
      <c r="R1000" s="40" t="n">
        <f>=IF(AND(ISBLANK(Q1000), ISBLANK(U1000)), "", "7 Günlük Fiyat")</f>
        <v>0.0</v>
      </c>
      <c r="S1000" s="41" t="n">
        <f>=IF(OR(Q1000="", R1000=""), "-", IF(ISNUMBER(SEARCH("7 Günlük", R1000)), IF(Q1000&lt;=M1000, O1000, "-"), "-"))</f>
        <v>0.0</v>
      </c>
      <c r="T1000" s="42" t="str">
        <f>=IF(ISBLANK(Q1000), "", "Hayır")</f>
      </c>
      <c r="U1000" s="43"/>
      <c r="V1000" s="44" t="inlineStr">
        <is>
          <t>50461ed1-c2c8-4393-967e-55d58a3e2664</t>
        </is>
      </c>
    </row>
    <row r="1001">
      <c r="A1001" s="23" t="inlineStr">
        <is>
          <t>Rampalı Kıvırcık Paspas Iş Yeri Paspası Su Emici Kaymaz Paspas Kivircik Iş Yeri Paspas Apartman Ofis</t>
        </is>
      </c>
      <c r="B1001" s="24" t="inlineStr">
        <is>
          <t>772451067</t>
        </is>
      </c>
      <c r="C1001" s="25" t="inlineStr">
        <is>
          <t>KIVIRCIKRAMPALII-KR1-TURKUAZ-120x150</t>
        </is>
      </c>
      <c r="D1001" s="26" t="inlineStr">
        <is>
          <t>KIVIRCIKRAMPALII-KR1-TURKUAZ-120x150</t>
        </is>
      </c>
      <c r="E1001" s="27" t="inlineStr">
        <is>
          <t>120 x 150</t>
        </is>
      </c>
      <c r="F1001" s="28" t="inlineStr">
        <is>
          <t>TYCSS3MAPN169778498328887</t>
        </is>
      </c>
      <c r="G1001" s="29" t="inlineStr">
        <is>
          <t>Kapı Önü Paspası</t>
        </is>
      </c>
      <c r="H1001" s="30" t="inlineStr">
        <is>
          <t>Paspas Yap</t>
        </is>
      </c>
      <c r="I1001" s="31" t="n">
        <v>93.0</v>
      </c>
      <c r="J1001" s="32" t="n">
        <v>3525.0</v>
      </c>
      <c r="K1001" s="33" t="n">
        <v>3232.01</v>
      </c>
      <c r="L1001" s="34" t="n">
        <v>22.0</v>
      </c>
      <c r="M1001" s="35" t="n">
        <v>2480.61</v>
      </c>
      <c r="N1001" s="36" t="inlineStr">
        <is>
          <t>25 Ağustos 08.00-1 Eylül 07.59</t>
        </is>
      </c>
      <c r="O1001" s="37" t="n">
        <v>16.7</v>
      </c>
      <c r="P1001" s="38" t="n">
        <v>3232.01</v>
      </c>
      <c r="Q1001" s="39"/>
      <c r="R1001" s="40" t="n">
        <f>=IF(AND(ISBLANK(Q1001), ISBLANK(U1001)), "", "7 Günlük Fiyat")</f>
        <v>0.0</v>
      </c>
      <c r="S1001" s="41" t="n">
        <f>=IF(OR(Q1001="", R1001=""), "-", IF(ISNUMBER(SEARCH("7 Günlük", R1001)), IF(Q1001&lt;=M1001, O1001, "-"), "-"))</f>
        <v>0.0</v>
      </c>
      <c r="T1001" s="42" t="str">
        <f>=IF(ISBLANK(Q1001), "", "Hayır")</f>
      </c>
      <c r="U1001" s="43"/>
      <c r="V1001" s="44" t="inlineStr">
        <is>
          <t>50461ed1-c2c8-4393-967e-55d58a3e2664</t>
        </is>
      </c>
    </row>
    <row r="1002">
      <c r="A1002" s="23" t="inlineStr">
        <is>
          <t>Rampalı Kıvırcık Paspas Iş Yeri Paspası Su Emici Kaymaz Paspas Kivircik Iş Yeri Paspas Apartman Ofis</t>
        </is>
      </c>
      <c r="B1002" s="24" t="inlineStr">
        <is>
          <t>772451067</t>
        </is>
      </c>
      <c r="C1002" s="25" t="inlineStr">
        <is>
          <t>KIVIRCIKRAMPALII-KR1-TURKUAZ-120x750</t>
        </is>
      </c>
      <c r="D1002" s="26" t="inlineStr">
        <is>
          <t>KIVIRCIKRAMPALII-KR1-TURKUAZ-120x750</t>
        </is>
      </c>
      <c r="E1002" s="27" t="inlineStr">
        <is>
          <t>120 x 750</t>
        </is>
      </c>
      <c r="F1002" s="28" t="inlineStr">
        <is>
          <t>TYCSS3MAPN169778498328887</t>
        </is>
      </c>
      <c r="G1002" s="29" t="inlineStr">
        <is>
          <t>Kapı Önü Paspası</t>
        </is>
      </c>
      <c r="H1002" s="30" t="inlineStr">
        <is>
          <t>Paspas Yap</t>
        </is>
      </c>
      <c r="I1002" s="31" t="n">
        <v>93.0</v>
      </c>
      <c r="J1002" s="32" t="n">
        <v>16749.0</v>
      </c>
      <c r="K1002" s="33" t="n">
        <v>15684.52</v>
      </c>
      <c r="L1002" s="34" t="n">
        <v>22.0</v>
      </c>
      <c r="M1002" s="35" t="n">
        <v>11646.76</v>
      </c>
      <c r="N1002" s="36" t="inlineStr">
        <is>
          <t>25 Ağustos 08.00-1 Eylül 07.59</t>
        </is>
      </c>
      <c r="O1002" s="37" t="n">
        <v>16.3</v>
      </c>
      <c r="P1002" s="38" t="n">
        <v>15684.52</v>
      </c>
      <c r="Q1002" s="39"/>
      <c r="R1002" s="40" t="n">
        <f>=IF(AND(ISBLANK(Q1002), ISBLANK(U1002)), "", "7 Günlük Fiyat")</f>
        <v>0.0</v>
      </c>
      <c r="S1002" s="41" t="n">
        <f>=IF(OR(Q1002="", R1002=""), "-", IF(ISNUMBER(SEARCH("7 Günlük", R1002)), IF(Q1002&lt;=M1002, O1002, "-"), "-"))</f>
        <v>0.0</v>
      </c>
      <c r="T1002" s="42" t="str">
        <f>=IF(ISBLANK(Q1002), "", "Hayır")</f>
      </c>
      <c r="U1002" s="43"/>
      <c r="V1002" s="44" t="inlineStr">
        <is>
          <t>50461ed1-c2c8-4393-967e-55d58a3e2664</t>
        </is>
      </c>
    </row>
    <row r="1003">
      <c r="A1003" s="23" t="inlineStr">
        <is>
          <t>Rampalı Kıvırcık Paspas Iş Yeri Paspası Su Emici Kaymaz Paspas Kivircik Iş Yeri Paspas Apartman Ofis</t>
        </is>
      </c>
      <c r="B1003" s="24" t="inlineStr">
        <is>
          <t>772451067</t>
        </is>
      </c>
      <c r="C1003" s="25" t="inlineStr">
        <is>
          <t>KIVIRCIKRAMPALII-KR1-TURKUAZ-80x950</t>
        </is>
      </c>
      <c r="D1003" s="26" t="inlineStr">
        <is>
          <t>KIVIRCIKRAMPALII-KR1-TURKUAZ-80x950</t>
        </is>
      </c>
      <c r="E1003" s="27" t="inlineStr">
        <is>
          <t>80 x 950</t>
        </is>
      </c>
      <c r="F1003" s="28" t="inlineStr">
        <is>
          <t>TYCSS3MAPN169778498328887</t>
        </is>
      </c>
      <c r="G1003" s="29" t="inlineStr">
        <is>
          <t>Kapı Önü Paspası</t>
        </is>
      </c>
      <c r="H1003" s="30" t="inlineStr">
        <is>
          <t>Paspas Yap</t>
        </is>
      </c>
      <c r="I1003" s="31" t="n">
        <v>93.0</v>
      </c>
      <c r="J1003" s="32" t="n">
        <v>14453.0</v>
      </c>
      <c r="K1003" s="33" t="n">
        <v>13578.47</v>
      </c>
      <c r="L1003" s="34" t="n">
        <v>22.0</v>
      </c>
      <c r="M1003" s="35" t="n">
        <v>10299.88</v>
      </c>
      <c r="N1003" s="36" t="inlineStr">
        <is>
          <t>25 Ağustos 08.00-1 Eylül 07.59</t>
        </is>
      </c>
      <c r="O1003" s="37" t="n">
        <v>16.8</v>
      </c>
      <c r="P1003" s="38" t="n">
        <v>13578.47</v>
      </c>
      <c r="Q1003" s="39"/>
      <c r="R1003" s="40" t="n">
        <f>=IF(AND(ISBLANK(Q1003), ISBLANK(U1003)), "", "7 Günlük Fiyat")</f>
        <v>0.0</v>
      </c>
      <c r="S1003" s="41" t="n">
        <f>=IF(OR(Q1003="", R1003=""), "-", IF(ISNUMBER(SEARCH("7 Günlük", R1003)), IF(Q1003&lt;=M1003, O1003, "-"), "-"))</f>
        <v>0.0</v>
      </c>
      <c r="T1003" s="42" t="str">
        <f>=IF(ISBLANK(Q1003), "", "Hayır")</f>
      </c>
      <c r="U1003" s="43"/>
      <c r="V1003" s="44" t="inlineStr">
        <is>
          <t>50461ed1-c2c8-4393-967e-55d58a3e2664</t>
        </is>
      </c>
    </row>
    <row r="1004">
      <c r="A1004" s="23" t="inlineStr">
        <is>
          <t>Rampalı Kıvırcık Paspas Iş Yeri Paspası Su Emici Kaymaz Paspas Kivircik Iş Yeri Paspas Apartman Ofis</t>
        </is>
      </c>
      <c r="B1004" s="24" t="inlineStr">
        <is>
          <t>772451067</t>
        </is>
      </c>
      <c r="C1004" s="25" t="inlineStr">
        <is>
          <t>KIVIRCIKRAMPALII-KR1-TURKUAZ-120x200</t>
        </is>
      </c>
      <c r="D1004" s="26" t="inlineStr">
        <is>
          <t>KIVIRCIKRAMPALII-KR1-TURKUAZ-120x200</t>
        </is>
      </c>
      <c r="E1004" s="27" t="inlineStr">
        <is>
          <t>120 x 200</t>
        </is>
      </c>
      <c r="F1004" s="28" t="inlineStr">
        <is>
          <t>TYCSS3MAPN169778498328887</t>
        </is>
      </c>
      <c r="G1004" s="29" t="inlineStr">
        <is>
          <t>Kapı Önü Paspası</t>
        </is>
      </c>
      <c r="H1004" s="30" t="inlineStr">
        <is>
          <t>Paspas Yap</t>
        </is>
      </c>
      <c r="I1004" s="31" t="n">
        <v>93.0</v>
      </c>
      <c r="J1004" s="32" t="n">
        <v>4709.0</v>
      </c>
      <c r="K1004" s="33" t="n">
        <v>4343.09</v>
      </c>
      <c r="L1004" s="34" t="n">
        <v>22.0</v>
      </c>
      <c r="M1004" s="35" t="n">
        <v>3231.61</v>
      </c>
      <c r="N1004" s="36" t="inlineStr">
        <is>
          <t>25 Ağustos 08.00-1 Eylül 07.59</t>
        </is>
      </c>
      <c r="O1004" s="37" t="n">
        <v>16.1</v>
      </c>
      <c r="P1004" s="38" t="n">
        <v>4343.09</v>
      </c>
      <c r="Q1004" s="39"/>
      <c r="R1004" s="40" t="n">
        <f>=IF(AND(ISBLANK(Q1004), ISBLANK(U1004)), "", "7 Günlük Fiyat")</f>
        <v>0.0</v>
      </c>
      <c r="S1004" s="41" t="n">
        <f>=IF(OR(Q1004="", R1004=""), "-", IF(ISNUMBER(SEARCH("7 Günlük", R1004)), IF(Q1004&lt;=M1004, O1004, "-"), "-"))</f>
        <v>0.0</v>
      </c>
      <c r="T1004" s="42" t="str">
        <f>=IF(ISBLANK(Q1004), "", "Hayır")</f>
      </c>
      <c r="U1004" s="43"/>
      <c r="V1004" s="44" t="inlineStr">
        <is>
          <t>50461ed1-c2c8-4393-967e-55d58a3e2664</t>
        </is>
      </c>
    </row>
    <row r="1005">
      <c r="A1005" s="23" t="inlineStr">
        <is>
          <t>Rampalı Kıvırcık Paspas Iş Yeri Paspası Su Emici Kaymaz Paspas Kivircik Iş Yeri Paspas Apartman Ofis</t>
        </is>
      </c>
      <c r="B1005" s="24" t="inlineStr">
        <is>
          <t>772451067</t>
        </is>
      </c>
      <c r="C1005" s="25" t="inlineStr">
        <is>
          <t>KIVIRCIKRAMPALII-KR1-TURKUAZ-50x100</t>
        </is>
      </c>
      <c r="D1005" s="26" t="inlineStr">
        <is>
          <t>KIVIRCIKRAMPALII-KR1-TURKUAZ-50x100</t>
        </is>
      </c>
      <c r="E1005" s="27" t="inlineStr">
        <is>
          <t>50 x 100</t>
        </is>
      </c>
      <c r="F1005" s="28" t="inlineStr">
        <is>
          <t>TYCSS3MAPN169778498328887</t>
        </is>
      </c>
      <c r="G1005" s="29" t="inlineStr">
        <is>
          <t>Kapı Önü Paspası</t>
        </is>
      </c>
      <c r="H1005" s="30" t="inlineStr">
        <is>
          <t>Paspas Yap</t>
        </is>
      </c>
      <c r="I1005" s="31" t="n">
        <v>93.0</v>
      </c>
      <c r="J1005" s="32" t="n">
        <v>1460.0</v>
      </c>
      <c r="K1005" s="33" t="n">
        <v>1265.25</v>
      </c>
      <c r="L1005" s="34" t="n">
        <v>22.0</v>
      </c>
      <c r="M1005" s="35" t="n">
        <v>1024.44</v>
      </c>
      <c r="N1005" s="36" t="inlineStr">
        <is>
          <t>25 Ağustos 08.00-1 Eylül 07.59</t>
        </is>
      </c>
      <c r="O1005" s="37" t="n">
        <v>16.8</v>
      </c>
      <c r="P1005" s="38" t="n">
        <v>1265.25</v>
      </c>
      <c r="Q1005" s="39"/>
      <c r="R1005" s="40" t="n">
        <f>=IF(AND(ISBLANK(Q1005), ISBLANK(U1005)), "", "7 Günlük Fiyat")</f>
        <v>0.0</v>
      </c>
      <c r="S1005" s="41" t="n">
        <f>=IF(OR(Q1005="", R1005=""), "-", IF(ISNUMBER(SEARCH("7 Günlük", R1005)), IF(Q1005&lt;=M1005, O1005, "-"), "-"))</f>
        <v>0.0</v>
      </c>
      <c r="T1005" s="42" t="str">
        <f>=IF(ISBLANK(Q1005), "", "Hayır")</f>
      </c>
      <c r="U1005" s="43"/>
      <c r="V1005" s="44" t="inlineStr">
        <is>
          <t>50461ed1-c2c8-4393-967e-55d58a3e2664</t>
        </is>
      </c>
    </row>
    <row r="1006">
      <c r="A1006" s="23" t="inlineStr">
        <is>
          <t>Rampalı Kıvırcık Paspas Iş Yeri Paspası Su Emici Kaymaz Paspas Kivircik Iş Yeri Paspas Apartman Ofis</t>
        </is>
      </c>
      <c r="B1006" s="24" t="inlineStr">
        <is>
          <t>772451067</t>
        </is>
      </c>
      <c r="C1006" s="25" t="inlineStr">
        <is>
          <t>KIVIRCIKRAMPALII-KR1-TURKUAZ-120x1000</t>
        </is>
      </c>
      <c r="D1006" s="26" t="inlineStr">
        <is>
          <t>KIVIRCIKRAMPALII-KR1-TURKUAZ-120x1000</t>
        </is>
      </c>
      <c r="E1006" s="27" t="inlineStr">
        <is>
          <t>120 x 1000</t>
        </is>
      </c>
      <c r="F1006" s="28" t="inlineStr">
        <is>
          <t>TYCSS3MAPN169778498328887</t>
        </is>
      </c>
      <c r="G1006" s="29" t="inlineStr">
        <is>
          <t>Kapı Önü Paspası</t>
        </is>
      </c>
      <c r="H1006" s="30" t="inlineStr">
        <is>
          <t>Paspas Yap</t>
        </is>
      </c>
      <c r="I1006" s="31" t="n">
        <v>93.0</v>
      </c>
      <c r="J1006" s="32" t="n">
        <v>25197.0</v>
      </c>
      <c r="K1006" s="33" t="n">
        <v>23345.36</v>
      </c>
      <c r="L1006" s="34" t="n">
        <v>22.0</v>
      </c>
      <c r="M1006" s="35" t="n">
        <v>17525.86</v>
      </c>
      <c r="N1006" s="36" t="inlineStr">
        <is>
          <t>25 Ağustos 08.00-1 Eylül 07.59</t>
        </is>
      </c>
      <c r="O1006" s="37" t="n">
        <v>16.4</v>
      </c>
      <c r="P1006" s="38" t="n">
        <v>23345.36</v>
      </c>
      <c r="Q1006" s="39"/>
      <c r="R1006" s="40" t="n">
        <f>=IF(AND(ISBLANK(Q1006), ISBLANK(U1006)), "", "7 Günlük Fiyat")</f>
        <v>0.0</v>
      </c>
      <c r="S1006" s="41" t="n">
        <f>=IF(OR(Q1006="", R1006=""), "-", IF(ISNUMBER(SEARCH("7 Günlük", R1006)), IF(Q1006&lt;=M1006, O1006, "-"), "-"))</f>
        <v>0.0</v>
      </c>
      <c r="T1006" s="42" t="str">
        <f>=IF(ISBLANK(Q1006), "", "Hayır")</f>
      </c>
      <c r="U1006" s="43"/>
      <c r="V1006" s="44" t="inlineStr">
        <is>
          <t>50461ed1-c2c8-4393-967e-55d58a3e2664</t>
        </is>
      </c>
    </row>
    <row r="1007">
      <c r="A1007" s="23" t="inlineStr">
        <is>
          <t>Rampalı Kıvırcık Paspas Iş Yeri Paspası Su Emici Kaymaz Paspas Kivircik Iş Yeri Paspas Apartman Ofis</t>
        </is>
      </c>
      <c r="B1007" s="24" t="inlineStr">
        <is>
          <t>772451067</t>
        </is>
      </c>
      <c r="C1007" s="25" t="inlineStr">
        <is>
          <t>KIVIRCIKRAMPALII-KR1-TURKUAZ-80x1300</t>
        </is>
      </c>
      <c r="D1007" s="26" t="inlineStr">
        <is>
          <t>KIVIRCIKRAMPALII-KR1-TURKUAZ-80x1300</t>
        </is>
      </c>
      <c r="E1007" s="27" t="inlineStr">
        <is>
          <t>80 x 1300</t>
        </is>
      </c>
      <c r="F1007" s="28" t="inlineStr">
        <is>
          <t>TYCSS3MAPN169778498328887</t>
        </is>
      </c>
      <c r="G1007" s="29" t="inlineStr">
        <is>
          <t>Kapı Önü Paspası</t>
        </is>
      </c>
      <c r="H1007" s="30" t="inlineStr">
        <is>
          <t>Paspas Yap</t>
        </is>
      </c>
      <c r="I1007" s="31" t="n">
        <v>93.0</v>
      </c>
      <c r="J1007" s="32" t="n">
        <v>22824.0</v>
      </c>
      <c r="K1007" s="33" t="n">
        <v>21182.09</v>
      </c>
      <c r="L1007" s="34" t="n">
        <v>22.0</v>
      </c>
      <c r="M1007" s="35" t="n">
        <v>15889.53</v>
      </c>
      <c r="N1007" s="36" t="inlineStr">
        <is>
          <t>25 Ağustos 08.00-1 Eylül 07.59</t>
        </is>
      </c>
      <c r="O1007" s="37" t="n">
        <v>16.4</v>
      </c>
      <c r="P1007" s="38" t="n">
        <v>21182.09</v>
      </c>
      <c r="Q1007" s="39"/>
      <c r="R1007" s="40" t="n">
        <f>=IF(AND(ISBLANK(Q1007), ISBLANK(U1007)), "", "7 Günlük Fiyat")</f>
        <v>0.0</v>
      </c>
      <c r="S1007" s="41" t="n">
        <f>=IF(OR(Q1007="", R1007=""), "-", IF(ISNUMBER(SEARCH("7 Günlük", R1007)), IF(Q1007&lt;=M1007, O1007, "-"), "-"))</f>
        <v>0.0</v>
      </c>
      <c r="T1007" s="42" t="str">
        <f>=IF(ISBLANK(Q1007), "", "Hayır")</f>
      </c>
      <c r="U1007" s="43"/>
      <c r="V1007" s="44" t="inlineStr">
        <is>
          <t>50461ed1-c2c8-4393-967e-55d58a3e2664</t>
        </is>
      </c>
    </row>
    <row r="1008">
      <c r="A1008" s="23" t="inlineStr">
        <is>
          <t>Rampalı Kıvırcık Paspas Iş Yeri Paspası Su Emici Kaymaz Paspas Kivircik Iş Yeri Paspas Apartman Ofis</t>
        </is>
      </c>
      <c r="B1008" s="24" t="inlineStr">
        <is>
          <t>772451067</t>
        </is>
      </c>
      <c r="C1008" s="25" t="inlineStr">
        <is>
          <t>KIVIRCIKRAMPALI-KR1-TURKUAZ-80x120</t>
        </is>
      </c>
      <c r="D1008" s="26" t="inlineStr">
        <is>
          <t>KIVIRCIKRAMPALI-KR1-TURKUAZ-80x120</t>
        </is>
      </c>
      <c r="E1008" s="27" t="inlineStr">
        <is>
          <t>80 x 120</t>
        </is>
      </c>
      <c r="F1008" s="28" t="inlineStr">
        <is>
          <t>TYCSS3MAPN169778498328887</t>
        </is>
      </c>
      <c r="G1008" s="29" t="inlineStr">
        <is>
          <t>Kapı Önü Paspası</t>
        </is>
      </c>
      <c r="H1008" s="30" t="inlineStr">
        <is>
          <t>Paspas Yap</t>
        </is>
      </c>
      <c r="I1008" s="31" t="n">
        <v>93.0</v>
      </c>
      <c r="J1008" s="32" t="n">
        <v>2332.0</v>
      </c>
      <c r="K1008" s="33" t="n">
        <v>2055.96</v>
      </c>
      <c r="L1008" s="34" t="n">
        <v>22.0</v>
      </c>
      <c r="M1008" s="35" t="n">
        <v>1662.24</v>
      </c>
      <c r="N1008" s="36" t="inlineStr">
        <is>
          <t>25 Ağustos 08.00-1 Eylül 07.59</t>
        </is>
      </c>
      <c r="O1008" s="37" t="n">
        <v>17.4</v>
      </c>
      <c r="P1008" s="38" t="n">
        <v>2055.96</v>
      </c>
      <c r="Q1008" s="39"/>
      <c r="R1008" s="40" t="n">
        <f>=IF(AND(ISBLANK(Q1008), ISBLANK(U1008)), "", "7 Günlük Fiyat")</f>
        <v>0.0</v>
      </c>
      <c r="S1008" s="41" t="n">
        <f>=IF(OR(Q1008="", R1008=""), "-", IF(ISNUMBER(SEARCH("7 Günlük", R1008)), IF(Q1008&lt;=M1008, O1008, "-"), "-"))</f>
        <v>0.0</v>
      </c>
      <c r="T1008" s="42" t="str">
        <f>=IF(ISBLANK(Q1008), "", "Hayır")</f>
      </c>
      <c r="U1008" s="43"/>
      <c r="V1008" s="44" t="inlineStr">
        <is>
          <t>50461ed1-c2c8-4393-967e-55d58a3e2664</t>
        </is>
      </c>
    </row>
    <row r="1009">
      <c r="A1009" s="23" t="inlineStr">
        <is>
          <t>Rampalı Kıvırcık Paspas Iş Yeri Paspası Su Emici Kaymaz Paspas Kivircik Iş Yeri Paspas Apartman Ofis</t>
        </is>
      </c>
      <c r="B1009" s="24" t="inlineStr">
        <is>
          <t>772451067</t>
        </is>
      </c>
      <c r="C1009" s="25" t="inlineStr">
        <is>
          <t>KIVIRCIKRAMPALII-KR1-TURKUAZ-120x950</t>
        </is>
      </c>
      <c r="D1009" s="26" t="inlineStr">
        <is>
          <t>KIVIRCIKRAMPALII-KR1-TURKUAZ-120x950</t>
        </is>
      </c>
      <c r="E1009" s="27" t="inlineStr">
        <is>
          <t>120 x 950</t>
        </is>
      </c>
      <c r="F1009" s="28" t="inlineStr">
        <is>
          <t>TYCSS3MAPN169778498328887</t>
        </is>
      </c>
      <c r="G1009" s="29" t="inlineStr">
        <is>
          <t>Kapı Önü Paspası</t>
        </is>
      </c>
      <c r="H1009" s="30" t="inlineStr">
        <is>
          <t>Paspas Yap</t>
        </is>
      </c>
      <c r="I1009" s="31" t="n">
        <v>93.0</v>
      </c>
      <c r="J1009" s="32" t="n">
        <v>24164.0</v>
      </c>
      <c r="K1009" s="33" t="n">
        <v>22381.76</v>
      </c>
      <c r="L1009" s="34" t="n">
        <v>22.0</v>
      </c>
      <c r="M1009" s="35" t="n">
        <v>16568.61</v>
      </c>
      <c r="N1009" s="36" t="inlineStr">
        <is>
          <t>25 Ağustos 08.00-1 Eylül 07.59</t>
        </is>
      </c>
      <c r="O1009" s="37" t="n">
        <v>16.1</v>
      </c>
      <c r="P1009" s="38" t="n">
        <v>22381.76</v>
      </c>
      <c r="Q1009" s="39"/>
      <c r="R1009" s="40" t="n">
        <f>=IF(AND(ISBLANK(Q1009), ISBLANK(U1009)), "", "7 Günlük Fiyat")</f>
        <v>0.0</v>
      </c>
      <c r="S1009" s="41" t="n">
        <f>=IF(OR(Q1009="", R1009=""), "-", IF(ISNUMBER(SEARCH("7 Günlük", R1009)), IF(Q1009&lt;=M1009, O1009, "-"), "-"))</f>
        <v>0.0</v>
      </c>
      <c r="T1009" s="42" t="str">
        <f>=IF(ISBLANK(Q1009), "", "Hayır")</f>
      </c>
      <c r="U1009" s="43"/>
      <c r="V1009" s="44" t="inlineStr">
        <is>
          <t>50461ed1-c2c8-4393-967e-55d58a3e2664</t>
        </is>
      </c>
    </row>
    <row r="1010">
      <c r="A1010" s="23" t="inlineStr">
        <is>
          <t>Toz Ve Nem Alıcı Yolluk Paspas Iş Yeri Paspası Iç Ve Dış Mekan Paspası Rampalı Toz Alıcı Paspas</t>
        </is>
      </c>
      <c r="B1010" s="24" t="inlineStr">
        <is>
          <t>770010692</t>
        </is>
      </c>
      <c r="C1010" s="25" t="inlineStr">
        <is>
          <t>TOZKONTROL-YP2-80x1450-SIYAH</t>
        </is>
      </c>
      <c r="D1010" s="26" t="inlineStr">
        <is>
          <t>TOZKONTROL-YP2-80x1450-SIYAH</t>
        </is>
      </c>
      <c r="E1010" s="27" t="inlineStr">
        <is>
          <t>80 x 1450</t>
        </is>
      </c>
      <c r="F1010" s="28" t="inlineStr">
        <is>
          <t>TOZKONTROL-YP1</t>
        </is>
      </c>
      <c r="G1010" s="29" t="inlineStr">
        <is>
          <t>Kapı Önü Paspası</t>
        </is>
      </c>
      <c r="H1010" s="30" t="inlineStr">
        <is>
          <t>Paspas Yap</t>
        </is>
      </c>
      <c r="I1010" s="31" t="n">
        <v>93.0</v>
      </c>
      <c r="J1010" s="32" t="n">
        <v>22087.0</v>
      </c>
      <c r="K1010" s="33" t="n">
        <v>22087.0</v>
      </c>
      <c r="L1010" s="34" t="n">
        <v>22.0</v>
      </c>
      <c r="M1010" s="35" t="n">
        <v>15796.18</v>
      </c>
      <c r="N1010" s="36" t="inlineStr">
        <is>
          <t>25 Ağustos 08.00-1 Eylül 07.59</t>
        </is>
      </c>
      <c r="O1010" s="37" t="n">
        <v>14.8</v>
      </c>
      <c r="P1010" s="38" t="n">
        <v>22087.0</v>
      </c>
      <c r="Q1010" s="39"/>
      <c r="R1010" s="40" t="n">
        <f>=IF(AND(ISBLANK(Q1010), ISBLANK(U1010)), "", "7 Günlük Fiyat")</f>
        <v>0.0</v>
      </c>
      <c r="S1010" s="41" t="n">
        <f>=IF(OR(Q1010="", R1010=""), "-", IF(ISNUMBER(SEARCH("7 Günlük", R1010)), IF(Q1010&lt;=M1010, O1010, "-"), "-"))</f>
        <v>0.0</v>
      </c>
      <c r="T1010" s="42" t="str">
        <f>=IF(ISBLANK(Q1010), "", "Hayır")</f>
      </c>
      <c r="U1010" s="43"/>
      <c r="V1010" s="44" t="inlineStr">
        <is>
          <t>50461ed1-c2c8-4393-967e-55d58a3e2664</t>
        </is>
      </c>
    </row>
    <row r="1011">
      <c r="A1011" s="23" t="inlineStr">
        <is>
          <t>Toz Ve Nem Alıcı Yolluk Paspas Iş Yeri Paspası Iç Ve Dış Mekan Paspası Rampalı Toz Alıcı Paspas</t>
        </is>
      </c>
      <c r="B1011" s="24" t="inlineStr">
        <is>
          <t>770010692</t>
        </is>
      </c>
      <c r="C1011" s="25" t="inlineStr">
        <is>
          <t>TOZKONTROL-YP1-SIYAH-100400</t>
        </is>
      </c>
      <c r="D1011" s="26" t="inlineStr">
        <is>
          <t>TOZKONTROL-YP1-SIYAH-100400</t>
        </is>
      </c>
      <c r="E1011" s="27" t="inlineStr">
        <is>
          <t>100 x 400</t>
        </is>
      </c>
      <c r="F1011" s="28" t="inlineStr">
        <is>
          <t>TOZKONTROL-YP1</t>
        </is>
      </c>
      <c r="G1011" s="29" t="inlineStr">
        <is>
          <t>Kapı Önü Paspası</t>
        </is>
      </c>
      <c r="H1011" s="30" t="inlineStr">
        <is>
          <t>Paspas Yap</t>
        </is>
      </c>
      <c r="I1011" s="31" t="n">
        <v>93.0</v>
      </c>
      <c r="J1011" s="32" t="n">
        <v>7139.0</v>
      </c>
      <c r="K1011" s="33" t="n">
        <v>6062.72</v>
      </c>
      <c r="L1011" s="34" t="n">
        <v>22.0</v>
      </c>
      <c r="M1011" s="35" t="n">
        <v>4228.78</v>
      </c>
      <c r="N1011" s="36" t="inlineStr">
        <is>
          <t>25 Ağustos 08.00-1 Eylül 07.59</t>
        </is>
      </c>
      <c r="O1011" s="37" t="n">
        <v>14.5</v>
      </c>
      <c r="P1011" s="38" t="n">
        <v>6062.72</v>
      </c>
      <c r="Q1011" s="39"/>
      <c r="R1011" s="40" t="n">
        <f>=IF(AND(ISBLANK(Q1011), ISBLANK(U1011)), "", "7 Günlük Fiyat")</f>
        <v>0.0</v>
      </c>
      <c r="S1011" s="41" t="n">
        <f>=IF(OR(Q1011="", R1011=""), "-", IF(ISNUMBER(SEARCH("7 Günlük", R1011)), IF(Q1011&lt;=M1011, O1011, "-"), "-"))</f>
        <v>0.0</v>
      </c>
      <c r="T1011" s="42" t="str">
        <f>=IF(ISBLANK(Q1011), "", "Hayır")</f>
      </c>
      <c r="U1011" s="43"/>
      <c r="V1011" s="44" t="inlineStr">
        <is>
          <t>50461ed1-c2c8-4393-967e-55d58a3e2664</t>
        </is>
      </c>
    </row>
    <row r="1012">
      <c r="A1012" s="23" t="inlineStr">
        <is>
          <t>Toz Ve Nem Alıcı Yolluk Paspas Iş Yeri Paspası Iç Ve Dış Mekan Paspası Rampalı Toz Alıcı Paspas</t>
        </is>
      </c>
      <c r="B1012" s="24" t="inlineStr">
        <is>
          <t>770010692</t>
        </is>
      </c>
      <c r="C1012" s="25" t="inlineStr">
        <is>
          <t>TOZKONTROL-YP2-100x950-SIYAH</t>
        </is>
      </c>
      <c r="D1012" s="26" t="inlineStr">
        <is>
          <t>TOZKONTROL-YP2-100x950-SIYAH</t>
        </is>
      </c>
      <c r="E1012" s="27" t="inlineStr">
        <is>
          <t>100 x 950</t>
        </is>
      </c>
      <c r="F1012" s="28" t="inlineStr">
        <is>
          <t>TOZKONTROL-YP1</t>
        </is>
      </c>
      <c r="G1012" s="29" t="inlineStr">
        <is>
          <t>Kapı Önü Paspası</t>
        </is>
      </c>
      <c r="H1012" s="30" t="inlineStr">
        <is>
          <t>Paspas Yap</t>
        </is>
      </c>
      <c r="I1012" s="31" t="n">
        <v>93.0</v>
      </c>
      <c r="J1012" s="32" t="n">
        <v>15908.0</v>
      </c>
      <c r="K1012" s="33" t="n">
        <v>15908.0</v>
      </c>
      <c r="L1012" s="34" t="n">
        <v>22.0</v>
      </c>
      <c r="M1012" s="35" t="n">
        <v>11377.08</v>
      </c>
      <c r="N1012" s="36" t="inlineStr">
        <is>
          <t>25 Ağustos 08.00-1 Eylül 07.59</t>
        </is>
      </c>
      <c r="O1012" s="37" t="n">
        <v>14.8</v>
      </c>
      <c r="P1012" s="38" t="n">
        <v>15908.0</v>
      </c>
      <c r="Q1012" s="39"/>
      <c r="R1012" s="40" t="n">
        <f>=IF(AND(ISBLANK(Q1012), ISBLANK(U1012)), "", "7 Günlük Fiyat")</f>
        <v>0.0</v>
      </c>
      <c r="S1012" s="41" t="n">
        <f>=IF(OR(Q1012="", R1012=""), "-", IF(ISNUMBER(SEARCH("7 Günlük", R1012)), IF(Q1012&lt;=M1012, O1012, "-"), "-"))</f>
        <v>0.0</v>
      </c>
      <c r="T1012" s="42" t="str">
        <f>=IF(ISBLANK(Q1012), "", "Hayır")</f>
      </c>
      <c r="U1012" s="43"/>
      <c r="V1012" s="44" t="inlineStr">
        <is>
          <t>50461ed1-c2c8-4393-967e-55d58a3e2664</t>
        </is>
      </c>
    </row>
    <row r="1013">
      <c r="A1013" s="23" t="inlineStr">
        <is>
          <t>Toz Ve Nem Alıcı Yolluk Paspas Iş Yeri Paspası Iç Ve Dış Mekan Paspası Rampalı Toz Alıcı Paspas</t>
        </is>
      </c>
      <c r="B1013" s="24" t="inlineStr">
        <is>
          <t>770010692</t>
        </is>
      </c>
      <c r="C1013" s="25" t="inlineStr">
        <is>
          <t>TOZKONTROL-YP2-120x150-SIYAH</t>
        </is>
      </c>
      <c r="D1013" s="26" t="inlineStr">
        <is>
          <t>TOZKONTROL-YP2-120x150-SIYAH</t>
        </is>
      </c>
      <c r="E1013" s="27" t="inlineStr">
        <is>
          <t>120 x 150</t>
        </is>
      </c>
      <c r="F1013" s="28" t="inlineStr">
        <is>
          <t>TOZKONTROL-YP1</t>
        </is>
      </c>
      <c r="G1013" s="29" t="inlineStr">
        <is>
          <t>Kapı Önü Paspası</t>
        </is>
      </c>
      <c r="H1013" s="30" t="inlineStr">
        <is>
          <t>Paspas Yap</t>
        </is>
      </c>
      <c r="I1013" s="31" t="n">
        <v>93.0</v>
      </c>
      <c r="J1013" s="32" t="n">
        <v>3376.0</v>
      </c>
      <c r="K1013" s="33" t="n">
        <v>3059.56</v>
      </c>
      <c r="L1013" s="34" t="n">
        <v>22.0</v>
      </c>
      <c r="M1013" s="35" t="n">
        <v>2143.08</v>
      </c>
      <c r="N1013" s="36" t="inlineStr">
        <is>
          <t>25 Ağustos 08.00-1 Eylül 07.59</t>
        </is>
      </c>
      <c r="O1013" s="37" t="n">
        <v>15.0</v>
      </c>
      <c r="P1013" s="38" t="n">
        <v>3059.56</v>
      </c>
      <c r="Q1013" s="39"/>
      <c r="R1013" s="40" t="n">
        <f>=IF(AND(ISBLANK(Q1013), ISBLANK(U1013)), "", "7 Günlük Fiyat")</f>
        <v>0.0</v>
      </c>
      <c r="S1013" s="41" t="n">
        <f>=IF(OR(Q1013="", R1013=""), "-", IF(ISNUMBER(SEARCH("7 Günlük", R1013)), IF(Q1013&lt;=M1013, O1013, "-"), "-"))</f>
        <v>0.0</v>
      </c>
      <c r="T1013" s="42" t="str">
        <f>=IF(ISBLANK(Q1013), "", "Hayır")</f>
      </c>
      <c r="U1013" s="43"/>
      <c r="V1013" s="44" t="inlineStr">
        <is>
          <t>50461ed1-c2c8-4393-967e-55d58a3e2664</t>
        </is>
      </c>
    </row>
    <row r="1014">
      <c r="A1014" s="23" t="inlineStr">
        <is>
          <t>Toz Ve Nem Alıcı Yolluk Paspas Iş Yeri Paspası Iç Ve Dış Mekan Paspası Rampalı Toz Alıcı Paspas</t>
        </is>
      </c>
      <c r="B1014" s="24" t="inlineStr">
        <is>
          <t>770010692</t>
        </is>
      </c>
      <c r="C1014" s="25" t="inlineStr">
        <is>
          <t>TOZKONTROL-YP2-100x1100-SIYAH</t>
        </is>
      </c>
      <c r="D1014" s="26" t="inlineStr">
        <is>
          <t>TOZKONTROL-YP2-100x1100-SIYAH</t>
        </is>
      </c>
      <c r="E1014" s="27" t="inlineStr">
        <is>
          <t>100 x 1100</t>
        </is>
      </c>
      <c r="F1014" s="28" t="inlineStr">
        <is>
          <t>TOZKONTROL-YP1</t>
        </is>
      </c>
      <c r="G1014" s="29" t="inlineStr">
        <is>
          <t>Kapı Önü Paspası</t>
        </is>
      </c>
      <c r="H1014" s="30" t="inlineStr">
        <is>
          <t>Paspas Yap</t>
        </is>
      </c>
      <c r="I1014" s="31" t="n">
        <v>93.0</v>
      </c>
      <c r="J1014" s="32" t="n">
        <v>20962.0</v>
      </c>
      <c r="K1014" s="33" t="n">
        <v>20962.0</v>
      </c>
      <c r="L1014" s="34" t="n">
        <v>22.0</v>
      </c>
      <c r="M1014" s="35" t="n">
        <v>14991.6</v>
      </c>
      <c r="N1014" s="36" t="inlineStr">
        <is>
          <t>25 Ağustos 08.00-1 Eylül 07.59</t>
        </is>
      </c>
      <c r="O1014" s="37" t="n">
        <v>14.8</v>
      </c>
      <c r="P1014" s="38" t="n">
        <v>20962.0</v>
      </c>
      <c r="Q1014" s="39"/>
      <c r="R1014" s="40" t="n">
        <f>=IF(AND(ISBLANK(Q1014), ISBLANK(U1014)), "", "7 Günlük Fiyat")</f>
        <v>0.0</v>
      </c>
      <c r="S1014" s="41" t="n">
        <f>=IF(OR(Q1014="", R1014=""), "-", IF(ISNUMBER(SEARCH("7 Günlük", R1014)), IF(Q1014&lt;=M1014, O1014, "-"), "-"))</f>
        <v>0.0</v>
      </c>
      <c r="T1014" s="42" t="str">
        <f>=IF(ISBLANK(Q1014), "", "Hayır")</f>
      </c>
      <c r="U1014" s="43"/>
      <c r="V1014" s="44" t="inlineStr">
        <is>
          <t>50461ed1-c2c8-4393-967e-55d58a3e2664</t>
        </is>
      </c>
    </row>
    <row r="1015">
      <c r="A1015" s="23" t="inlineStr">
        <is>
          <t>Toz Ve Nem Alıcı Yolluk Paspas Iş Yeri Paspası Iç Ve Dış Mekan Paspası Rampalı Toz Alıcı Paspas</t>
        </is>
      </c>
      <c r="B1015" s="24" t="inlineStr">
        <is>
          <t>770010692</t>
        </is>
      </c>
      <c r="C1015" s="25" t="inlineStr">
        <is>
          <t>TOZKONTROL-YP1-SIYAH-5090</t>
        </is>
      </c>
      <c r="D1015" s="26" t="inlineStr">
        <is>
          <t>TOZKONTROL-YP1-SIYAH-5090</t>
        </is>
      </c>
      <c r="E1015" s="27" t="inlineStr">
        <is>
          <t>50 x 90</t>
        </is>
      </c>
      <c r="F1015" s="28" t="inlineStr">
        <is>
          <t>TOZKONTROL-YP1</t>
        </is>
      </c>
      <c r="G1015" s="29" t="inlineStr">
        <is>
          <t>Kapı Önü Paspası</t>
        </is>
      </c>
      <c r="H1015" s="30" t="inlineStr">
        <is>
          <t>Paspas Yap</t>
        </is>
      </c>
      <c r="I1015" s="31" t="n">
        <v>93.0</v>
      </c>
      <c r="J1015" s="32" t="n">
        <v>1149.0</v>
      </c>
      <c r="K1015" s="33" t="n">
        <v>985.35</v>
      </c>
      <c r="L1015" s="34" t="n">
        <v>21.5</v>
      </c>
      <c r="M1015" s="35" t="n">
        <v>852.59</v>
      </c>
      <c r="N1015" s="36" t="inlineStr">
        <is>
          <t>25 Ağustos 08.00-1 Eylül 07.59</t>
        </is>
      </c>
      <c r="O1015" s="37" t="n">
        <v>18.1</v>
      </c>
      <c r="P1015" s="38" t="n">
        <v>985.35</v>
      </c>
      <c r="Q1015" s="39"/>
      <c r="R1015" s="40" t="n">
        <f>=IF(AND(ISBLANK(Q1015), ISBLANK(U1015)), "", "7 Günlük Fiyat")</f>
        <v>0.0</v>
      </c>
      <c r="S1015" s="41" t="n">
        <f>=IF(OR(Q1015="", R1015=""), "-", IF(ISNUMBER(SEARCH("7 Günlük", R1015)), IF(Q1015&lt;=M1015, O1015, "-"), "-"))</f>
        <v>0.0</v>
      </c>
      <c r="T1015" s="42" t="str">
        <f>=IF(ISBLANK(Q1015), "", "Hayır")</f>
      </c>
      <c r="U1015" s="43"/>
      <c r="V1015" s="44" t="inlineStr">
        <is>
          <t>50461ed1-c2c8-4393-967e-55d58a3e2664</t>
        </is>
      </c>
    </row>
    <row r="1016">
      <c r="A1016" s="23" t="inlineStr">
        <is>
          <t>Toz Ve Nem Alıcı Yolluk Paspas Iş Yeri Paspası Iç Ve Dış Mekan Paspası Rampalı Toz Alıcı Paspas</t>
        </is>
      </c>
      <c r="B1016" s="24" t="inlineStr">
        <is>
          <t>770010692</t>
        </is>
      </c>
      <c r="C1016" s="25" t="inlineStr">
        <is>
          <t>TOZKONTROL-YP2-80x650-SIYAH</t>
        </is>
      </c>
      <c r="D1016" s="26" t="inlineStr">
        <is>
          <t>TOZKONTROL-YP2-80x650-SIYAH</t>
        </is>
      </c>
      <c r="E1016" s="27" t="inlineStr">
        <is>
          <t>80 x 650</t>
        </is>
      </c>
      <c r="F1016" s="28" t="inlineStr">
        <is>
          <t>TOZKONTROL-YP1</t>
        </is>
      </c>
      <c r="G1016" s="29" t="inlineStr">
        <is>
          <t>Kapı Önü Paspası</t>
        </is>
      </c>
      <c r="H1016" s="30" t="inlineStr">
        <is>
          <t>Paspas Yap</t>
        </is>
      </c>
      <c r="I1016" s="31" t="n">
        <v>93.0</v>
      </c>
      <c r="J1016" s="32" t="n">
        <v>9409.0</v>
      </c>
      <c r="K1016" s="33" t="n">
        <v>8449.67</v>
      </c>
      <c r="L1016" s="34" t="n">
        <v>22.0</v>
      </c>
      <c r="M1016" s="35" t="n">
        <v>5914.92</v>
      </c>
      <c r="N1016" s="36" t="inlineStr">
        <is>
          <t>25 Ağustos 08.00-1 Eylül 07.59</t>
        </is>
      </c>
      <c r="O1016" s="37" t="n">
        <v>14.9</v>
      </c>
      <c r="P1016" s="38" t="n">
        <v>8449.67</v>
      </c>
      <c r="Q1016" s="39"/>
      <c r="R1016" s="40" t="n">
        <f>=IF(AND(ISBLANK(Q1016), ISBLANK(U1016)), "", "7 Günlük Fiyat")</f>
        <v>0.0</v>
      </c>
      <c r="S1016" s="41" t="n">
        <f>=IF(OR(Q1016="", R1016=""), "-", IF(ISNUMBER(SEARCH("7 Günlük", R1016)), IF(Q1016&lt;=M1016, O1016, "-"), "-"))</f>
        <v>0.0</v>
      </c>
      <c r="T1016" s="42" t="str">
        <f>=IF(ISBLANK(Q1016), "", "Hayır")</f>
      </c>
      <c r="U1016" s="43"/>
      <c r="V1016" s="44" t="inlineStr">
        <is>
          <t>50461ed1-c2c8-4393-967e-55d58a3e2664</t>
        </is>
      </c>
    </row>
    <row r="1017">
      <c r="A1017" s="23" t="inlineStr">
        <is>
          <t>Toz Ve Nem Alıcı Yolluk Paspas Iş Yeri Paspası Iç Ve Dış Mekan Paspası Rampalı Toz Alıcı Paspas</t>
        </is>
      </c>
      <c r="B1017" s="24" t="inlineStr">
        <is>
          <t>770010692</t>
        </is>
      </c>
      <c r="C1017" s="25" t="inlineStr">
        <is>
          <t>TOZKONTROL-YP2-100x1400-SIYAH</t>
        </is>
      </c>
      <c r="D1017" s="26" t="inlineStr">
        <is>
          <t>TOZKONTROL-YP2-100x1400-SIYAH</t>
        </is>
      </c>
      <c r="E1017" s="27" t="inlineStr">
        <is>
          <t>100 x 1400</t>
        </is>
      </c>
      <c r="F1017" s="28" t="inlineStr">
        <is>
          <t>TOZKONTROL-YP1</t>
        </is>
      </c>
      <c r="G1017" s="29" t="inlineStr">
        <is>
          <t>Kapı Önü Paspası</t>
        </is>
      </c>
      <c r="H1017" s="30" t="inlineStr">
        <is>
          <t>Paspas Yap</t>
        </is>
      </c>
      <c r="I1017" s="31" t="n">
        <v>93.0</v>
      </c>
      <c r="J1017" s="32" t="n">
        <v>25490.0</v>
      </c>
      <c r="K1017" s="33" t="n">
        <v>25490.0</v>
      </c>
      <c r="L1017" s="34" t="n">
        <v>22.0</v>
      </c>
      <c r="M1017" s="35" t="n">
        <v>18229.94</v>
      </c>
      <c r="N1017" s="36" t="inlineStr">
        <is>
          <t>25 Ağustos 08.00-1 Eylül 07.59</t>
        </is>
      </c>
      <c r="O1017" s="37" t="n">
        <v>14.8</v>
      </c>
      <c r="P1017" s="38" t="n">
        <v>25490.0</v>
      </c>
      <c r="Q1017" s="39"/>
      <c r="R1017" s="40" t="n">
        <f>=IF(AND(ISBLANK(Q1017), ISBLANK(U1017)), "", "7 Günlük Fiyat")</f>
        <v>0.0</v>
      </c>
      <c r="S1017" s="41" t="n">
        <f>=IF(OR(Q1017="", R1017=""), "-", IF(ISNUMBER(SEARCH("7 Günlük", R1017)), IF(Q1017&lt;=M1017, O1017, "-"), "-"))</f>
        <v>0.0</v>
      </c>
      <c r="T1017" s="42" t="str">
        <f>=IF(ISBLANK(Q1017), "", "Hayır")</f>
      </c>
      <c r="U1017" s="43"/>
      <c r="V1017" s="44" t="inlineStr">
        <is>
          <t>50461ed1-c2c8-4393-967e-55d58a3e2664</t>
        </is>
      </c>
    </row>
    <row r="1018">
      <c r="A1018" s="23" t="inlineStr">
        <is>
          <t>Toz Ve Nem Alıcı Yolluk Paspas Iş Yeri Paspası Iç Ve Dış Mekan Paspası Rampalı Toz Alıcı Paspas</t>
        </is>
      </c>
      <c r="B1018" s="24" t="inlineStr">
        <is>
          <t>770010692</t>
        </is>
      </c>
      <c r="C1018" s="25" t="inlineStr">
        <is>
          <t>TOZKONTROL-YP2-120x1400-SIYAH</t>
        </is>
      </c>
      <c r="D1018" s="26" t="inlineStr">
        <is>
          <t>TOZKONTROL-YP2-120x1400-SIYAH</t>
        </is>
      </c>
      <c r="E1018" s="27" t="inlineStr">
        <is>
          <t>120 x 1400</t>
        </is>
      </c>
      <c r="F1018" s="28" t="inlineStr">
        <is>
          <t>TOZKONTROL-YP1</t>
        </is>
      </c>
      <c r="G1018" s="29" t="inlineStr">
        <is>
          <t>Kapı Önü Paspası</t>
        </is>
      </c>
      <c r="H1018" s="30" t="inlineStr">
        <is>
          <t>Paspas Yap</t>
        </is>
      </c>
      <c r="I1018" s="31" t="n">
        <v>93.0</v>
      </c>
      <c r="J1018" s="32" t="n">
        <v>29420.0</v>
      </c>
      <c r="K1018" s="33" t="n">
        <v>29420.0</v>
      </c>
      <c r="L1018" s="34" t="n">
        <v>22.0</v>
      </c>
      <c r="M1018" s="35" t="n">
        <v>21040.6</v>
      </c>
      <c r="N1018" s="36" t="inlineStr">
        <is>
          <t>25 Ağustos 08.00-1 Eylül 07.59</t>
        </is>
      </c>
      <c r="O1018" s="37" t="n">
        <v>14.8</v>
      </c>
      <c r="P1018" s="38" t="n">
        <v>29420.0</v>
      </c>
      <c r="Q1018" s="39"/>
      <c r="R1018" s="40" t="n">
        <f>=IF(AND(ISBLANK(Q1018), ISBLANK(U1018)), "", "7 Günlük Fiyat")</f>
        <v>0.0</v>
      </c>
      <c r="S1018" s="41" t="n">
        <f>=IF(OR(Q1018="", R1018=""), "-", IF(ISNUMBER(SEARCH("7 Günlük", R1018)), IF(Q1018&lt;=M1018, O1018, "-"), "-"))</f>
        <v>0.0</v>
      </c>
      <c r="T1018" s="42" t="str">
        <f>=IF(ISBLANK(Q1018), "", "Hayır")</f>
      </c>
      <c r="U1018" s="43"/>
      <c r="V1018" s="44" t="inlineStr">
        <is>
          <t>50461ed1-c2c8-4393-967e-55d58a3e2664</t>
        </is>
      </c>
    </row>
    <row r="1019">
      <c r="A1019" s="23" t="inlineStr">
        <is>
          <t>Toz Ve Nem Alıcı Yolluk Paspas Iş Yeri Paspası Iç Ve Dış Mekan Paspası Rampalı Toz Alıcı Paspas</t>
        </is>
      </c>
      <c r="B1019" s="24" t="inlineStr">
        <is>
          <t>770010692</t>
        </is>
      </c>
      <c r="C1019" s="25" t="inlineStr">
        <is>
          <t>TOZKONTROL-YP2-80x1000-SIYAH</t>
        </is>
      </c>
      <c r="D1019" s="26" t="inlineStr">
        <is>
          <t>TOZKONTROL-YP2-80x1000-SIYAH</t>
        </is>
      </c>
      <c r="E1019" s="27" t="inlineStr">
        <is>
          <t>80 x 1000</t>
        </is>
      </c>
      <c r="F1019" s="28" t="inlineStr">
        <is>
          <t>TOZKONTROL-YP1</t>
        </is>
      </c>
      <c r="G1019" s="29" t="inlineStr">
        <is>
          <t>Kapı Önü Paspası</t>
        </is>
      </c>
      <c r="H1019" s="30" t="inlineStr">
        <is>
          <t>Paspas Yap</t>
        </is>
      </c>
      <c r="I1019" s="31" t="n">
        <v>93.0</v>
      </c>
      <c r="J1019" s="32" t="n">
        <v>13749.0</v>
      </c>
      <c r="K1019" s="33" t="n">
        <v>13749.0</v>
      </c>
      <c r="L1019" s="34" t="n">
        <v>22.0</v>
      </c>
      <c r="M1019" s="35" t="n">
        <v>9833.01</v>
      </c>
      <c r="N1019" s="36" t="inlineStr">
        <is>
          <t>25 Ağustos 08.00-1 Eylül 07.59</t>
        </is>
      </c>
      <c r="O1019" s="37" t="n">
        <v>14.8</v>
      </c>
      <c r="P1019" s="38" t="n">
        <v>13749.0</v>
      </c>
      <c r="Q1019" s="39"/>
      <c r="R1019" s="40" t="n">
        <f>=IF(AND(ISBLANK(Q1019), ISBLANK(U1019)), "", "7 Günlük Fiyat")</f>
        <v>0.0</v>
      </c>
      <c r="S1019" s="41" t="n">
        <f>=IF(OR(Q1019="", R1019=""), "-", IF(ISNUMBER(SEARCH("7 Günlük", R1019)), IF(Q1019&lt;=M1019, O1019, "-"), "-"))</f>
        <v>0.0</v>
      </c>
      <c r="T1019" s="42" t="str">
        <f>=IF(ISBLANK(Q1019), "", "Hayır")</f>
      </c>
      <c r="U1019" s="43"/>
      <c r="V1019" s="44" t="inlineStr">
        <is>
          <t>50461ed1-c2c8-4393-967e-55d58a3e2664</t>
        </is>
      </c>
    </row>
    <row r="1020">
      <c r="A1020" s="23" t="inlineStr">
        <is>
          <t>Toz Ve Nem Alıcı Yolluk Paspas Iş Yeri Paspası Iç Ve Dış Mekan Paspası Rampalı Toz Alıcı Paspas</t>
        </is>
      </c>
      <c r="B1020" s="24" t="inlineStr">
        <is>
          <t>770010692</t>
        </is>
      </c>
      <c r="C1020" s="25" t="inlineStr">
        <is>
          <t>TOZKONTROL-YP2-80x950-SIYAH</t>
        </is>
      </c>
      <c r="D1020" s="26" t="inlineStr">
        <is>
          <t>TOZKONTROL-YP2-80x950-SIYAH</t>
        </is>
      </c>
      <c r="E1020" s="27" t="inlineStr">
        <is>
          <t>80 x 950</t>
        </is>
      </c>
      <c r="F1020" s="28" t="inlineStr">
        <is>
          <t>TOZKONTROL-YP1</t>
        </is>
      </c>
      <c r="G1020" s="29" t="inlineStr">
        <is>
          <t>Kapı Önü Paspası</t>
        </is>
      </c>
      <c r="H1020" s="30" t="inlineStr">
        <is>
          <t>Paspas Yap</t>
        </is>
      </c>
      <c r="I1020" s="31" t="n">
        <v>93.0</v>
      </c>
      <c r="J1020" s="32" t="n">
        <v>13145.0</v>
      </c>
      <c r="K1020" s="33" t="n">
        <v>13145.0</v>
      </c>
      <c r="L1020" s="34" t="n">
        <v>22.0</v>
      </c>
      <c r="M1020" s="35" t="n">
        <v>9401.04</v>
      </c>
      <c r="N1020" s="36" t="inlineStr">
        <is>
          <t>25 Ağustos 08.00-1 Eylül 07.59</t>
        </is>
      </c>
      <c r="O1020" s="37" t="n">
        <v>14.8</v>
      </c>
      <c r="P1020" s="38" t="n">
        <v>13145.0</v>
      </c>
      <c r="Q1020" s="39"/>
      <c r="R1020" s="40" t="n">
        <f>=IF(AND(ISBLANK(Q1020), ISBLANK(U1020)), "", "7 Günlük Fiyat")</f>
        <v>0.0</v>
      </c>
      <c r="S1020" s="41" t="n">
        <f>=IF(OR(Q1020="", R1020=""), "-", IF(ISNUMBER(SEARCH("7 Günlük", R1020)), IF(Q1020&lt;=M1020, O1020, "-"), "-"))</f>
        <v>0.0</v>
      </c>
      <c r="T1020" s="42" t="str">
        <f>=IF(ISBLANK(Q1020), "", "Hayır")</f>
      </c>
      <c r="U1020" s="43"/>
      <c r="V1020" s="44" t="inlineStr">
        <is>
          <t>50461ed1-c2c8-4393-967e-55d58a3e2664</t>
        </is>
      </c>
    </row>
    <row r="1021">
      <c r="A1021" s="23" t="inlineStr">
        <is>
          <t>Toz Ve Nem Alıcı Yolluk Paspas Iş Yeri Paspası Iç Ve Dış Mekan Paspası Rampalı Toz Alıcı Paspas</t>
        </is>
      </c>
      <c r="B1021" s="24" t="inlineStr">
        <is>
          <t>770010692</t>
        </is>
      </c>
      <c r="C1021" s="25" t="inlineStr">
        <is>
          <t>TOZKONTROL-YP2-100x500-SIYAH</t>
        </is>
      </c>
      <c r="D1021" s="26" t="inlineStr">
        <is>
          <t>TOZKONTROL-YP2-100x500-SIYAH</t>
        </is>
      </c>
      <c r="E1021" s="27" t="inlineStr">
        <is>
          <t>100 x 500</t>
        </is>
      </c>
      <c r="F1021" s="28" t="inlineStr">
        <is>
          <t>TOZKONTROL-YP1</t>
        </is>
      </c>
      <c r="G1021" s="29" t="inlineStr">
        <is>
          <t>Kapı Önü Paspası</t>
        </is>
      </c>
      <c r="H1021" s="30" t="inlineStr">
        <is>
          <t>Paspas Yap</t>
        </is>
      </c>
      <c r="I1021" s="31" t="n">
        <v>93.0</v>
      </c>
      <c r="J1021" s="32" t="n">
        <v>8475.0</v>
      </c>
      <c r="K1021" s="33" t="n">
        <v>7825.84</v>
      </c>
      <c r="L1021" s="34" t="n">
        <v>22.0</v>
      </c>
      <c r="M1021" s="35" t="n">
        <v>5512.87</v>
      </c>
      <c r="N1021" s="36" t="inlineStr">
        <is>
          <t>25 Ağustos 08.00-1 Eylül 07.59</t>
        </is>
      </c>
      <c r="O1021" s="37" t="n">
        <v>15.4</v>
      </c>
      <c r="P1021" s="38" t="n">
        <v>7825.84</v>
      </c>
      <c r="Q1021" s="39"/>
      <c r="R1021" s="40" t="n">
        <f>=IF(AND(ISBLANK(Q1021), ISBLANK(U1021)), "", "7 Günlük Fiyat")</f>
        <v>0.0</v>
      </c>
      <c r="S1021" s="41" t="n">
        <f>=IF(OR(Q1021="", R1021=""), "-", IF(ISNUMBER(SEARCH("7 Günlük", R1021)), IF(Q1021&lt;=M1021, O1021, "-"), "-"))</f>
        <v>0.0</v>
      </c>
      <c r="T1021" s="42" t="str">
        <f>=IF(ISBLANK(Q1021), "", "Hayır")</f>
      </c>
      <c r="U1021" s="43"/>
      <c r="V1021" s="44" t="inlineStr">
        <is>
          <t>50461ed1-c2c8-4393-967e-55d58a3e2664</t>
        </is>
      </c>
    </row>
    <row r="1022">
      <c r="A1022" s="23" t="inlineStr">
        <is>
          <t>Toz Ve Nem Alıcı Yolluk Paspas Iş Yeri Paspası Iç Ve Dış Mekan Paspası Rampalı Toz Alıcı Paspas</t>
        </is>
      </c>
      <c r="B1022" s="24" t="inlineStr">
        <is>
          <t>770010692</t>
        </is>
      </c>
      <c r="C1022" s="25" t="inlineStr">
        <is>
          <t>TOZKONTROL-YP2-80x1100-SIYAH</t>
        </is>
      </c>
      <c r="D1022" s="26" t="inlineStr">
        <is>
          <t>TOZKONTROL-YP2-80x1100-SIYAH</t>
        </is>
      </c>
      <c r="E1022" s="27" t="inlineStr">
        <is>
          <t>80 x 1100</t>
        </is>
      </c>
      <c r="F1022" s="28" t="inlineStr">
        <is>
          <t>TOZKONTROL-YP1</t>
        </is>
      </c>
      <c r="G1022" s="29" t="inlineStr">
        <is>
          <t>Kapı Önü Paspası</t>
        </is>
      </c>
      <c r="H1022" s="30" t="inlineStr">
        <is>
          <t>Paspas Yap</t>
        </is>
      </c>
      <c r="I1022" s="31" t="n">
        <v>93.0</v>
      </c>
      <c r="J1022" s="32" t="n">
        <v>14955.0</v>
      </c>
      <c r="K1022" s="33" t="n">
        <v>14955.0</v>
      </c>
      <c r="L1022" s="34" t="n">
        <v>22.0</v>
      </c>
      <c r="M1022" s="35" t="n">
        <v>10695.52</v>
      </c>
      <c r="N1022" s="36" t="inlineStr">
        <is>
          <t>25 Ağustos 08.00-1 Eylül 07.59</t>
        </is>
      </c>
      <c r="O1022" s="37" t="n">
        <v>14.8</v>
      </c>
      <c r="P1022" s="38" t="n">
        <v>14955.0</v>
      </c>
      <c r="Q1022" s="39"/>
      <c r="R1022" s="40" t="n">
        <f>=IF(AND(ISBLANK(Q1022), ISBLANK(U1022)), "", "7 Günlük Fiyat")</f>
        <v>0.0</v>
      </c>
      <c r="S1022" s="41" t="n">
        <f>=IF(OR(Q1022="", R1022=""), "-", IF(ISNUMBER(SEARCH("7 Günlük", R1022)), IF(Q1022&lt;=M1022, O1022, "-"), "-"))</f>
        <v>0.0</v>
      </c>
      <c r="T1022" s="42" t="str">
        <f>=IF(ISBLANK(Q1022), "", "Hayır")</f>
      </c>
      <c r="U1022" s="43"/>
      <c r="V1022" s="44" t="inlineStr">
        <is>
          <t>50461ed1-c2c8-4393-967e-55d58a3e2664</t>
        </is>
      </c>
    </row>
    <row r="1023">
      <c r="A1023" s="23" t="inlineStr">
        <is>
          <t>Toz Ve Nem Alıcı Yolluk Paspas Iş Yeri Paspası Iç Ve Dış Mekan Paspası Rampalı Toz Alıcı Paspas</t>
        </is>
      </c>
      <c r="B1023" s="24" t="inlineStr">
        <is>
          <t>770010692</t>
        </is>
      </c>
      <c r="C1023" s="25" t="inlineStr">
        <is>
          <t>TOZKONTROL-YP2-80x200-SIYAH</t>
        </is>
      </c>
      <c r="D1023" s="26" t="inlineStr">
        <is>
          <t>TOZKONTROL-YP2-80x200-SIYAH</t>
        </is>
      </c>
      <c r="E1023" s="27" t="inlineStr">
        <is>
          <t>80 x 200</t>
        </is>
      </c>
      <c r="F1023" s="28" t="inlineStr">
        <is>
          <t>TOZKONTROL-YP1</t>
        </is>
      </c>
      <c r="G1023" s="29" t="inlineStr">
        <is>
          <t>Kapı Önü Paspası</t>
        </is>
      </c>
      <c r="H1023" s="30" t="inlineStr">
        <is>
          <t>Paspas Yap</t>
        </is>
      </c>
      <c r="I1023" s="31" t="n">
        <v>93.0</v>
      </c>
      <c r="J1023" s="32" t="n">
        <v>3141.0</v>
      </c>
      <c r="K1023" s="33" t="n">
        <v>2852.31</v>
      </c>
      <c r="L1023" s="34" t="n">
        <v>22.0</v>
      </c>
      <c r="M1023" s="35" t="n">
        <v>2023.41</v>
      </c>
      <c r="N1023" s="36" t="inlineStr">
        <is>
          <t>25 Ağustos 08.00-1 Eylül 07.59</t>
        </is>
      </c>
      <c r="O1023" s="37" t="n">
        <v>15.2</v>
      </c>
      <c r="P1023" s="38" t="n">
        <v>2852.31</v>
      </c>
      <c r="Q1023" s="39"/>
      <c r="R1023" s="40" t="n">
        <f>=IF(AND(ISBLANK(Q1023), ISBLANK(U1023)), "", "7 Günlük Fiyat")</f>
        <v>0.0</v>
      </c>
      <c r="S1023" s="41" t="n">
        <f>=IF(OR(Q1023="", R1023=""), "-", IF(ISNUMBER(SEARCH("7 Günlük", R1023)), IF(Q1023&lt;=M1023, O1023, "-"), "-"))</f>
        <v>0.0</v>
      </c>
      <c r="T1023" s="42" t="str">
        <f>=IF(ISBLANK(Q1023), "", "Hayır")</f>
      </c>
      <c r="U1023" s="43"/>
      <c r="V1023" s="44" t="inlineStr">
        <is>
          <t>50461ed1-c2c8-4393-967e-55d58a3e2664</t>
        </is>
      </c>
    </row>
    <row r="1024">
      <c r="A1024" s="23" t="inlineStr">
        <is>
          <t>Toz Ve Nem Alıcı Yolluk Paspas Iş Yeri Paspası Iç Ve Dış Mekan Paspası Rampalı Toz Alıcı Paspas</t>
        </is>
      </c>
      <c r="B1024" s="24" t="inlineStr">
        <is>
          <t>770010692</t>
        </is>
      </c>
      <c r="C1024" s="25" t="inlineStr">
        <is>
          <t>TOZKONTROL-YP2-120x200-SIYAH</t>
        </is>
      </c>
      <c r="D1024" s="26" t="inlineStr">
        <is>
          <t>TOZKONTROL-YP2-120x200-SIYAH</t>
        </is>
      </c>
      <c r="E1024" s="27" t="inlineStr">
        <is>
          <t>120 x 200</t>
        </is>
      </c>
      <c r="F1024" s="28" t="inlineStr">
        <is>
          <t>TOZKONTROL-YP1</t>
        </is>
      </c>
      <c r="G1024" s="29" t="inlineStr">
        <is>
          <t>Kapı Önü Paspası</t>
        </is>
      </c>
      <c r="H1024" s="30" t="inlineStr">
        <is>
          <t>Paspas Yap</t>
        </is>
      </c>
      <c r="I1024" s="31" t="n">
        <v>93.0</v>
      </c>
      <c r="J1024" s="32" t="n">
        <v>4496.0</v>
      </c>
      <c r="K1024" s="33" t="n">
        <v>4026.52</v>
      </c>
      <c r="L1024" s="34" t="n">
        <v>22.0</v>
      </c>
      <c r="M1024" s="35" t="n">
        <v>2858.21</v>
      </c>
      <c r="N1024" s="36" t="inlineStr">
        <is>
          <t>25 Ağustos 08.00-1 Eylül 07.59</t>
        </is>
      </c>
      <c r="O1024" s="37" t="n">
        <v>15.1</v>
      </c>
      <c r="P1024" s="38" t="n">
        <v>4026.52</v>
      </c>
      <c r="Q1024" s="39"/>
      <c r="R1024" s="40" t="n">
        <f>=IF(AND(ISBLANK(Q1024), ISBLANK(U1024)), "", "7 Günlük Fiyat")</f>
        <v>0.0</v>
      </c>
      <c r="S1024" s="41" t="n">
        <f>=IF(OR(Q1024="", R1024=""), "-", IF(ISNUMBER(SEARCH("7 Günlük", R1024)), IF(Q1024&lt;=M1024, O1024, "-"), "-"))</f>
        <v>0.0</v>
      </c>
      <c r="T1024" s="42" t="str">
        <f>=IF(ISBLANK(Q1024), "", "Hayır")</f>
      </c>
      <c r="U1024" s="43"/>
      <c r="V1024" s="44" t="inlineStr">
        <is>
          <t>50461ed1-c2c8-4393-967e-55d58a3e2664</t>
        </is>
      </c>
    </row>
    <row r="1025">
      <c r="A1025" s="23" t="inlineStr">
        <is>
          <t>Toz Ve Nem Alıcı Yolluk Paspas Iş Yeri Paspası Iç Ve Dış Mekan Paspası Rampalı Toz Alıcı Paspas</t>
        </is>
      </c>
      <c r="B1025" s="24" t="inlineStr">
        <is>
          <t>770010692</t>
        </is>
      </c>
      <c r="C1025" s="25" t="inlineStr">
        <is>
          <t>TOZKONTROL-YP2-120x400-SIYAH</t>
        </is>
      </c>
      <c r="D1025" s="26" t="inlineStr">
        <is>
          <t>TOZKONTROL-YP2-120x400-SIYAH</t>
        </is>
      </c>
      <c r="E1025" s="27" t="inlineStr">
        <is>
          <t>120 x 400</t>
        </is>
      </c>
      <c r="F1025" s="28" t="inlineStr">
        <is>
          <t>TOZKONTROL-YP1</t>
        </is>
      </c>
      <c r="G1025" s="29" t="inlineStr">
        <is>
          <t>Kapı Önü Paspası</t>
        </is>
      </c>
      <c r="H1025" s="30" t="inlineStr">
        <is>
          <t>Paspas Yap</t>
        </is>
      </c>
      <c r="I1025" s="31" t="n">
        <v>93.0</v>
      </c>
      <c r="J1025" s="32" t="n">
        <v>8238.0</v>
      </c>
      <c r="K1025" s="33" t="n">
        <v>6712.38</v>
      </c>
      <c r="L1025" s="34" t="n">
        <v>22.0</v>
      </c>
      <c r="M1025" s="35" t="n">
        <v>4547.6</v>
      </c>
      <c r="N1025" s="36" t="inlineStr">
        <is>
          <t>25 Ağustos 08.00-1 Eylül 07.59</t>
        </is>
      </c>
      <c r="O1025" s="37" t="n">
        <v>13.7</v>
      </c>
      <c r="P1025" s="38" t="n">
        <v>6712.38</v>
      </c>
      <c r="Q1025" s="39"/>
      <c r="R1025" s="40" t="n">
        <f>=IF(AND(ISBLANK(Q1025), ISBLANK(U1025)), "", "7 Günlük Fiyat")</f>
        <v>0.0</v>
      </c>
      <c r="S1025" s="41" t="n">
        <f>=IF(OR(Q1025="", R1025=""), "-", IF(ISNUMBER(SEARCH("7 Günlük", R1025)), IF(Q1025&lt;=M1025, O1025, "-"), "-"))</f>
        <v>0.0</v>
      </c>
      <c r="T1025" s="42" t="str">
        <f>=IF(ISBLANK(Q1025), "", "Hayır")</f>
      </c>
      <c r="U1025" s="43"/>
      <c r="V1025" s="44" t="inlineStr">
        <is>
          <t>50461ed1-c2c8-4393-967e-55d58a3e2664</t>
        </is>
      </c>
    </row>
    <row r="1026">
      <c r="A1026" s="23" t="inlineStr">
        <is>
          <t>Toz Ve Nem Alıcı Yolluk Paspas Iş Yeri Paspası Iç Ve Dış Mekan Paspası Rampalı Toz Alıcı Paspas</t>
        </is>
      </c>
      <c r="B1026" s="24" t="inlineStr">
        <is>
          <t>770010692</t>
        </is>
      </c>
      <c r="C1026" s="25" t="inlineStr">
        <is>
          <t>TOZKONTROL-YP2-120x1350-SIYAH</t>
        </is>
      </c>
      <c r="D1026" s="26" t="inlineStr">
        <is>
          <t>TOZKONTROL-YP2-120x1350-SIYAH</t>
        </is>
      </c>
      <c r="E1026" s="27" t="inlineStr">
        <is>
          <t>120 x 1350</t>
        </is>
      </c>
      <c r="F1026" s="28" t="inlineStr">
        <is>
          <t>TOZKONTROL-YP1</t>
        </is>
      </c>
      <c r="G1026" s="29" t="inlineStr">
        <is>
          <t>Kapı Önü Paspası</t>
        </is>
      </c>
      <c r="H1026" s="30" t="inlineStr">
        <is>
          <t>Paspas Yap</t>
        </is>
      </c>
      <c r="I1026" s="31" t="n">
        <v>93.0</v>
      </c>
      <c r="J1026" s="32" t="n">
        <v>28572.0</v>
      </c>
      <c r="K1026" s="33" t="n">
        <v>28572.0</v>
      </c>
      <c r="L1026" s="34" t="n">
        <v>22.0</v>
      </c>
      <c r="M1026" s="35" t="n">
        <v>20434.12</v>
      </c>
      <c r="N1026" s="36" t="inlineStr">
        <is>
          <t>25 Ağustos 08.00-1 Eylül 07.59</t>
        </is>
      </c>
      <c r="O1026" s="37" t="n">
        <v>14.8</v>
      </c>
      <c r="P1026" s="38" t="n">
        <v>28572.0</v>
      </c>
      <c r="Q1026" s="39"/>
      <c r="R1026" s="40" t="n">
        <f>=IF(AND(ISBLANK(Q1026), ISBLANK(U1026)), "", "7 Günlük Fiyat")</f>
        <v>0.0</v>
      </c>
      <c r="S1026" s="41" t="n">
        <f>=IF(OR(Q1026="", R1026=""), "-", IF(ISNUMBER(SEARCH("7 Günlük", R1026)), IF(Q1026&lt;=M1026, O1026, "-"), "-"))</f>
        <v>0.0</v>
      </c>
      <c r="T1026" s="42" t="str">
        <f>=IF(ISBLANK(Q1026), "", "Hayır")</f>
      </c>
      <c r="U1026" s="43"/>
      <c r="V1026" s="44" t="inlineStr">
        <is>
          <t>50461ed1-c2c8-4393-967e-55d58a3e2664</t>
        </is>
      </c>
    </row>
    <row r="1027">
      <c r="A1027" s="23" t="inlineStr">
        <is>
          <t>Toz Ve Nem Alıcı Yolluk Paspas Iş Yeri Paspası Iç Ve Dış Mekan Paspası Rampalı Toz Alıcı Paspas</t>
        </is>
      </c>
      <c r="B1027" s="24" t="inlineStr">
        <is>
          <t>770010692</t>
        </is>
      </c>
      <c r="C1027" s="25" t="inlineStr">
        <is>
          <t>TOZKONTROL-YP2-120x300-SIYAH</t>
        </is>
      </c>
      <c r="D1027" s="26" t="inlineStr">
        <is>
          <t>TOZKONTROL-YP2-120x300-SIYAH</t>
        </is>
      </c>
      <c r="E1027" s="27" t="inlineStr">
        <is>
          <t>120 x 300</t>
        </is>
      </c>
      <c r="F1027" s="28" t="inlineStr">
        <is>
          <t>TOZKONTROL-YP1</t>
        </is>
      </c>
      <c r="G1027" s="29" t="inlineStr">
        <is>
          <t>Kapı Önü Paspası</t>
        </is>
      </c>
      <c r="H1027" s="30" t="inlineStr">
        <is>
          <t>Paspas Yap</t>
        </is>
      </c>
      <c r="I1027" s="31" t="n">
        <v>93.0</v>
      </c>
      <c r="J1027" s="32" t="n">
        <v>6557.0</v>
      </c>
      <c r="K1027" s="33" t="n">
        <v>5898.61</v>
      </c>
      <c r="L1027" s="34" t="n">
        <v>22.0</v>
      </c>
      <c r="M1027" s="35" t="n">
        <v>4018.35</v>
      </c>
      <c r="N1027" s="36" t="inlineStr">
        <is>
          <t>25 Ağustos 08.00-1 Eylül 07.59</t>
        </is>
      </c>
      <c r="O1027" s="37" t="n">
        <v>14.4</v>
      </c>
      <c r="P1027" s="38" t="n">
        <v>5898.61</v>
      </c>
      <c r="Q1027" s="39"/>
      <c r="R1027" s="40" t="n">
        <f>=IF(AND(ISBLANK(Q1027), ISBLANK(U1027)), "", "7 Günlük Fiyat")</f>
        <v>0.0</v>
      </c>
      <c r="S1027" s="41" t="n">
        <f>=IF(OR(Q1027="", R1027=""), "-", IF(ISNUMBER(SEARCH("7 Günlük", R1027)), IF(Q1027&lt;=M1027, O1027, "-"), "-"))</f>
        <v>0.0</v>
      </c>
      <c r="T1027" s="42" t="str">
        <f>=IF(ISBLANK(Q1027), "", "Hayır")</f>
      </c>
      <c r="U1027" s="43"/>
      <c r="V1027" s="44" t="inlineStr">
        <is>
          <t>50461ed1-c2c8-4393-967e-55d58a3e2664</t>
        </is>
      </c>
    </row>
    <row r="1028">
      <c r="A1028" s="23" t="inlineStr">
        <is>
          <t>Toz Ve Nem Alıcı Yolluk Paspas Iş Yeri Paspası Iç Ve Dış Mekan Paspası Rampalı Toz Alıcı Paspas</t>
        </is>
      </c>
      <c r="B1028" s="24" t="inlineStr">
        <is>
          <t>770010692</t>
        </is>
      </c>
      <c r="C1028" s="25" t="inlineStr">
        <is>
          <t>TOZKONTROL-YP2-100x1450-SIYAH</t>
        </is>
      </c>
      <c r="D1028" s="26" t="inlineStr">
        <is>
          <t>TOZKONTROL-YP2-100x1450-SIYAH</t>
        </is>
      </c>
      <c r="E1028" s="27" t="inlineStr">
        <is>
          <t>100 x 1450</t>
        </is>
      </c>
      <c r="F1028" s="28" t="inlineStr">
        <is>
          <t>TOZKONTROL-YP1</t>
        </is>
      </c>
      <c r="G1028" s="29" t="inlineStr">
        <is>
          <t>Kapı Önü Paspası</t>
        </is>
      </c>
      <c r="H1028" s="30" t="inlineStr">
        <is>
          <t>Paspas Yap</t>
        </is>
      </c>
      <c r="I1028" s="31" t="n">
        <v>93.0</v>
      </c>
      <c r="J1028" s="32" t="n">
        <v>26229.0</v>
      </c>
      <c r="K1028" s="33" t="n">
        <v>26229.0</v>
      </c>
      <c r="L1028" s="34" t="n">
        <v>22.0</v>
      </c>
      <c r="M1028" s="35" t="n">
        <v>18758.46</v>
      </c>
      <c r="N1028" s="36" t="inlineStr">
        <is>
          <t>25 Ağustos 08.00-1 Eylül 07.59</t>
        </is>
      </c>
      <c r="O1028" s="37" t="n">
        <v>14.8</v>
      </c>
      <c r="P1028" s="38" t="n">
        <v>26229.0</v>
      </c>
      <c r="Q1028" s="39"/>
      <c r="R1028" s="40" t="n">
        <f>=IF(AND(ISBLANK(Q1028), ISBLANK(U1028)), "", "7 Günlük Fiyat")</f>
        <v>0.0</v>
      </c>
      <c r="S1028" s="41" t="n">
        <f>=IF(OR(Q1028="", R1028=""), "-", IF(ISNUMBER(SEARCH("7 Günlük", R1028)), IF(Q1028&lt;=M1028, O1028, "-"), "-"))</f>
        <v>0.0</v>
      </c>
      <c r="T1028" s="42" t="str">
        <f>=IF(ISBLANK(Q1028), "", "Hayır")</f>
      </c>
      <c r="U1028" s="43"/>
      <c r="V1028" s="44" t="inlineStr">
        <is>
          <t>50461ed1-c2c8-4393-967e-55d58a3e2664</t>
        </is>
      </c>
    </row>
    <row r="1029">
      <c r="A1029" s="23" t="inlineStr">
        <is>
          <t>Toz Ve Nem Alıcı Yolluk Paspas Iş Yeri Paspası Iç Ve Dış Mekan Paspası Rampalı Toz Alıcı Paspas</t>
        </is>
      </c>
      <c r="B1029" s="24" t="inlineStr">
        <is>
          <t>770010692</t>
        </is>
      </c>
      <c r="C1029" s="25" t="inlineStr">
        <is>
          <t>TOZKONTROL-YP2-80x1200-SIYAH</t>
        </is>
      </c>
      <c r="D1029" s="26" t="inlineStr">
        <is>
          <t>TOZKONTROL-YP2-80x1200-SIYAH</t>
        </is>
      </c>
      <c r="E1029" s="27" t="inlineStr">
        <is>
          <t>80 x 1200</t>
        </is>
      </c>
      <c r="F1029" s="28" t="inlineStr">
        <is>
          <t>TOZKONTROL-YP1</t>
        </is>
      </c>
      <c r="G1029" s="29" t="inlineStr">
        <is>
          <t>Kapı Önü Paspası</t>
        </is>
      </c>
      <c r="H1029" s="30" t="inlineStr">
        <is>
          <t>Paspas Yap</t>
        </is>
      </c>
      <c r="I1029" s="31" t="n">
        <v>93.0</v>
      </c>
      <c r="J1029" s="32" t="n">
        <v>16099.0</v>
      </c>
      <c r="K1029" s="33" t="n">
        <v>16099.0</v>
      </c>
      <c r="L1029" s="34" t="n">
        <v>22.0</v>
      </c>
      <c r="M1029" s="35" t="n">
        <v>11513.68</v>
      </c>
      <c r="N1029" s="36" t="inlineStr">
        <is>
          <t>25 Ağustos 08.00-1 Eylül 07.59</t>
        </is>
      </c>
      <c r="O1029" s="37" t="n">
        <v>14.8</v>
      </c>
      <c r="P1029" s="38" t="n">
        <v>16099.0</v>
      </c>
      <c r="Q1029" s="39"/>
      <c r="R1029" s="40" t="n">
        <f>=IF(AND(ISBLANK(Q1029), ISBLANK(U1029)), "", "7 Günlük Fiyat")</f>
        <v>0.0</v>
      </c>
      <c r="S1029" s="41" t="n">
        <f>=IF(OR(Q1029="", R1029=""), "-", IF(ISNUMBER(SEARCH("7 Günlük", R1029)), IF(Q1029&lt;=M1029, O1029, "-"), "-"))</f>
        <v>0.0</v>
      </c>
      <c r="T1029" s="42" t="str">
        <f>=IF(ISBLANK(Q1029), "", "Hayır")</f>
      </c>
      <c r="U1029" s="43"/>
      <c r="V1029" s="44" t="inlineStr">
        <is>
          <t>50461ed1-c2c8-4393-967e-55d58a3e2664</t>
        </is>
      </c>
    </row>
    <row r="1030">
      <c r="A1030" s="23" t="inlineStr">
        <is>
          <t>Toz Ve Nem Alıcı Yolluk Paspas Iş Yeri Paspası Iç Ve Dış Mekan Paspası Rampalı Toz Alıcı Paspas</t>
        </is>
      </c>
      <c r="B1030" s="24" t="inlineStr">
        <is>
          <t>770010692</t>
        </is>
      </c>
      <c r="C1030" s="25" t="inlineStr">
        <is>
          <t>TOZKONTROL-YP2-100x250-SIYAH</t>
        </is>
      </c>
      <c r="D1030" s="26" t="inlineStr">
        <is>
          <t>TOZKONTROL-YP2-100x250-SIYAH</t>
        </is>
      </c>
      <c r="E1030" s="27" t="inlineStr">
        <is>
          <t>100 x 250</t>
        </is>
      </c>
      <c r="F1030" s="28" t="inlineStr">
        <is>
          <t>TOZKONTROL-YP1</t>
        </is>
      </c>
      <c r="G1030" s="29" t="inlineStr">
        <is>
          <t>Kapı Önü Paspası</t>
        </is>
      </c>
      <c r="H1030" s="30" t="inlineStr">
        <is>
          <t>Paspas Yap</t>
        </is>
      </c>
      <c r="I1030" s="31" t="n">
        <v>93.0</v>
      </c>
      <c r="J1030" s="32" t="n">
        <v>4580.0</v>
      </c>
      <c r="K1030" s="33" t="n">
        <v>4148.25</v>
      </c>
      <c r="L1030" s="34" t="n">
        <v>22.0</v>
      </c>
      <c r="M1030" s="35" t="n">
        <v>3054.94</v>
      </c>
      <c r="N1030" s="36" t="inlineStr">
        <is>
          <t>25 Ağustos 08.00-1 Eylül 07.59</t>
        </is>
      </c>
      <c r="O1030" s="37" t="n">
        <v>15.9</v>
      </c>
      <c r="P1030" s="38" t="n">
        <v>4148.25</v>
      </c>
      <c r="Q1030" s="39"/>
      <c r="R1030" s="40" t="n">
        <f>=IF(AND(ISBLANK(Q1030), ISBLANK(U1030)), "", "7 Günlük Fiyat")</f>
        <v>0.0</v>
      </c>
      <c r="S1030" s="41" t="n">
        <f>=IF(OR(Q1030="", R1030=""), "-", IF(ISNUMBER(SEARCH("7 Günlük", R1030)), IF(Q1030&lt;=M1030, O1030, "-"), "-"))</f>
        <v>0.0</v>
      </c>
      <c r="T1030" s="42" t="str">
        <f>=IF(ISBLANK(Q1030), "", "Hayır")</f>
      </c>
      <c r="U1030" s="43"/>
      <c r="V1030" s="44" t="inlineStr">
        <is>
          <t>50461ed1-c2c8-4393-967e-55d58a3e2664</t>
        </is>
      </c>
    </row>
    <row r="1031">
      <c r="A1031" s="23" t="inlineStr">
        <is>
          <t>Toz Ve Nem Alıcı Yolluk Paspas Iş Yeri Paspası Iç Ve Dış Mekan Paspası Rampalı Toz Alıcı Paspas</t>
        </is>
      </c>
      <c r="B1031" s="24" t="inlineStr">
        <is>
          <t>770010692</t>
        </is>
      </c>
      <c r="C1031" s="25" t="inlineStr">
        <is>
          <t>TOZKONTROL-YP2-120x450-SIYAH</t>
        </is>
      </c>
      <c r="D1031" s="26" t="inlineStr">
        <is>
          <t>TOZKONTROL-YP2-120x450-SIYAH</t>
        </is>
      </c>
      <c r="E1031" s="27" t="inlineStr">
        <is>
          <t>120 x 450</t>
        </is>
      </c>
      <c r="F1031" s="28" t="inlineStr">
        <is>
          <t>TOZKONTROL-YP1</t>
        </is>
      </c>
      <c r="G1031" s="29" t="inlineStr">
        <is>
          <t>Kapı Önü Paspası</t>
        </is>
      </c>
      <c r="H1031" s="30" t="inlineStr">
        <is>
          <t>Paspas Yap</t>
        </is>
      </c>
      <c r="I1031" s="31" t="n">
        <v>93.0</v>
      </c>
      <c r="J1031" s="32" t="n">
        <v>9548.0</v>
      </c>
      <c r="K1031" s="33" t="n">
        <v>8852.68</v>
      </c>
      <c r="L1031" s="34" t="n">
        <v>22.0</v>
      </c>
      <c r="M1031" s="35" t="n">
        <v>6204.38</v>
      </c>
      <c r="N1031" s="36" t="inlineStr">
        <is>
          <t>25 Ağustos 08.00-1 Eylül 07.59</t>
        </is>
      </c>
      <c r="O1031" s="37" t="n">
        <v>15.3</v>
      </c>
      <c r="P1031" s="38" t="n">
        <v>8852.68</v>
      </c>
      <c r="Q1031" s="39"/>
      <c r="R1031" s="40" t="n">
        <f>=IF(AND(ISBLANK(Q1031), ISBLANK(U1031)), "", "7 Günlük Fiyat")</f>
        <v>0.0</v>
      </c>
      <c r="S1031" s="41" t="n">
        <f>=IF(OR(Q1031="", R1031=""), "-", IF(ISNUMBER(SEARCH("7 Günlük", R1031)), IF(Q1031&lt;=M1031, O1031, "-"), "-"))</f>
        <v>0.0</v>
      </c>
      <c r="T1031" s="42" t="str">
        <f>=IF(ISBLANK(Q1031), "", "Hayır")</f>
      </c>
      <c r="U1031" s="43"/>
      <c r="V1031" s="44" t="inlineStr">
        <is>
          <t>50461ed1-c2c8-4393-967e-55d58a3e2664</t>
        </is>
      </c>
    </row>
    <row r="1032">
      <c r="A1032" s="23" t="inlineStr">
        <is>
          <t>Toz Ve Nem Alıcı Yolluk Paspas Iş Yeri Paspası Iç Ve Dış Mekan Paspası Rampalı Toz Alıcı Paspas</t>
        </is>
      </c>
      <c r="B1032" s="24" t="inlineStr">
        <is>
          <t>770010692</t>
        </is>
      </c>
      <c r="C1032" s="25" t="inlineStr">
        <is>
          <t>TOZKONTROL-YP2-100x350-SIYAH</t>
        </is>
      </c>
      <c r="D1032" s="26" t="inlineStr">
        <is>
          <t>TOZKONTROL-YP2-100x350-SIYAH</t>
        </is>
      </c>
      <c r="E1032" s="27" t="inlineStr">
        <is>
          <t>100 x 350</t>
        </is>
      </c>
      <c r="F1032" s="28" t="inlineStr">
        <is>
          <t>TOZKONTROL-YP1</t>
        </is>
      </c>
      <c r="G1032" s="29" t="inlineStr">
        <is>
          <t>Kapı Önü Paspası</t>
        </is>
      </c>
      <c r="H1032" s="30" t="inlineStr">
        <is>
          <t>Paspas Yap</t>
        </is>
      </c>
      <c r="I1032" s="31" t="n">
        <v>93.0</v>
      </c>
      <c r="J1032" s="32" t="n">
        <v>6309.0</v>
      </c>
      <c r="K1032" s="33" t="n">
        <v>5732.14</v>
      </c>
      <c r="L1032" s="34" t="n">
        <v>22.0</v>
      </c>
      <c r="M1032" s="35" t="n">
        <v>4088.79</v>
      </c>
      <c r="N1032" s="36" t="inlineStr">
        <is>
          <t>25 Ağustos 08.00-1 Eylül 07.59</t>
        </is>
      </c>
      <c r="O1032" s="37" t="n">
        <v>15.6</v>
      </c>
      <c r="P1032" s="38" t="n">
        <v>5732.14</v>
      </c>
      <c r="Q1032" s="39"/>
      <c r="R1032" s="40" t="n">
        <f>=IF(AND(ISBLANK(Q1032), ISBLANK(U1032)), "", "7 Günlük Fiyat")</f>
        <v>0.0</v>
      </c>
      <c r="S1032" s="41" t="n">
        <f>=IF(OR(Q1032="", R1032=""), "-", IF(ISNUMBER(SEARCH("7 Günlük", R1032)), IF(Q1032&lt;=M1032, O1032, "-"), "-"))</f>
        <v>0.0</v>
      </c>
      <c r="T1032" s="42" t="str">
        <f>=IF(ISBLANK(Q1032), "", "Hayır")</f>
      </c>
      <c r="U1032" s="43"/>
      <c r="V1032" s="44" t="inlineStr">
        <is>
          <t>50461ed1-c2c8-4393-967e-55d58a3e2664</t>
        </is>
      </c>
    </row>
    <row r="1033">
      <c r="A1033" s="23" t="inlineStr">
        <is>
          <t>Toz Ve Nem Alıcı Yolluk Paspas Iş Yeri Paspası Iç Ve Dış Mekan Paspası Rampalı Toz Alıcı Paspas</t>
        </is>
      </c>
      <c r="B1033" s="24" t="inlineStr">
        <is>
          <t>770010692</t>
        </is>
      </c>
      <c r="C1033" s="25" t="inlineStr">
        <is>
          <t>TOZKONTROL-YP2-120x800-SIYAH</t>
        </is>
      </c>
      <c r="D1033" s="26" t="inlineStr">
        <is>
          <t>TOZKONTROL-YP2-120x800-SIYAH</t>
        </is>
      </c>
      <c r="E1033" s="27" t="inlineStr">
        <is>
          <t>120 x 800</t>
        </is>
      </c>
      <c r="F1033" s="28" t="inlineStr">
        <is>
          <t>TOZKONTROL-YP1</t>
        </is>
      </c>
      <c r="G1033" s="29" t="inlineStr">
        <is>
          <t>Kapı Önü Paspası</t>
        </is>
      </c>
      <c r="H1033" s="30" t="inlineStr">
        <is>
          <t>Paspas Yap</t>
        </is>
      </c>
      <c r="I1033" s="31" t="n">
        <v>93.0</v>
      </c>
      <c r="J1033" s="32" t="n">
        <v>16099.0</v>
      </c>
      <c r="K1033" s="33" t="n">
        <v>16099.0</v>
      </c>
      <c r="L1033" s="34" t="n">
        <v>22.0</v>
      </c>
      <c r="M1033" s="35" t="n">
        <v>11513.68</v>
      </c>
      <c r="N1033" s="36" t="inlineStr">
        <is>
          <t>25 Ağustos 08.00-1 Eylül 07.59</t>
        </is>
      </c>
      <c r="O1033" s="37" t="n">
        <v>14.8</v>
      </c>
      <c r="P1033" s="38" t="n">
        <v>16099.0</v>
      </c>
      <c r="Q1033" s="39"/>
      <c r="R1033" s="40" t="n">
        <f>=IF(AND(ISBLANK(Q1033), ISBLANK(U1033)), "", "7 Günlük Fiyat")</f>
        <v>0.0</v>
      </c>
      <c r="S1033" s="41" t="n">
        <f>=IF(OR(Q1033="", R1033=""), "-", IF(ISNUMBER(SEARCH("7 Günlük", R1033)), IF(Q1033&lt;=M1033, O1033, "-"), "-"))</f>
        <v>0.0</v>
      </c>
      <c r="T1033" s="42" t="str">
        <f>=IF(ISBLANK(Q1033), "", "Hayır")</f>
      </c>
      <c r="U1033" s="43"/>
      <c r="V1033" s="44" t="inlineStr">
        <is>
          <t>50461ed1-c2c8-4393-967e-55d58a3e2664</t>
        </is>
      </c>
    </row>
    <row r="1034">
      <c r="A1034" s="23" t="inlineStr">
        <is>
          <t>Toz Ve Nem Alıcı Yolluk Paspas Iş Yeri Paspası Iç Ve Dış Mekan Paspası Rampalı Toz Alıcı Paspas</t>
        </is>
      </c>
      <c r="B1034" s="24" t="inlineStr">
        <is>
          <t>770010692</t>
        </is>
      </c>
      <c r="C1034" s="25" t="inlineStr">
        <is>
          <t>TOZKONTROL-YP1-SIYAH-3360</t>
        </is>
      </c>
      <c r="D1034" s="26" t="inlineStr">
        <is>
          <t>TOZKONTROL-YP1-SIYAH-3360</t>
        </is>
      </c>
      <c r="E1034" s="27" t="inlineStr">
        <is>
          <t>33 x 60</t>
        </is>
      </c>
      <c r="F1034" s="28" t="inlineStr">
        <is>
          <t>TOZKONTROL-YP1</t>
        </is>
      </c>
      <c r="G1034" s="29" t="inlineStr">
        <is>
          <t>Kapı Önü Paspası</t>
        </is>
      </c>
      <c r="H1034" s="30" t="inlineStr">
        <is>
          <t>Paspas Yap</t>
        </is>
      </c>
      <c r="I1034" s="31" t="n">
        <v>93.0</v>
      </c>
      <c r="J1034" s="32" t="n">
        <v>599.0</v>
      </c>
      <c r="K1034" s="33" t="n">
        <v>599.0</v>
      </c>
      <c r="L1034" s="34" t="n">
        <v>22.0</v>
      </c>
      <c r="M1034" s="35" t="n">
        <v>437.21</v>
      </c>
      <c r="N1034" s="36" t="inlineStr">
        <is>
          <t>25 Ağustos 08.00-1 Eylül 07.59</t>
        </is>
      </c>
      <c r="O1034" s="37" t="n">
        <v>16.0</v>
      </c>
      <c r="P1034" s="38" t="n">
        <v>599.0</v>
      </c>
      <c r="Q1034" s="39"/>
      <c r="R1034" s="40" t="n">
        <f>=IF(AND(ISBLANK(Q1034), ISBLANK(U1034)), "", "7 Günlük Fiyat")</f>
        <v>0.0</v>
      </c>
      <c r="S1034" s="41" t="n">
        <f>=IF(OR(Q1034="", R1034=""), "-", IF(ISNUMBER(SEARCH("7 Günlük", R1034)), IF(Q1034&lt;=M1034, O1034, "-"), "-"))</f>
        <v>0.0</v>
      </c>
      <c r="T1034" s="42" t="str">
        <f>=IF(ISBLANK(Q1034), "", "Hayır")</f>
      </c>
      <c r="U1034" s="43"/>
      <c r="V1034" s="44" t="inlineStr">
        <is>
          <t>50461ed1-c2c8-4393-967e-55d58a3e2664</t>
        </is>
      </c>
    </row>
    <row r="1035">
      <c r="A1035" s="23" t="inlineStr">
        <is>
          <t>Toz Ve Nem Alıcı Yolluk Paspas Iş Yeri Paspası Iç Ve Dış Mekan Paspası Rampalı Toz Alıcı Paspas</t>
        </is>
      </c>
      <c r="B1035" s="24" t="inlineStr">
        <is>
          <t>770010692</t>
        </is>
      </c>
      <c r="C1035" s="25" t="inlineStr">
        <is>
          <t>TOZKONTROL-YP2-80x1400-SIYAH</t>
        </is>
      </c>
      <c r="D1035" s="26" t="inlineStr">
        <is>
          <t>TOZKONTROL-YP2-80x1400-SIYAH</t>
        </is>
      </c>
      <c r="E1035" s="27" t="inlineStr">
        <is>
          <t>80 x 1400</t>
        </is>
      </c>
      <c r="F1035" s="28" t="inlineStr">
        <is>
          <t>TOZKONTROL-YP1</t>
        </is>
      </c>
      <c r="G1035" s="29" t="inlineStr">
        <is>
          <t>Kapı Önü Paspası</t>
        </is>
      </c>
      <c r="H1035" s="30" t="inlineStr">
        <is>
          <t>Paspas Yap</t>
        </is>
      </c>
      <c r="I1035" s="31" t="n">
        <v>93.0</v>
      </c>
      <c r="J1035" s="32" t="n">
        <v>21459.0</v>
      </c>
      <c r="K1035" s="33" t="n">
        <v>21459.0</v>
      </c>
      <c r="L1035" s="34" t="n">
        <v>22.0</v>
      </c>
      <c r="M1035" s="35" t="n">
        <v>15347.05</v>
      </c>
      <c r="N1035" s="36" t="inlineStr">
        <is>
          <t>25 Ağustos 08.00-1 Eylül 07.59</t>
        </is>
      </c>
      <c r="O1035" s="37" t="n">
        <v>14.8</v>
      </c>
      <c r="P1035" s="38" t="n">
        <v>21459.0</v>
      </c>
      <c r="Q1035" s="39"/>
      <c r="R1035" s="40" t="n">
        <f>=IF(AND(ISBLANK(Q1035), ISBLANK(U1035)), "", "7 Günlük Fiyat")</f>
        <v>0.0</v>
      </c>
      <c r="S1035" s="41" t="n">
        <f>=IF(OR(Q1035="", R1035=""), "-", IF(ISNUMBER(SEARCH("7 Günlük", R1035)), IF(Q1035&lt;=M1035, O1035, "-"), "-"))</f>
        <v>0.0</v>
      </c>
      <c r="T1035" s="42" t="str">
        <f>=IF(ISBLANK(Q1035), "", "Hayır")</f>
      </c>
      <c r="U1035" s="43"/>
      <c r="V1035" s="44" t="inlineStr">
        <is>
          <t>50461ed1-c2c8-4393-967e-55d58a3e2664</t>
        </is>
      </c>
    </row>
    <row r="1036">
      <c r="A1036" s="23" t="inlineStr">
        <is>
          <t>Toz Ve Nem Alıcı Yolluk Paspas Iş Yeri Paspası Iç Ve Dış Mekan Paspası Rampalı Toz Alıcı Paspas</t>
        </is>
      </c>
      <c r="B1036" s="24" t="inlineStr">
        <is>
          <t>770010692</t>
        </is>
      </c>
      <c r="C1036" s="25" t="inlineStr">
        <is>
          <t>TOZKONTROL-YP1-SIYAH-120250</t>
        </is>
      </c>
      <c r="D1036" s="26" t="inlineStr">
        <is>
          <t>TOZKONTROL-YP1-SIYAH-120250</t>
        </is>
      </c>
      <c r="E1036" s="27" t="inlineStr">
        <is>
          <t>120 x 250</t>
        </is>
      </c>
      <c r="F1036" s="28" t="inlineStr">
        <is>
          <t>TOZKONTROL-YP1</t>
        </is>
      </c>
      <c r="G1036" s="29" t="inlineStr">
        <is>
          <t>Kapı Önü Paspası</t>
        </is>
      </c>
      <c r="H1036" s="30" t="inlineStr">
        <is>
          <t>Paspas Yap</t>
        </is>
      </c>
      <c r="I1036" s="31" t="n">
        <v>93.0</v>
      </c>
      <c r="J1036" s="32" t="n">
        <v>5278.0</v>
      </c>
      <c r="K1036" s="33" t="n">
        <v>4779.57</v>
      </c>
      <c r="L1036" s="34" t="n">
        <v>22.0</v>
      </c>
      <c r="M1036" s="35" t="n">
        <v>3479.1</v>
      </c>
      <c r="N1036" s="36" t="inlineStr">
        <is>
          <t>25 Ağustos 08.00-1 Eylül 07.59</t>
        </is>
      </c>
      <c r="O1036" s="37" t="n">
        <v>15.7</v>
      </c>
      <c r="P1036" s="38" t="n">
        <v>4779.57</v>
      </c>
      <c r="Q1036" s="39"/>
      <c r="R1036" s="40" t="n">
        <f>=IF(AND(ISBLANK(Q1036), ISBLANK(U1036)), "", "7 Günlük Fiyat")</f>
        <v>0.0</v>
      </c>
      <c r="S1036" s="41" t="n">
        <f>=IF(OR(Q1036="", R1036=""), "-", IF(ISNUMBER(SEARCH("7 Günlük", R1036)), IF(Q1036&lt;=M1036, O1036, "-"), "-"))</f>
        <v>0.0</v>
      </c>
      <c r="T1036" s="42" t="str">
        <f>=IF(ISBLANK(Q1036), "", "Hayır")</f>
      </c>
      <c r="U1036" s="43"/>
      <c r="V1036" s="44" t="inlineStr">
        <is>
          <t>50461ed1-c2c8-4393-967e-55d58a3e2664</t>
        </is>
      </c>
    </row>
    <row r="1037">
      <c r="A1037" s="23" t="inlineStr">
        <is>
          <t>Toz Ve Nem Alıcı Yolluk Paspas Iş Yeri Paspası Iç Ve Dış Mekan Paspası Rampalı Toz Alıcı Paspas</t>
        </is>
      </c>
      <c r="B1037" s="24" t="inlineStr">
        <is>
          <t>770010692</t>
        </is>
      </c>
      <c r="C1037" s="25" t="inlineStr">
        <is>
          <t>TOZKONTROL-YP2-80x400-SIYAH</t>
        </is>
      </c>
      <c r="D1037" s="26" t="inlineStr">
        <is>
          <t>TOZKONTROL-YP2-80x400-SIYAH</t>
        </is>
      </c>
      <c r="E1037" s="27" t="inlineStr">
        <is>
          <t>80 x 400</t>
        </is>
      </c>
      <c r="F1037" s="28" t="inlineStr">
        <is>
          <t>TOZKONTROL-YP1</t>
        </is>
      </c>
      <c r="G1037" s="29" t="inlineStr">
        <is>
          <t>Kapı Önü Paspası</t>
        </is>
      </c>
      <c r="H1037" s="30" t="inlineStr">
        <is>
          <t>Paspas Yap</t>
        </is>
      </c>
      <c r="I1037" s="31" t="n">
        <v>93.0</v>
      </c>
      <c r="J1037" s="32" t="n">
        <v>5963.0</v>
      </c>
      <c r="K1037" s="33" t="n">
        <v>5430.15</v>
      </c>
      <c r="L1037" s="34" t="n">
        <v>22.0</v>
      </c>
      <c r="M1037" s="35" t="n">
        <v>4001.93</v>
      </c>
      <c r="N1037" s="36" t="inlineStr">
        <is>
          <t>25 Ağustos 08.00-1 Eylül 07.59</t>
        </is>
      </c>
      <c r="O1037" s="37" t="n">
        <v>16.0</v>
      </c>
      <c r="P1037" s="38" t="n">
        <v>5430.15</v>
      </c>
      <c r="Q1037" s="39"/>
      <c r="R1037" s="40" t="n">
        <f>=IF(AND(ISBLANK(Q1037), ISBLANK(U1037)), "", "7 Günlük Fiyat")</f>
        <v>0.0</v>
      </c>
      <c r="S1037" s="41" t="n">
        <f>=IF(OR(Q1037="", R1037=""), "-", IF(ISNUMBER(SEARCH("7 Günlük", R1037)), IF(Q1037&lt;=M1037, O1037, "-"), "-"))</f>
        <v>0.0</v>
      </c>
      <c r="T1037" s="42" t="str">
        <f>=IF(ISBLANK(Q1037), "", "Hayır")</f>
      </c>
      <c r="U1037" s="43"/>
      <c r="V1037" s="44" t="inlineStr">
        <is>
          <t>50461ed1-c2c8-4393-967e-55d58a3e2664</t>
        </is>
      </c>
    </row>
    <row r="1038">
      <c r="A1038" s="23" t="inlineStr">
        <is>
          <t>Toz Ve Nem Alıcı Yolluk Paspas Iş Yeri Paspası Iç Ve Dış Mekan Paspası Rampalı Toz Alıcı Paspas</t>
        </is>
      </c>
      <c r="B1038" s="24" t="inlineStr">
        <is>
          <t>770010692</t>
        </is>
      </c>
      <c r="C1038" s="25" t="inlineStr">
        <is>
          <t>TOZKONTROL-YP2-80x700-SIYAH</t>
        </is>
      </c>
      <c r="D1038" s="26" t="inlineStr">
        <is>
          <t>TOZKONTROL-YP2-80x700-SIYAH</t>
        </is>
      </c>
      <c r="E1038" s="27" t="inlineStr">
        <is>
          <t>80 x 700</t>
        </is>
      </c>
      <c r="F1038" s="28" t="inlineStr">
        <is>
          <t>TOZKONTROL-YP1</t>
        </is>
      </c>
      <c r="G1038" s="29" t="inlineStr">
        <is>
          <t>Kapı Önü Paspası</t>
        </is>
      </c>
      <c r="H1038" s="30" t="inlineStr">
        <is>
          <t>Paspas Yap</t>
        </is>
      </c>
      <c r="I1038" s="31" t="n">
        <v>93.0</v>
      </c>
      <c r="J1038" s="32" t="n">
        <v>9991.0</v>
      </c>
      <c r="K1038" s="33" t="n">
        <v>9279.44</v>
      </c>
      <c r="L1038" s="34" t="n">
        <v>22.0</v>
      </c>
      <c r="M1038" s="35" t="n">
        <v>6547.51</v>
      </c>
      <c r="N1038" s="36" t="inlineStr">
        <is>
          <t>25 Ağustos 08.00-1 Eylül 07.59</t>
        </is>
      </c>
      <c r="O1038" s="37" t="n">
        <v>15.4</v>
      </c>
      <c r="P1038" s="38" t="n">
        <v>9279.44</v>
      </c>
      <c r="Q1038" s="39"/>
      <c r="R1038" s="40" t="n">
        <f>=IF(AND(ISBLANK(Q1038), ISBLANK(U1038)), "", "7 Günlük Fiyat")</f>
        <v>0.0</v>
      </c>
      <c r="S1038" s="41" t="n">
        <f>=IF(OR(Q1038="", R1038=""), "-", IF(ISNUMBER(SEARCH("7 Günlük", R1038)), IF(Q1038&lt;=M1038, O1038, "-"), "-"))</f>
        <v>0.0</v>
      </c>
      <c r="T1038" s="42" t="str">
        <f>=IF(ISBLANK(Q1038), "", "Hayır")</f>
      </c>
      <c r="U1038" s="43"/>
      <c r="V1038" s="44" t="inlineStr">
        <is>
          <t>50461ed1-c2c8-4393-967e-55d58a3e2664</t>
        </is>
      </c>
    </row>
    <row r="1039">
      <c r="A1039" s="23" t="inlineStr">
        <is>
          <t>Toz Ve Nem Alıcı Yolluk Paspas Iş Yeri Paspası Iç Ve Dış Mekan Paspası Rampalı Toz Alıcı Paspas</t>
        </is>
      </c>
      <c r="B1039" s="24" t="inlineStr">
        <is>
          <t>770010692</t>
        </is>
      </c>
      <c r="C1039" s="25" t="inlineStr">
        <is>
          <t>TOZKONTROL-YP2-120x1250-SIYAH</t>
        </is>
      </c>
      <c r="D1039" s="26" t="inlineStr">
        <is>
          <t>TOZKONTROL-YP2-120x1250-SIYAH</t>
        </is>
      </c>
      <c r="E1039" s="27" t="inlineStr">
        <is>
          <t>120 x 1250</t>
        </is>
      </c>
      <c r="F1039" s="28" t="inlineStr">
        <is>
          <t>TOZKONTROL-YP1</t>
        </is>
      </c>
      <c r="G1039" s="29" t="inlineStr">
        <is>
          <t>Kapı Önü Paspası</t>
        </is>
      </c>
      <c r="H1039" s="30" t="inlineStr">
        <is>
          <t>Paspas Yap</t>
        </is>
      </c>
      <c r="I1039" s="31" t="n">
        <v>93.0</v>
      </c>
      <c r="J1039" s="32" t="n">
        <v>26967.0</v>
      </c>
      <c r="K1039" s="33" t="n">
        <v>26967.0</v>
      </c>
      <c r="L1039" s="34" t="n">
        <v>22.0</v>
      </c>
      <c r="M1039" s="35" t="n">
        <v>19286.26</v>
      </c>
      <c r="N1039" s="36" t="inlineStr">
        <is>
          <t>25 Ağustos 08.00-1 Eylül 07.59</t>
        </is>
      </c>
      <c r="O1039" s="37" t="n">
        <v>14.8</v>
      </c>
      <c r="P1039" s="38" t="n">
        <v>26967.0</v>
      </c>
      <c r="Q1039" s="39"/>
      <c r="R1039" s="40" t="n">
        <f>=IF(AND(ISBLANK(Q1039), ISBLANK(U1039)), "", "7 Günlük Fiyat")</f>
        <v>0.0</v>
      </c>
      <c r="S1039" s="41" t="n">
        <f>=IF(OR(Q1039="", R1039=""), "-", IF(ISNUMBER(SEARCH("7 Günlük", R1039)), IF(Q1039&lt;=M1039, O1039, "-"), "-"))</f>
        <v>0.0</v>
      </c>
      <c r="T1039" s="42" t="str">
        <f>=IF(ISBLANK(Q1039), "", "Hayır")</f>
      </c>
      <c r="U1039" s="43"/>
      <c r="V1039" s="44" t="inlineStr">
        <is>
          <t>50461ed1-c2c8-4393-967e-55d58a3e2664</t>
        </is>
      </c>
    </row>
    <row r="1040">
      <c r="A1040" s="23" t="inlineStr">
        <is>
          <t>Toz Ve Nem Alıcı Yolluk Paspas Iş Yeri Paspası Iç Ve Dış Mekan Paspası Rampalı Toz Alıcı Paspas</t>
        </is>
      </c>
      <c r="B1040" s="24" t="inlineStr">
        <is>
          <t>770010692</t>
        </is>
      </c>
      <c r="C1040" s="25" t="inlineStr">
        <is>
          <t>TOZKONTROL-YP2-100x1250-SIYAH</t>
        </is>
      </c>
      <c r="D1040" s="26" t="inlineStr">
        <is>
          <t>TOZKONTROL-YP2-100x1250-SIYAH</t>
        </is>
      </c>
      <c r="E1040" s="27" t="inlineStr">
        <is>
          <t>100 x 1250</t>
        </is>
      </c>
      <c r="F1040" s="28" t="inlineStr">
        <is>
          <t>TOZKONTROL-YP1</t>
        </is>
      </c>
      <c r="G1040" s="29" t="inlineStr">
        <is>
          <t>Kapı Önü Paspası</t>
        </is>
      </c>
      <c r="H1040" s="30" t="inlineStr">
        <is>
          <t>Paspas Yap</t>
        </is>
      </c>
      <c r="I1040" s="31" t="n">
        <v>93.0</v>
      </c>
      <c r="J1040" s="32" t="n">
        <v>23175.0</v>
      </c>
      <c r="K1040" s="33" t="n">
        <v>23175.0</v>
      </c>
      <c r="L1040" s="34" t="n">
        <v>22.0</v>
      </c>
      <c r="M1040" s="35" t="n">
        <v>16574.3</v>
      </c>
      <c r="N1040" s="36" t="inlineStr">
        <is>
          <t>25 Ağustos 08.00-1 Eylül 07.59</t>
        </is>
      </c>
      <c r="O1040" s="37" t="n">
        <v>14.8</v>
      </c>
      <c r="P1040" s="38" t="n">
        <v>23175.0</v>
      </c>
      <c r="Q1040" s="39"/>
      <c r="R1040" s="40" t="n">
        <f>=IF(AND(ISBLANK(Q1040), ISBLANK(U1040)), "", "7 Günlük Fiyat")</f>
        <v>0.0</v>
      </c>
      <c r="S1040" s="41" t="n">
        <f>=IF(OR(Q1040="", R1040=""), "-", IF(ISNUMBER(SEARCH("7 Günlük", R1040)), IF(Q1040&lt;=M1040, O1040, "-"), "-"))</f>
        <v>0.0</v>
      </c>
      <c r="T1040" s="42" t="str">
        <f>=IF(ISBLANK(Q1040), "", "Hayır")</f>
      </c>
      <c r="U1040" s="43"/>
      <c r="V1040" s="44" t="inlineStr">
        <is>
          <t>50461ed1-c2c8-4393-967e-55d58a3e2664</t>
        </is>
      </c>
    </row>
    <row r="1041">
      <c r="A1041" s="23" t="inlineStr">
        <is>
          <t>Toz Ve Nem Alıcı Yolluk Paspas Iş Yeri Paspası Iç Ve Dış Mekan Paspası Rampalı Toz Alıcı Paspas</t>
        </is>
      </c>
      <c r="B1041" s="24" t="inlineStr">
        <is>
          <t>770010692</t>
        </is>
      </c>
      <c r="C1041" s="25" t="inlineStr">
        <is>
          <t>TOZKONTROL-YP2-80x1050-SIYAH</t>
        </is>
      </c>
      <c r="D1041" s="26" t="inlineStr">
        <is>
          <t>TOZKONTROL-YP2-80x1050-SIYAH</t>
        </is>
      </c>
      <c r="E1041" s="27" t="inlineStr">
        <is>
          <t>80 x 1050</t>
        </is>
      </c>
      <c r="F1041" s="28" t="inlineStr">
        <is>
          <t>TOZKONTROL-YP1</t>
        </is>
      </c>
      <c r="G1041" s="29" t="inlineStr">
        <is>
          <t>Kapı Önü Paspası</t>
        </is>
      </c>
      <c r="H1041" s="30" t="inlineStr">
        <is>
          <t>Paspas Yap</t>
        </is>
      </c>
      <c r="I1041" s="31" t="n">
        <v>93.0</v>
      </c>
      <c r="J1041" s="32" t="n">
        <v>14351.0</v>
      </c>
      <c r="K1041" s="33" t="n">
        <v>14351.0</v>
      </c>
      <c r="L1041" s="34" t="n">
        <v>22.0</v>
      </c>
      <c r="M1041" s="35" t="n">
        <v>10263.55</v>
      </c>
      <c r="N1041" s="36" t="inlineStr">
        <is>
          <t>25 Ağustos 08.00-1 Eylül 07.59</t>
        </is>
      </c>
      <c r="O1041" s="37" t="n">
        <v>14.8</v>
      </c>
      <c r="P1041" s="38" t="n">
        <v>14351.0</v>
      </c>
      <c r="Q1041" s="39"/>
      <c r="R1041" s="40" t="n">
        <f>=IF(AND(ISBLANK(Q1041), ISBLANK(U1041)), "", "7 Günlük Fiyat")</f>
        <v>0.0</v>
      </c>
      <c r="S1041" s="41" t="n">
        <f>=IF(OR(Q1041="", R1041=""), "-", IF(ISNUMBER(SEARCH("7 Günlük", R1041)), IF(Q1041&lt;=M1041, O1041, "-"), "-"))</f>
        <v>0.0</v>
      </c>
      <c r="T1041" s="42" t="str">
        <f>=IF(ISBLANK(Q1041), "", "Hayır")</f>
      </c>
      <c r="U1041" s="43"/>
      <c r="V1041" s="44" t="inlineStr">
        <is>
          <t>50461ed1-c2c8-4393-967e-55d58a3e2664</t>
        </is>
      </c>
    </row>
    <row r="1042">
      <c r="A1042" s="23" t="inlineStr">
        <is>
          <t>Toz Ve Nem Alıcı Yolluk Paspas Iş Yeri Paspası Iç Ve Dış Mekan Paspası Rampalı Toz Alıcı Paspas</t>
        </is>
      </c>
      <c r="B1042" s="24" t="inlineStr">
        <is>
          <t>770010692</t>
        </is>
      </c>
      <c r="C1042" s="25" t="inlineStr">
        <is>
          <t>TOZKONTROL-YP2-100x100-SIYAH</t>
        </is>
      </c>
      <c r="D1042" s="26" t="inlineStr">
        <is>
          <t>TOZKONTROL-YP2-100x100-SIYAH</t>
        </is>
      </c>
      <c r="E1042" s="27" t="inlineStr">
        <is>
          <t>100 x 100</t>
        </is>
      </c>
      <c r="F1042" s="28" t="inlineStr">
        <is>
          <t>TOZKONTROL-YP1</t>
        </is>
      </c>
      <c r="G1042" s="29" t="inlineStr">
        <is>
          <t>Kapı Önü Paspası</t>
        </is>
      </c>
      <c r="H1042" s="30" t="inlineStr">
        <is>
          <t>Paspas Yap</t>
        </is>
      </c>
      <c r="I1042" s="31" t="n">
        <v>93.0</v>
      </c>
      <c r="J1042" s="32" t="n">
        <v>2172.0</v>
      </c>
      <c r="K1042" s="33" t="n">
        <v>1937.9</v>
      </c>
      <c r="L1042" s="34" t="n">
        <v>22.0</v>
      </c>
      <c r="M1042" s="35" t="n">
        <v>1487.74</v>
      </c>
      <c r="N1042" s="36" t="inlineStr">
        <is>
          <t>25 Ağustos 08.00-1 Eylül 07.59</t>
        </is>
      </c>
      <c r="O1042" s="37" t="n">
        <v>16.5</v>
      </c>
      <c r="P1042" s="38" t="n">
        <v>1937.9</v>
      </c>
      <c r="Q1042" s="39"/>
      <c r="R1042" s="40" t="n">
        <f>=IF(AND(ISBLANK(Q1042), ISBLANK(U1042)), "", "7 Günlük Fiyat")</f>
        <v>0.0</v>
      </c>
      <c r="S1042" s="41" t="n">
        <f>=IF(OR(Q1042="", R1042=""), "-", IF(ISNUMBER(SEARCH("7 Günlük", R1042)), IF(Q1042&lt;=M1042, O1042, "-"), "-"))</f>
        <v>0.0</v>
      </c>
      <c r="T1042" s="42" t="str">
        <f>=IF(ISBLANK(Q1042), "", "Hayır")</f>
      </c>
      <c r="U1042" s="43"/>
      <c r="V1042" s="44" t="inlineStr">
        <is>
          <t>50461ed1-c2c8-4393-967e-55d58a3e2664</t>
        </is>
      </c>
    </row>
    <row r="1043">
      <c r="A1043" s="23" t="inlineStr">
        <is>
          <t>Toz Ve Nem Alıcı Yolluk Paspas Iş Yeri Paspası Iç Ve Dış Mekan Paspası Rampalı Toz Alıcı Paspas</t>
        </is>
      </c>
      <c r="B1043" s="24" t="inlineStr">
        <is>
          <t>770010692</t>
        </is>
      </c>
      <c r="C1043" s="25" t="inlineStr">
        <is>
          <t>TOZKONTROL-YP2-40x70-SIYAH</t>
        </is>
      </c>
      <c r="D1043" s="26" t="inlineStr">
        <is>
          <t>TOZKONTROL-YP2-40x70-SIYAH</t>
        </is>
      </c>
      <c r="E1043" s="27" t="inlineStr">
        <is>
          <t>40 x 70</t>
        </is>
      </c>
      <c r="F1043" s="28" t="inlineStr">
        <is>
          <t>TOZKONTROL-YP1</t>
        </is>
      </c>
      <c r="G1043" s="29" t="inlineStr">
        <is>
          <t>Kapı Önü Paspası</t>
        </is>
      </c>
      <c r="H1043" s="30" t="inlineStr">
        <is>
          <t>Paspas Yap</t>
        </is>
      </c>
      <c r="I1043" s="31" t="n">
        <v>93.0</v>
      </c>
      <c r="J1043" s="32" t="n">
        <v>799.0</v>
      </c>
      <c r="K1043" s="33" t="n">
        <v>799.0</v>
      </c>
      <c r="L1043" s="34" t="n">
        <v>22.0</v>
      </c>
      <c r="M1043" s="35" t="n">
        <v>638.15</v>
      </c>
      <c r="N1043" s="36" t="inlineStr">
        <is>
          <t>25 Ağustos 08.00-1 Eylül 07.59</t>
        </is>
      </c>
      <c r="O1043" s="37" t="n">
        <v>17.8</v>
      </c>
      <c r="P1043" s="38" t="n">
        <v>799.0</v>
      </c>
      <c r="Q1043" s="39"/>
      <c r="R1043" s="40" t="n">
        <f>=IF(AND(ISBLANK(Q1043), ISBLANK(U1043)), "", "7 Günlük Fiyat")</f>
        <v>0.0</v>
      </c>
      <c r="S1043" s="41" t="n">
        <f>=IF(OR(Q1043="", R1043=""), "-", IF(ISNUMBER(SEARCH("7 Günlük", R1043)), IF(Q1043&lt;=M1043, O1043, "-"), "-"))</f>
        <v>0.0</v>
      </c>
      <c r="T1043" s="42" t="str">
        <f>=IF(ISBLANK(Q1043), "", "Hayır")</f>
      </c>
      <c r="U1043" s="43"/>
      <c r="V1043" s="44" t="inlineStr">
        <is>
          <t>50461ed1-c2c8-4393-967e-55d58a3e2664</t>
        </is>
      </c>
    </row>
    <row r="1044">
      <c r="A1044" s="23" t="inlineStr">
        <is>
          <t>Toz Ve Nem Alıcı Yolluk Paspas Iş Yeri Paspası Iç Ve Dış Mekan Paspası Rampalı Toz Alıcı Paspas</t>
        </is>
      </c>
      <c r="B1044" s="24" t="inlineStr">
        <is>
          <t>770010692</t>
        </is>
      </c>
      <c r="C1044" s="25" t="inlineStr">
        <is>
          <t>TOZKONTROL-YP2-80x1150-SIYAH</t>
        </is>
      </c>
      <c r="D1044" s="26" t="inlineStr">
        <is>
          <t>TOZKONTROL-YP2-80x1150-SIYAH</t>
        </is>
      </c>
      <c r="E1044" s="27" t="inlineStr">
        <is>
          <t>80 x 1150</t>
        </is>
      </c>
      <c r="F1044" s="28" t="inlineStr">
        <is>
          <t>TOZKONTROL-YP1</t>
        </is>
      </c>
      <c r="G1044" s="29" t="inlineStr">
        <is>
          <t>Kapı Önü Paspası</t>
        </is>
      </c>
      <c r="H1044" s="30" t="inlineStr">
        <is>
          <t>Paspas Yap</t>
        </is>
      </c>
      <c r="I1044" s="31" t="n">
        <v>93.0</v>
      </c>
      <c r="J1044" s="32" t="n">
        <v>15482.0</v>
      </c>
      <c r="K1044" s="33" t="n">
        <v>15482.0</v>
      </c>
      <c r="L1044" s="34" t="n">
        <v>22.0</v>
      </c>
      <c r="M1044" s="35" t="n">
        <v>11072.42</v>
      </c>
      <c r="N1044" s="36" t="inlineStr">
        <is>
          <t>25 Ağustos 08.00-1 Eylül 07.59</t>
        </is>
      </c>
      <c r="O1044" s="37" t="n">
        <v>14.8</v>
      </c>
      <c r="P1044" s="38" t="n">
        <v>15482.0</v>
      </c>
      <c r="Q1044" s="39"/>
      <c r="R1044" s="40" t="n">
        <f>=IF(AND(ISBLANK(Q1044), ISBLANK(U1044)), "", "7 Günlük Fiyat")</f>
        <v>0.0</v>
      </c>
      <c r="S1044" s="41" t="n">
        <f>=IF(OR(Q1044="", R1044=""), "-", IF(ISNUMBER(SEARCH("7 Günlük", R1044)), IF(Q1044&lt;=M1044, O1044, "-"), "-"))</f>
        <v>0.0</v>
      </c>
      <c r="T1044" s="42" t="str">
        <f>=IF(ISBLANK(Q1044), "", "Hayır")</f>
      </c>
      <c r="U1044" s="43"/>
      <c r="V1044" s="44" t="inlineStr">
        <is>
          <t>50461ed1-c2c8-4393-967e-55d58a3e2664</t>
        </is>
      </c>
    </row>
    <row r="1045">
      <c r="A1045" s="23" t="inlineStr">
        <is>
          <t>Toz Ve Nem Alıcı Yolluk Paspas Iş Yeri Paspası Iç Ve Dış Mekan Paspası Rampalı Toz Alıcı Paspas</t>
        </is>
      </c>
      <c r="B1045" s="24" t="inlineStr">
        <is>
          <t>770010692</t>
        </is>
      </c>
      <c r="C1045" s="25" t="inlineStr">
        <is>
          <t>TOZKONTROL-YP2-80x1350-SIYAH</t>
        </is>
      </c>
      <c r="D1045" s="26" t="inlineStr">
        <is>
          <t>TOZKONTROL-YP2-80x1350-SIYAH</t>
        </is>
      </c>
      <c r="E1045" s="27" t="inlineStr">
        <is>
          <t>80 x 1350</t>
        </is>
      </c>
      <c r="F1045" s="28" t="inlineStr">
        <is>
          <t>TOZKONTROL-YP1</t>
        </is>
      </c>
      <c r="G1045" s="29" t="inlineStr">
        <is>
          <t>Kapı Önü Paspası</t>
        </is>
      </c>
      <c r="H1045" s="30" t="inlineStr">
        <is>
          <t>Paspas Yap</t>
        </is>
      </c>
      <c r="I1045" s="31" t="n">
        <v>93.0</v>
      </c>
      <c r="J1045" s="32" t="n">
        <v>20833.0</v>
      </c>
      <c r="K1045" s="33" t="n">
        <v>20833.0</v>
      </c>
      <c r="L1045" s="34" t="n">
        <v>22.0</v>
      </c>
      <c r="M1045" s="35" t="n">
        <v>14899.34</v>
      </c>
      <c r="N1045" s="36" t="inlineStr">
        <is>
          <t>25 Ağustos 08.00-1 Eylül 07.59</t>
        </is>
      </c>
      <c r="O1045" s="37" t="n">
        <v>14.8</v>
      </c>
      <c r="P1045" s="38" t="n">
        <v>20833.0</v>
      </c>
      <c r="Q1045" s="39"/>
      <c r="R1045" s="40" t="n">
        <f>=IF(AND(ISBLANK(Q1045), ISBLANK(U1045)), "", "7 Günlük Fiyat")</f>
        <v>0.0</v>
      </c>
      <c r="S1045" s="41" t="n">
        <f>=IF(OR(Q1045="", R1045=""), "-", IF(ISNUMBER(SEARCH("7 Günlük", R1045)), IF(Q1045&lt;=M1045, O1045, "-"), "-"))</f>
        <v>0.0</v>
      </c>
      <c r="T1045" s="42" t="str">
        <f>=IF(ISBLANK(Q1045), "", "Hayır")</f>
      </c>
      <c r="U1045" s="43"/>
      <c r="V1045" s="44" t="inlineStr">
        <is>
          <t>50461ed1-c2c8-4393-967e-55d58a3e2664</t>
        </is>
      </c>
    </row>
    <row r="1046">
      <c r="A1046" s="23" t="inlineStr">
        <is>
          <t>Toz Ve Nem Alıcı Yolluk Paspas Iş Yeri Paspası Iç Ve Dış Mekan Paspası Rampalı Toz Alıcı Paspas</t>
        </is>
      </c>
      <c r="B1046" s="24" t="inlineStr">
        <is>
          <t>770010692</t>
        </is>
      </c>
      <c r="C1046" s="25" t="inlineStr">
        <is>
          <t>TOZKONTROL-YP2-100x150-SIYAH</t>
        </is>
      </c>
      <c r="D1046" s="26" t="inlineStr">
        <is>
          <t>TOZKONTROL-YP2-100x150-SIYAH</t>
        </is>
      </c>
      <c r="E1046" s="27" t="inlineStr">
        <is>
          <t>100 x 150</t>
        </is>
      </c>
      <c r="F1046" s="28" t="inlineStr">
        <is>
          <t>TOZKONTROL-YP1</t>
        </is>
      </c>
      <c r="G1046" s="29" t="inlineStr">
        <is>
          <t>Kapı Önü Paspası</t>
        </is>
      </c>
      <c r="H1046" s="30" t="inlineStr">
        <is>
          <t>Paspas Yap</t>
        </is>
      </c>
      <c r="I1046" s="31" t="n">
        <v>93.0</v>
      </c>
      <c r="J1046" s="32" t="n">
        <v>2980.0</v>
      </c>
      <c r="K1046" s="33" t="n">
        <v>2586.93</v>
      </c>
      <c r="L1046" s="34" t="n">
        <v>22.0</v>
      </c>
      <c r="M1046" s="35" t="n">
        <v>1795.14</v>
      </c>
      <c r="N1046" s="36" t="inlineStr">
        <is>
          <t>25 Ağustos 08.00-1 Eylül 07.59</t>
        </is>
      </c>
      <c r="O1046" s="37" t="n">
        <v>14.5</v>
      </c>
      <c r="P1046" s="38" t="n">
        <v>2586.93</v>
      </c>
      <c r="Q1046" s="39"/>
      <c r="R1046" s="40" t="n">
        <f>=IF(AND(ISBLANK(Q1046), ISBLANK(U1046)), "", "7 Günlük Fiyat")</f>
        <v>0.0</v>
      </c>
      <c r="S1046" s="41" t="n">
        <f>=IF(OR(Q1046="", R1046=""), "-", IF(ISNUMBER(SEARCH("7 Günlük", R1046)), IF(Q1046&lt;=M1046, O1046, "-"), "-"))</f>
        <v>0.0</v>
      </c>
      <c r="T1046" s="42" t="str">
        <f>=IF(ISBLANK(Q1046), "", "Hayır")</f>
      </c>
      <c r="U1046" s="43"/>
      <c r="V1046" s="44" t="inlineStr">
        <is>
          <t>50461ed1-c2c8-4393-967e-55d58a3e2664</t>
        </is>
      </c>
    </row>
    <row r="1047">
      <c r="A1047" s="23" t="inlineStr">
        <is>
          <t>Toz Ve Nem Alıcı Yolluk Paspas Iş Yeri Paspası Iç Ve Dış Mekan Paspası Rampalı Toz Alıcı Paspas</t>
        </is>
      </c>
      <c r="B1047" s="24" t="inlineStr">
        <is>
          <t>770010692</t>
        </is>
      </c>
      <c r="C1047" s="25" t="inlineStr">
        <is>
          <t>TOZKONTROL-YP2-80x450-SIYAH</t>
        </is>
      </c>
      <c r="D1047" s="26" t="inlineStr">
        <is>
          <t>TOZKONTROL-YP2-80x450-SIYAH</t>
        </is>
      </c>
      <c r="E1047" s="27" t="inlineStr">
        <is>
          <t>80 x 450</t>
        </is>
      </c>
      <c r="F1047" s="28" t="inlineStr">
        <is>
          <t>TOZKONTROL-YP1</t>
        </is>
      </c>
      <c r="G1047" s="29" t="inlineStr">
        <is>
          <t>Kapı Önü Paspası</t>
        </is>
      </c>
      <c r="H1047" s="30" t="inlineStr">
        <is>
          <t>Paspas Yap</t>
        </is>
      </c>
      <c r="I1047" s="31" t="n">
        <v>93.0</v>
      </c>
      <c r="J1047" s="32" t="n">
        <v>6557.0</v>
      </c>
      <c r="K1047" s="33" t="n">
        <v>5879.27</v>
      </c>
      <c r="L1047" s="34" t="n">
        <v>22.0</v>
      </c>
      <c r="M1047" s="35" t="n">
        <v>4171.17</v>
      </c>
      <c r="N1047" s="36" t="inlineStr">
        <is>
          <t>25 Ağustos 08.00-1 Eylül 07.59</t>
        </is>
      </c>
      <c r="O1047" s="37" t="n">
        <v>15.1</v>
      </c>
      <c r="P1047" s="38" t="n">
        <v>5879.27</v>
      </c>
      <c r="Q1047" s="39"/>
      <c r="R1047" s="40" t="n">
        <f>=IF(AND(ISBLANK(Q1047), ISBLANK(U1047)), "", "7 Günlük Fiyat")</f>
        <v>0.0</v>
      </c>
      <c r="S1047" s="41" t="n">
        <f>=IF(OR(Q1047="", R1047=""), "-", IF(ISNUMBER(SEARCH("7 Günlük", R1047)), IF(Q1047&lt;=M1047, O1047, "-"), "-"))</f>
        <v>0.0</v>
      </c>
      <c r="T1047" s="42" t="str">
        <f>=IF(ISBLANK(Q1047), "", "Hayır")</f>
      </c>
      <c r="U1047" s="43"/>
      <c r="V1047" s="44" t="inlineStr">
        <is>
          <t>50461ed1-c2c8-4393-967e-55d58a3e2664</t>
        </is>
      </c>
    </row>
    <row r="1048">
      <c r="A1048" s="23" t="inlineStr">
        <is>
          <t>Toz Ve Nem Alıcı Yolluk Paspas Iş Yeri Paspası Iç Ve Dış Mekan Paspası Rampalı Toz Alıcı Paspas</t>
        </is>
      </c>
      <c r="B1048" s="24" t="inlineStr">
        <is>
          <t>770010692</t>
        </is>
      </c>
      <c r="C1048" s="25" t="inlineStr">
        <is>
          <t>TOZKONTROL-YP2-100x900-SIYAH</t>
        </is>
      </c>
      <c r="D1048" s="26" t="inlineStr">
        <is>
          <t>TOZKONTROL-YP2-100x900-SIYAH</t>
        </is>
      </c>
      <c r="E1048" s="27" t="inlineStr">
        <is>
          <t>100 x 900</t>
        </is>
      </c>
      <c r="F1048" s="28" t="inlineStr">
        <is>
          <t>TOZKONTROL-YP1</t>
        </is>
      </c>
      <c r="G1048" s="29" t="inlineStr">
        <is>
          <t>Kapı Önü Paspası</t>
        </is>
      </c>
      <c r="H1048" s="30" t="inlineStr">
        <is>
          <t>Paspas Yap</t>
        </is>
      </c>
      <c r="I1048" s="31" t="n">
        <v>93.0</v>
      </c>
      <c r="J1048" s="32" t="n">
        <v>15170.0</v>
      </c>
      <c r="K1048" s="33" t="n">
        <v>15170.0</v>
      </c>
      <c r="L1048" s="34" t="n">
        <v>22.0</v>
      </c>
      <c r="M1048" s="35" t="n">
        <v>10849.28</v>
      </c>
      <c r="N1048" s="36" t="inlineStr">
        <is>
          <t>25 Ağustos 08.00-1 Eylül 07.59</t>
        </is>
      </c>
      <c r="O1048" s="37" t="n">
        <v>14.8</v>
      </c>
      <c r="P1048" s="38" t="n">
        <v>15170.0</v>
      </c>
      <c r="Q1048" s="39"/>
      <c r="R1048" s="40" t="n">
        <f>=IF(AND(ISBLANK(Q1048), ISBLANK(U1048)), "", "7 Günlük Fiyat")</f>
        <v>0.0</v>
      </c>
      <c r="S1048" s="41" t="n">
        <f>=IF(OR(Q1048="", R1048=""), "-", IF(ISNUMBER(SEARCH("7 Günlük", R1048)), IF(Q1048&lt;=M1048, O1048, "-"), "-"))</f>
        <v>0.0</v>
      </c>
      <c r="T1048" s="42" t="str">
        <f>=IF(ISBLANK(Q1048), "", "Hayır")</f>
      </c>
      <c r="U1048" s="43"/>
      <c r="V1048" s="44" t="inlineStr">
        <is>
          <t>50461ed1-c2c8-4393-967e-55d58a3e2664</t>
        </is>
      </c>
    </row>
    <row r="1049">
      <c r="A1049" s="23" t="inlineStr">
        <is>
          <t>Toz Ve Nem Alıcı Yolluk Paspas Iş Yeri Paspası Iç Ve Dış Mekan Paspası Rampalı Toz Alıcı Paspas</t>
        </is>
      </c>
      <c r="B1049" s="24" t="inlineStr">
        <is>
          <t>770010692</t>
        </is>
      </c>
      <c r="C1049" s="25" t="inlineStr">
        <is>
          <t>TOZKONTROL-YP2-80x600-SIYAH</t>
        </is>
      </c>
      <c r="D1049" s="26" t="inlineStr">
        <is>
          <t>TOZKONTROL-YP2-80x600-SIYAH</t>
        </is>
      </c>
      <c r="E1049" s="27" t="inlineStr">
        <is>
          <t>80 x 600</t>
        </is>
      </c>
      <c r="F1049" s="28" t="inlineStr">
        <is>
          <t>TOZKONTROL-YP1</t>
        </is>
      </c>
      <c r="G1049" s="29" t="inlineStr">
        <is>
          <t>Kapı Önü Paspası</t>
        </is>
      </c>
      <c r="H1049" s="30" t="inlineStr">
        <is>
          <t>Paspas Yap</t>
        </is>
      </c>
      <c r="I1049" s="31" t="n">
        <v>93.0</v>
      </c>
      <c r="J1049" s="32" t="n">
        <v>8238.0</v>
      </c>
      <c r="K1049" s="33" t="n">
        <v>7576.86</v>
      </c>
      <c r="L1049" s="34" t="n">
        <v>22.0</v>
      </c>
      <c r="M1049" s="35" t="n">
        <v>5297.8</v>
      </c>
      <c r="N1049" s="36" t="inlineStr">
        <is>
          <t>25 Ağustos 08.00-1 Eylül 07.59</t>
        </is>
      </c>
      <c r="O1049" s="37" t="n">
        <v>15.2</v>
      </c>
      <c r="P1049" s="38" t="n">
        <v>7576.86</v>
      </c>
      <c r="Q1049" s="39"/>
      <c r="R1049" s="40" t="n">
        <f>=IF(AND(ISBLANK(Q1049), ISBLANK(U1049)), "", "7 Günlük Fiyat")</f>
        <v>0.0</v>
      </c>
      <c r="S1049" s="41" t="n">
        <f>=IF(OR(Q1049="", R1049=""), "-", IF(ISNUMBER(SEARCH("7 Günlük", R1049)), IF(Q1049&lt;=M1049, O1049, "-"), "-"))</f>
        <v>0.0</v>
      </c>
      <c r="T1049" s="42" t="str">
        <f>=IF(ISBLANK(Q1049), "", "Hayır")</f>
      </c>
      <c r="U1049" s="43"/>
      <c r="V1049" s="44" t="inlineStr">
        <is>
          <t>50461ed1-c2c8-4393-967e-55d58a3e2664</t>
        </is>
      </c>
    </row>
    <row r="1050">
      <c r="A1050" s="23" t="inlineStr">
        <is>
          <t>Toz Ve Nem Alıcı Yolluk Paspas Iş Yeri Paspası Iç Ve Dış Mekan Paspası Rampalı Toz Alıcı Paspas</t>
        </is>
      </c>
      <c r="B1050" s="24" t="inlineStr">
        <is>
          <t>770010692</t>
        </is>
      </c>
      <c r="C1050" s="25" t="inlineStr">
        <is>
          <t>TOZKONTROL-YP2-120x950-SIYAH</t>
        </is>
      </c>
      <c r="D1050" s="26" t="inlineStr">
        <is>
          <t>TOZKONTROL-YP2-120x950-SIYAH</t>
        </is>
      </c>
      <c r="E1050" s="27" t="inlineStr">
        <is>
          <t>120 x 950</t>
        </is>
      </c>
      <c r="F1050" s="28" t="inlineStr">
        <is>
          <t>TOZKONTROL-YP1</t>
        </is>
      </c>
      <c r="G1050" s="29" t="inlineStr">
        <is>
          <t>Kapı Önü Paspası</t>
        </is>
      </c>
      <c r="H1050" s="30" t="inlineStr">
        <is>
          <t>Paspas Yap</t>
        </is>
      </c>
      <c r="I1050" s="31" t="n">
        <v>93.0</v>
      </c>
      <c r="J1050" s="32" t="n">
        <v>21482.0</v>
      </c>
      <c r="K1050" s="33" t="n">
        <v>21482.0</v>
      </c>
      <c r="L1050" s="34" t="n">
        <v>22.0</v>
      </c>
      <c r="M1050" s="35" t="n">
        <v>15363.5</v>
      </c>
      <c r="N1050" s="36" t="inlineStr">
        <is>
          <t>25 Ağustos 08.00-1 Eylül 07.59</t>
        </is>
      </c>
      <c r="O1050" s="37" t="n">
        <v>14.8</v>
      </c>
      <c r="P1050" s="38" t="n">
        <v>21482.0</v>
      </c>
      <c r="Q1050" s="39"/>
      <c r="R1050" s="40" t="n">
        <f>=IF(AND(ISBLANK(Q1050), ISBLANK(U1050)), "", "7 Günlük Fiyat")</f>
        <v>0.0</v>
      </c>
      <c r="S1050" s="41" t="n">
        <f>=IF(OR(Q1050="", R1050=""), "-", IF(ISNUMBER(SEARCH("7 Günlük", R1050)), IF(Q1050&lt;=M1050, O1050, "-"), "-"))</f>
        <v>0.0</v>
      </c>
      <c r="T1050" s="42" t="str">
        <f>=IF(ISBLANK(Q1050), "", "Hayır")</f>
      </c>
      <c r="U1050" s="43"/>
      <c r="V1050" s="44" t="inlineStr">
        <is>
          <t>50461ed1-c2c8-4393-967e-55d58a3e2664</t>
        </is>
      </c>
    </row>
    <row r="1051">
      <c r="A1051" s="23" t="inlineStr">
        <is>
          <t>Toz Ve Nem Alıcı Yolluk Paspas Iş Yeri Paspası Iç Ve Dış Mekan Paspası Rampalı Toz Alıcı Paspas</t>
        </is>
      </c>
      <c r="B1051" s="24" t="inlineStr">
        <is>
          <t>770010692</t>
        </is>
      </c>
      <c r="C1051" s="25" t="inlineStr">
        <is>
          <t>TOZKONTROL-YP2-100x1050-SIYAH</t>
        </is>
      </c>
      <c r="D1051" s="26" t="inlineStr">
        <is>
          <t>TOZKONTROL-YP2-100x1050-SIYAH</t>
        </is>
      </c>
      <c r="E1051" s="27" t="inlineStr">
        <is>
          <t>100 x 1050</t>
        </is>
      </c>
      <c r="F1051" s="28" t="inlineStr">
        <is>
          <t>TOZKONTROL-YP1</t>
        </is>
      </c>
      <c r="G1051" s="29" t="inlineStr">
        <is>
          <t>Kapı Önü Paspası</t>
        </is>
      </c>
      <c r="H1051" s="30" t="inlineStr">
        <is>
          <t>Paspas Yap</t>
        </is>
      </c>
      <c r="I1051" s="31" t="n">
        <v>93.0</v>
      </c>
      <c r="J1051" s="32" t="n">
        <v>20223.0</v>
      </c>
      <c r="K1051" s="33" t="n">
        <v>20223.0</v>
      </c>
      <c r="L1051" s="34" t="n">
        <v>22.0</v>
      </c>
      <c r="M1051" s="35" t="n">
        <v>14463.09</v>
      </c>
      <c r="N1051" s="36" t="inlineStr">
        <is>
          <t>25 Ağustos 08.00-1 Eylül 07.59</t>
        </is>
      </c>
      <c r="O1051" s="37" t="n">
        <v>14.8</v>
      </c>
      <c r="P1051" s="38" t="n">
        <v>20223.0</v>
      </c>
      <c r="Q1051" s="39"/>
      <c r="R1051" s="40" t="n">
        <f>=IF(AND(ISBLANK(Q1051), ISBLANK(U1051)), "", "7 Günlük Fiyat")</f>
        <v>0.0</v>
      </c>
      <c r="S1051" s="41" t="n">
        <f>=IF(OR(Q1051="", R1051=""), "-", IF(ISNUMBER(SEARCH("7 Günlük", R1051)), IF(Q1051&lt;=M1051, O1051, "-"), "-"))</f>
        <v>0.0</v>
      </c>
      <c r="T1051" s="42" t="str">
        <f>=IF(ISBLANK(Q1051), "", "Hayır")</f>
      </c>
      <c r="U1051" s="43"/>
      <c r="V1051" s="44" t="inlineStr">
        <is>
          <t>50461ed1-c2c8-4393-967e-55d58a3e2664</t>
        </is>
      </c>
    </row>
    <row r="1052">
      <c r="A1052" s="23" t="inlineStr">
        <is>
          <t>Toz Ve Nem Alıcı Yolluk Paspas Iş Yeri Paspası Iç Ve Dış Mekan Paspası Rampalı Toz Alıcı Paspas</t>
        </is>
      </c>
      <c r="B1052" s="24" t="inlineStr">
        <is>
          <t>770010692</t>
        </is>
      </c>
      <c r="C1052" s="25" t="inlineStr">
        <is>
          <t>TOZKONTROL-YP2-100x700-SIYAH</t>
        </is>
      </c>
      <c r="D1052" s="26" t="inlineStr">
        <is>
          <t>TOZKONTROL-YP2-100x700-SIYAH</t>
        </is>
      </c>
      <c r="E1052" s="27" t="inlineStr">
        <is>
          <t>100 x 700</t>
        </is>
      </c>
      <c r="F1052" s="28" t="inlineStr">
        <is>
          <t>TOZKONTROL-YP1</t>
        </is>
      </c>
      <c r="G1052" s="29" t="inlineStr">
        <is>
          <t>Kapı Önü Paspası</t>
        </is>
      </c>
      <c r="H1052" s="30" t="inlineStr">
        <is>
          <t>Paspas Yap</t>
        </is>
      </c>
      <c r="I1052" s="31" t="n">
        <v>93.0</v>
      </c>
      <c r="J1052" s="32" t="n">
        <v>12074.0</v>
      </c>
      <c r="K1052" s="33" t="n">
        <v>12074.0</v>
      </c>
      <c r="L1052" s="34" t="n">
        <v>22.0</v>
      </c>
      <c r="M1052" s="35" t="n">
        <v>8635.08</v>
      </c>
      <c r="N1052" s="36" t="inlineStr">
        <is>
          <t>25 Ağustos 08.00-1 Eylül 07.59</t>
        </is>
      </c>
      <c r="O1052" s="37" t="n">
        <v>14.8</v>
      </c>
      <c r="P1052" s="38" t="n">
        <v>12074.0</v>
      </c>
      <c r="Q1052" s="39"/>
      <c r="R1052" s="40" t="n">
        <f>=IF(AND(ISBLANK(Q1052), ISBLANK(U1052)), "", "7 Günlük Fiyat")</f>
        <v>0.0</v>
      </c>
      <c r="S1052" s="41" t="n">
        <f>=IF(OR(Q1052="", R1052=""), "-", IF(ISNUMBER(SEARCH("7 Günlük", R1052)), IF(Q1052&lt;=M1052, O1052, "-"), "-"))</f>
        <v>0.0</v>
      </c>
      <c r="T1052" s="42" t="str">
        <f>=IF(ISBLANK(Q1052), "", "Hayır")</f>
      </c>
      <c r="U1052" s="43"/>
      <c r="V1052" s="44" t="inlineStr">
        <is>
          <t>50461ed1-c2c8-4393-967e-55d58a3e2664</t>
        </is>
      </c>
    </row>
    <row r="1053">
      <c r="A1053" s="23" t="inlineStr">
        <is>
          <t>Toz Ve Nem Alıcı Yolluk Paspas Iş Yeri Paspası Iç Ve Dış Mekan Paspası Rampalı Toz Alıcı Paspas</t>
        </is>
      </c>
      <c r="B1053" s="24" t="inlineStr">
        <is>
          <t>770010692</t>
        </is>
      </c>
      <c r="C1053" s="25" t="inlineStr">
        <is>
          <t>TOZKONTROL-YP2-120x650-SIYAH</t>
        </is>
      </c>
      <c r="D1053" s="26" t="inlineStr">
        <is>
          <t>TOZKONTROL-YP2-120x650-SIYAH</t>
        </is>
      </c>
      <c r="E1053" s="27" t="inlineStr">
        <is>
          <t>120 x 650</t>
        </is>
      </c>
      <c r="F1053" s="28" t="inlineStr">
        <is>
          <t>TOZKONTROL-YP1</t>
        </is>
      </c>
      <c r="G1053" s="29" t="inlineStr">
        <is>
          <t>Kapı Önü Paspası</t>
        </is>
      </c>
      <c r="H1053" s="30" t="inlineStr">
        <is>
          <t>Paspas Yap</t>
        </is>
      </c>
      <c r="I1053" s="31" t="n">
        <v>93.0</v>
      </c>
      <c r="J1053" s="32" t="n">
        <v>12997.0</v>
      </c>
      <c r="K1053" s="33" t="n">
        <v>12997.0</v>
      </c>
      <c r="L1053" s="34" t="n">
        <v>22.0</v>
      </c>
      <c r="M1053" s="35" t="n">
        <v>9295.19</v>
      </c>
      <c r="N1053" s="36" t="inlineStr">
        <is>
          <t>25 Ağustos 08.00-1 Eylül 07.59</t>
        </is>
      </c>
      <c r="O1053" s="37" t="n">
        <v>14.8</v>
      </c>
      <c r="P1053" s="38" t="n">
        <v>12997.0</v>
      </c>
      <c r="Q1053" s="39"/>
      <c r="R1053" s="40" t="n">
        <f>=IF(AND(ISBLANK(Q1053), ISBLANK(U1053)), "", "7 Günlük Fiyat")</f>
        <v>0.0</v>
      </c>
      <c r="S1053" s="41" t="n">
        <f>=IF(OR(Q1053="", R1053=""), "-", IF(ISNUMBER(SEARCH("7 Günlük", R1053)), IF(Q1053&lt;=M1053, O1053, "-"), "-"))</f>
        <v>0.0</v>
      </c>
      <c r="T1053" s="42" t="str">
        <f>=IF(ISBLANK(Q1053), "", "Hayır")</f>
      </c>
      <c r="U1053" s="43"/>
      <c r="V1053" s="44" t="inlineStr">
        <is>
          <t>50461ed1-c2c8-4393-967e-55d58a3e2664</t>
        </is>
      </c>
    </row>
    <row r="1054">
      <c r="A1054" s="23" t="inlineStr">
        <is>
          <t>Toz Ve Nem Alıcı Yolluk Paspas Iş Yeri Paspası Iç Ve Dış Mekan Paspası Rampalı Toz Alıcı Paspas</t>
        </is>
      </c>
      <c r="B1054" s="24" t="inlineStr">
        <is>
          <t>770010692</t>
        </is>
      </c>
      <c r="C1054" s="25" t="inlineStr">
        <is>
          <t>TOZKONTROL-YP1-SIYAH-100x1000</t>
        </is>
      </c>
      <c r="D1054" s="26" t="inlineStr">
        <is>
          <t>TOZKONTROL-YP1-SIYAH-100x1000</t>
        </is>
      </c>
      <c r="E1054" s="27" t="inlineStr">
        <is>
          <t>100 x 1000</t>
        </is>
      </c>
      <c r="F1054" s="28" t="inlineStr">
        <is>
          <t>TOZKONTROL-YP1</t>
        </is>
      </c>
      <c r="G1054" s="29" t="inlineStr">
        <is>
          <t>Kapı Önü Paspası</t>
        </is>
      </c>
      <c r="H1054" s="30" t="inlineStr">
        <is>
          <t>Paspas Yap</t>
        </is>
      </c>
      <c r="I1054" s="31" t="n">
        <v>93.0</v>
      </c>
      <c r="J1054" s="32" t="n">
        <v>16738.0</v>
      </c>
      <c r="K1054" s="33" t="n">
        <v>15109.42</v>
      </c>
      <c r="L1054" s="34" t="n">
        <v>22.0</v>
      </c>
      <c r="M1054" s="35" t="n">
        <v>10341.59</v>
      </c>
      <c r="N1054" s="36" t="inlineStr">
        <is>
          <t>25 Ağustos 08.00-1 Eylül 07.59</t>
        </is>
      </c>
      <c r="O1054" s="37" t="n">
        <v>14.6</v>
      </c>
      <c r="P1054" s="38" t="n">
        <v>15109.42</v>
      </c>
      <c r="Q1054" s="39"/>
      <c r="R1054" s="40" t="n">
        <f>=IF(AND(ISBLANK(Q1054), ISBLANK(U1054)), "", "7 Günlük Fiyat")</f>
        <v>0.0</v>
      </c>
      <c r="S1054" s="41" t="n">
        <f>=IF(OR(Q1054="", R1054=""), "-", IF(ISNUMBER(SEARCH("7 Günlük", R1054)), IF(Q1054&lt;=M1054, O1054, "-"), "-"))</f>
        <v>0.0</v>
      </c>
      <c r="T1054" s="42" t="str">
        <f>=IF(ISBLANK(Q1054), "", "Hayır")</f>
      </c>
      <c r="U1054" s="43"/>
      <c r="V1054" s="44" t="inlineStr">
        <is>
          <t>50461ed1-c2c8-4393-967e-55d58a3e2664</t>
        </is>
      </c>
    </row>
    <row r="1055">
      <c r="A1055" s="23" t="inlineStr">
        <is>
          <t>Toz Ve Nem Alıcı Yolluk Paspas Iş Yeri Paspası Iç Ve Dış Mekan Paspası Rampalı Toz Alıcı Paspas</t>
        </is>
      </c>
      <c r="B1055" s="24" t="inlineStr">
        <is>
          <t>770010692</t>
        </is>
      </c>
      <c r="C1055" s="25" t="inlineStr">
        <is>
          <t>TOZKONTROL-YP2-100x850-SIYAH</t>
        </is>
      </c>
      <c r="D1055" s="26" t="inlineStr">
        <is>
          <t>TOZKONTROL-YP2-100x850-SIYAH</t>
        </is>
      </c>
      <c r="E1055" s="27" t="inlineStr">
        <is>
          <t>100 x 850</t>
        </is>
      </c>
      <c r="F1055" s="28" t="inlineStr">
        <is>
          <t>TOZKONTROL-YP1</t>
        </is>
      </c>
      <c r="G1055" s="29" t="inlineStr">
        <is>
          <t>Kapı Önü Paspası</t>
        </is>
      </c>
      <c r="H1055" s="30" t="inlineStr">
        <is>
          <t>Paspas Yap</t>
        </is>
      </c>
      <c r="I1055" s="31" t="n">
        <v>93.0</v>
      </c>
      <c r="J1055" s="32" t="n">
        <v>14478.0</v>
      </c>
      <c r="K1055" s="33" t="n">
        <v>14478.0</v>
      </c>
      <c r="L1055" s="34" t="n">
        <v>22.0</v>
      </c>
      <c r="M1055" s="35" t="n">
        <v>10354.38</v>
      </c>
      <c r="N1055" s="36" t="inlineStr">
        <is>
          <t>25 Ağustos 08.00-1 Eylül 07.59</t>
        </is>
      </c>
      <c r="O1055" s="37" t="n">
        <v>14.8</v>
      </c>
      <c r="P1055" s="38" t="n">
        <v>14478.0</v>
      </c>
      <c r="Q1055" s="39"/>
      <c r="R1055" s="40" t="n">
        <f>=IF(AND(ISBLANK(Q1055), ISBLANK(U1055)), "", "7 Günlük Fiyat")</f>
        <v>0.0</v>
      </c>
      <c r="S1055" s="41" t="n">
        <f>=IF(OR(Q1055="", R1055=""), "-", IF(ISNUMBER(SEARCH("7 Günlük", R1055)), IF(Q1055&lt;=M1055, O1055, "-"), "-"))</f>
        <v>0.0</v>
      </c>
      <c r="T1055" s="42" t="str">
        <f>=IF(ISBLANK(Q1055), "", "Hayır")</f>
      </c>
      <c r="U1055" s="43"/>
      <c r="V1055" s="44" t="inlineStr">
        <is>
          <t>50461ed1-c2c8-4393-967e-55d58a3e2664</t>
        </is>
      </c>
    </row>
    <row r="1056">
      <c r="A1056" s="23" t="inlineStr">
        <is>
          <t>Toz Ve Nem Alıcı Yolluk Paspas Iş Yeri Paspası Iç Ve Dış Mekan Paspası Rampalı Toz Alıcı Paspas</t>
        </is>
      </c>
      <c r="B1056" s="24" t="inlineStr">
        <is>
          <t>770010692</t>
        </is>
      </c>
      <c r="C1056" s="25" t="inlineStr">
        <is>
          <t>TOZKONTROL-YP2-80x350-SIYAH</t>
        </is>
      </c>
      <c r="D1056" s="26" t="inlineStr">
        <is>
          <t>TOZKONTROL-YP2-80x350-SIYAH</t>
        </is>
      </c>
      <c r="E1056" s="27" t="inlineStr">
        <is>
          <t>80 x 350</t>
        </is>
      </c>
      <c r="F1056" s="28" t="inlineStr">
        <is>
          <t>TOZKONTROL-YP1</t>
        </is>
      </c>
      <c r="G1056" s="29" t="inlineStr">
        <is>
          <t>Kapı Önü Paspası</t>
        </is>
      </c>
      <c r="H1056" s="30" t="inlineStr">
        <is>
          <t>Paspas Yap</t>
        </is>
      </c>
      <c r="I1056" s="31" t="n">
        <v>93.0</v>
      </c>
      <c r="J1056" s="32" t="n">
        <v>5078.0</v>
      </c>
      <c r="K1056" s="33" t="n">
        <v>4643.78</v>
      </c>
      <c r="L1056" s="34" t="n">
        <v>22.0</v>
      </c>
      <c r="M1056" s="35" t="n">
        <v>3299.66</v>
      </c>
      <c r="N1056" s="36" t="inlineStr">
        <is>
          <t>25 Ağustos 08.00-1 Eylül 07.59</t>
        </is>
      </c>
      <c r="O1056" s="37" t="n">
        <v>15.4</v>
      </c>
      <c r="P1056" s="38" t="n">
        <v>4643.78</v>
      </c>
      <c r="Q1056" s="39"/>
      <c r="R1056" s="40" t="n">
        <f>=IF(AND(ISBLANK(Q1056), ISBLANK(U1056)), "", "7 Günlük Fiyat")</f>
        <v>0.0</v>
      </c>
      <c r="S1056" s="41" t="n">
        <f>=IF(OR(Q1056="", R1056=""), "-", IF(ISNUMBER(SEARCH("7 Günlük", R1056)), IF(Q1056&lt;=M1056, O1056, "-"), "-"))</f>
        <v>0.0</v>
      </c>
      <c r="T1056" s="42" t="str">
        <f>=IF(ISBLANK(Q1056), "", "Hayır")</f>
      </c>
      <c r="U1056" s="43"/>
      <c r="V1056" s="44" t="inlineStr">
        <is>
          <t>50461ed1-c2c8-4393-967e-55d58a3e2664</t>
        </is>
      </c>
    </row>
    <row r="1057">
      <c r="A1057" s="23" t="inlineStr">
        <is>
          <t>Toz Ve Nem Alıcı Yolluk Paspas Iş Yeri Paspası Iç Ve Dış Mekan Paspası Rampalı Toz Alıcı Paspas</t>
        </is>
      </c>
      <c r="B1057" s="24" t="inlineStr">
        <is>
          <t>770010692</t>
        </is>
      </c>
      <c r="C1057" s="25" t="inlineStr">
        <is>
          <t>TOZKONTROL-YP2-100x1150-SIYAH</t>
        </is>
      </c>
      <c r="D1057" s="26" t="inlineStr">
        <is>
          <t>TOZKONTROL-YP2-100x1150-SIYAH</t>
        </is>
      </c>
      <c r="E1057" s="27" t="inlineStr">
        <is>
          <t>100 x 1150</t>
        </is>
      </c>
      <c r="F1057" s="28" t="inlineStr">
        <is>
          <t>TOZKONTROL-YP1</t>
        </is>
      </c>
      <c r="G1057" s="29" t="inlineStr">
        <is>
          <t>Kapı Önü Paspası</t>
        </is>
      </c>
      <c r="H1057" s="30" t="inlineStr">
        <is>
          <t>Paspas Yap</t>
        </is>
      </c>
      <c r="I1057" s="31" t="n">
        <v>93.0</v>
      </c>
      <c r="J1057" s="32" t="n">
        <v>21700.0</v>
      </c>
      <c r="K1057" s="33" t="n">
        <v>21700.0</v>
      </c>
      <c r="L1057" s="34" t="n">
        <v>22.0</v>
      </c>
      <c r="M1057" s="35" t="n">
        <v>15519.41</v>
      </c>
      <c r="N1057" s="36" t="inlineStr">
        <is>
          <t>25 Ağustos 08.00-1 Eylül 07.59</t>
        </is>
      </c>
      <c r="O1057" s="37" t="n">
        <v>14.8</v>
      </c>
      <c r="P1057" s="38" t="n">
        <v>21700.0</v>
      </c>
      <c r="Q1057" s="39"/>
      <c r="R1057" s="40" t="n">
        <f>=IF(AND(ISBLANK(Q1057), ISBLANK(U1057)), "", "7 Günlük Fiyat")</f>
        <v>0.0</v>
      </c>
      <c r="S1057" s="41" t="n">
        <f>=IF(OR(Q1057="", R1057=""), "-", IF(ISNUMBER(SEARCH("7 Günlük", R1057)), IF(Q1057&lt;=M1057, O1057, "-"), "-"))</f>
        <v>0.0</v>
      </c>
      <c r="T1057" s="42" t="str">
        <f>=IF(ISBLANK(Q1057), "", "Hayır")</f>
      </c>
      <c r="U1057" s="43"/>
      <c r="V1057" s="44" t="inlineStr">
        <is>
          <t>50461ed1-c2c8-4393-967e-55d58a3e2664</t>
        </is>
      </c>
    </row>
    <row r="1058">
      <c r="A1058" s="23" t="inlineStr">
        <is>
          <t>Toz Ve Nem Alıcı Yolluk Paspas Iş Yeri Paspası Iç Ve Dış Mekan Paspası Rampalı Toz Alıcı Paspas</t>
        </is>
      </c>
      <c r="B1058" s="24" t="inlineStr">
        <is>
          <t>770010692</t>
        </is>
      </c>
      <c r="C1058" s="25" t="inlineStr">
        <is>
          <t>TOZKONTROL-YP2-80x1300-SIYAH</t>
        </is>
      </c>
      <c r="D1058" s="26" t="inlineStr">
        <is>
          <t>TOZKONTROL-YP2-80x1300-SIYAH</t>
        </is>
      </c>
      <c r="E1058" s="27" t="inlineStr">
        <is>
          <t>80 x 1300</t>
        </is>
      </c>
      <c r="F1058" s="28" t="inlineStr">
        <is>
          <t>TOZKONTROL-YP1</t>
        </is>
      </c>
      <c r="G1058" s="29" t="inlineStr">
        <is>
          <t>Kapı Önü Paspası</t>
        </is>
      </c>
      <c r="H1058" s="30" t="inlineStr">
        <is>
          <t>Paspas Yap</t>
        </is>
      </c>
      <c r="I1058" s="31" t="n">
        <v>93.0</v>
      </c>
      <c r="J1058" s="32" t="n">
        <v>20205.0</v>
      </c>
      <c r="K1058" s="33" t="n">
        <v>20205.0</v>
      </c>
      <c r="L1058" s="34" t="n">
        <v>22.0</v>
      </c>
      <c r="M1058" s="35" t="n">
        <v>14450.21</v>
      </c>
      <c r="N1058" s="36" t="inlineStr">
        <is>
          <t>25 Ağustos 08.00-1 Eylül 07.59</t>
        </is>
      </c>
      <c r="O1058" s="37" t="n">
        <v>14.8</v>
      </c>
      <c r="P1058" s="38" t="n">
        <v>20205.0</v>
      </c>
      <c r="Q1058" s="39"/>
      <c r="R1058" s="40" t="n">
        <f>=IF(AND(ISBLANK(Q1058), ISBLANK(U1058)), "", "7 Günlük Fiyat")</f>
        <v>0.0</v>
      </c>
      <c r="S1058" s="41" t="n">
        <f>=IF(OR(Q1058="", R1058=""), "-", IF(ISNUMBER(SEARCH("7 Günlük", R1058)), IF(Q1058&lt;=M1058, O1058, "-"), "-"))</f>
        <v>0.0</v>
      </c>
      <c r="T1058" s="42" t="str">
        <f>=IF(ISBLANK(Q1058), "", "Hayır")</f>
      </c>
      <c r="U1058" s="43"/>
      <c r="V1058" s="44" t="inlineStr">
        <is>
          <t>50461ed1-c2c8-4393-967e-55d58a3e2664</t>
        </is>
      </c>
    </row>
    <row r="1059">
      <c r="A1059" s="23" t="inlineStr">
        <is>
          <t>Toz Ve Nem Alıcı Yolluk Paspas Iş Yeri Paspası Iç Ve Dış Mekan Paspası Rampalı Toz Alıcı Paspas</t>
        </is>
      </c>
      <c r="B1059" s="24" t="inlineStr">
        <is>
          <t>770010692</t>
        </is>
      </c>
      <c r="C1059" s="25" t="inlineStr">
        <is>
          <t>TOZKONTROL-YP2-120x750-SIYAH</t>
        </is>
      </c>
      <c r="D1059" s="26" t="inlineStr">
        <is>
          <t>TOZKONTROL-YP2-120x750-SIYAH</t>
        </is>
      </c>
      <c r="E1059" s="27" t="inlineStr">
        <is>
          <t>120 x 750</t>
        </is>
      </c>
      <c r="F1059" s="28" t="inlineStr">
        <is>
          <t>TOZKONTROL-YP1</t>
        </is>
      </c>
      <c r="G1059" s="29" t="inlineStr">
        <is>
          <t>Kapı Önü Paspası</t>
        </is>
      </c>
      <c r="H1059" s="30" t="inlineStr">
        <is>
          <t>Paspas Yap</t>
        </is>
      </c>
      <c r="I1059" s="31" t="n">
        <v>93.0</v>
      </c>
      <c r="J1059" s="32" t="n">
        <v>15170.0</v>
      </c>
      <c r="K1059" s="33" t="n">
        <v>15170.0</v>
      </c>
      <c r="L1059" s="34" t="n">
        <v>22.0</v>
      </c>
      <c r="M1059" s="35" t="n">
        <v>10849.28</v>
      </c>
      <c r="N1059" s="36" t="inlineStr">
        <is>
          <t>25 Ağustos 08.00-1 Eylül 07.59</t>
        </is>
      </c>
      <c r="O1059" s="37" t="n">
        <v>14.8</v>
      </c>
      <c r="P1059" s="38" t="n">
        <v>15170.0</v>
      </c>
      <c r="Q1059" s="39"/>
      <c r="R1059" s="40" t="n">
        <f>=IF(AND(ISBLANK(Q1059), ISBLANK(U1059)), "", "7 Günlük Fiyat")</f>
        <v>0.0</v>
      </c>
      <c r="S1059" s="41" t="n">
        <f>=IF(OR(Q1059="", R1059=""), "-", IF(ISNUMBER(SEARCH("7 Günlük", R1059)), IF(Q1059&lt;=M1059, O1059, "-"), "-"))</f>
        <v>0.0</v>
      </c>
      <c r="T1059" s="42" t="str">
        <f>=IF(ISBLANK(Q1059), "", "Hayır")</f>
      </c>
      <c r="U1059" s="43"/>
      <c r="V1059" s="44" t="inlineStr">
        <is>
          <t>50461ed1-c2c8-4393-967e-55d58a3e2664</t>
        </is>
      </c>
    </row>
    <row r="1060">
      <c r="A1060" s="23" t="inlineStr">
        <is>
          <t>Toz Ve Nem Alıcı Yolluk Paspas Iş Yeri Paspası Iç Ve Dış Mekan Paspası Rampalı Toz Alıcı Paspas</t>
        </is>
      </c>
      <c r="B1060" s="24" t="inlineStr">
        <is>
          <t>770010692</t>
        </is>
      </c>
      <c r="C1060" s="25" t="inlineStr">
        <is>
          <t>TOZKONTROL-YP2-60x100-SIYAH</t>
        </is>
      </c>
      <c r="D1060" s="26" t="inlineStr">
        <is>
          <t>TOZKONTROL-YP2-60x100-SIYAH</t>
        </is>
      </c>
      <c r="E1060" s="27" t="inlineStr">
        <is>
          <t>60 x 100</t>
        </is>
      </c>
      <c r="F1060" s="28" t="inlineStr">
        <is>
          <t>TOZKONTROL-YP1</t>
        </is>
      </c>
      <c r="G1060" s="29" t="inlineStr">
        <is>
          <t>Kapı Önü Paspası</t>
        </is>
      </c>
      <c r="H1060" s="30" t="inlineStr">
        <is>
          <t>Paspas Yap</t>
        </is>
      </c>
      <c r="I1060" s="31" t="n">
        <v>93.0</v>
      </c>
      <c r="J1060" s="32" t="n">
        <v>1599.0</v>
      </c>
      <c r="K1060" s="33" t="n">
        <v>1289.6</v>
      </c>
      <c r="L1060" s="34" t="n">
        <v>22.0</v>
      </c>
      <c r="M1060" s="35" t="n">
        <v>891.58</v>
      </c>
      <c r="N1060" s="36" t="inlineStr">
        <is>
          <t>25 Ağustos 08.00-1 Eylül 07.59</t>
        </is>
      </c>
      <c r="O1060" s="37" t="n">
        <v>13.6</v>
      </c>
      <c r="P1060" s="38" t="n">
        <v>1289.6</v>
      </c>
      <c r="Q1060" s="39"/>
      <c r="R1060" s="40" t="n">
        <f>=IF(AND(ISBLANK(Q1060), ISBLANK(U1060)), "", "7 Günlük Fiyat")</f>
        <v>0.0</v>
      </c>
      <c r="S1060" s="41" t="n">
        <f>=IF(OR(Q1060="", R1060=""), "-", IF(ISNUMBER(SEARCH("7 Günlük", R1060)), IF(Q1060&lt;=M1060, O1060, "-"), "-"))</f>
        <v>0.0</v>
      </c>
      <c r="T1060" s="42" t="str">
        <f>=IF(ISBLANK(Q1060), "", "Hayır")</f>
      </c>
      <c r="U1060" s="43"/>
      <c r="V1060" s="44" t="inlineStr">
        <is>
          <t>50461ed1-c2c8-4393-967e-55d58a3e2664</t>
        </is>
      </c>
    </row>
    <row r="1061">
      <c r="A1061" s="23" t="inlineStr">
        <is>
          <t>Toz Ve Nem Alıcı Yolluk Paspas Iş Yeri Paspası Iç Ve Dış Mekan Paspası Rampalı Toz Alıcı Paspas</t>
        </is>
      </c>
      <c r="B1061" s="24" t="inlineStr">
        <is>
          <t>770010692</t>
        </is>
      </c>
      <c r="C1061" s="25" t="inlineStr">
        <is>
          <t>TOZKONTROL-YP2-100x1500-SIYAH</t>
        </is>
      </c>
      <c r="D1061" s="26" t="inlineStr">
        <is>
          <t>TOZKONTROL-YP2-100x1500-SIYAH</t>
        </is>
      </c>
      <c r="E1061" s="27" t="inlineStr">
        <is>
          <t>100 x 1500</t>
        </is>
      </c>
      <c r="F1061" s="28" t="inlineStr">
        <is>
          <t>TOZKONTROL-YP1</t>
        </is>
      </c>
      <c r="G1061" s="29" t="inlineStr">
        <is>
          <t>Kapı Önü Paspası</t>
        </is>
      </c>
      <c r="H1061" s="30" t="inlineStr">
        <is>
          <t>Paspas Yap</t>
        </is>
      </c>
      <c r="I1061" s="31" t="n">
        <v>93.0</v>
      </c>
      <c r="J1061" s="32" t="n">
        <v>26967.0</v>
      </c>
      <c r="K1061" s="33" t="n">
        <v>26967.0</v>
      </c>
      <c r="L1061" s="34" t="n">
        <v>22.0</v>
      </c>
      <c r="M1061" s="35" t="n">
        <v>19286.26</v>
      </c>
      <c r="N1061" s="36" t="inlineStr">
        <is>
          <t>25 Ağustos 08.00-1 Eylül 07.59</t>
        </is>
      </c>
      <c r="O1061" s="37" t="n">
        <v>14.8</v>
      </c>
      <c r="P1061" s="38" t="n">
        <v>26967.0</v>
      </c>
      <c r="Q1061" s="39"/>
      <c r="R1061" s="40" t="n">
        <f>=IF(AND(ISBLANK(Q1061), ISBLANK(U1061)), "", "7 Günlük Fiyat")</f>
        <v>0.0</v>
      </c>
      <c r="S1061" s="41" t="n">
        <f>=IF(OR(Q1061="", R1061=""), "-", IF(ISNUMBER(SEARCH("7 Günlük", R1061)), IF(Q1061&lt;=M1061, O1061, "-"), "-"))</f>
        <v>0.0</v>
      </c>
      <c r="T1061" s="42" t="str">
        <f>=IF(ISBLANK(Q1061), "", "Hayır")</f>
      </c>
      <c r="U1061" s="43"/>
      <c r="V1061" s="44" t="inlineStr">
        <is>
          <t>50461ed1-c2c8-4393-967e-55d58a3e2664</t>
        </is>
      </c>
    </row>
    <row r="1062">
      <c r="A1062" s="23" t="inlineStr">
        <is>
          <t>Toz Ve Nem Alıcı Yolluk Paspas Iş Yeri Paspası Iç Ve Dış Mekan Paspası Rampalı Toz Alıcı Paspas</t>
        </is>
      </c>
      <c r="B1062" s="24" t="inlineStr">
        <is>
          <t>770010692</t>
        </is>
      </c>
      <c r="C1062" s="25" t="inlineStr">
        <is>
          <t>TOZKONTROL-YP2-80x1250-SIYAH</t>
        </is>
      </c>
      <c r="D1062" s="26" t="inlineStr">
        <is>
          <t>TOZKONTROL-YP2-80x1250-SIYAH</t>
        </is>
      </c>
      <c r="E1062" s="27" t="inlineStr">
        <is>
          <t>80 x 1250</t>
        </is>
      </c>
      <c r="F1062" s="28" t="inlineStr">
        <is>
          <t>TOZKONTROL-YP1</t>
        </is>
      </c>
      <c r="G1062" s="29" t="inlineStr">
        <is>
          <t>Kapı Önü Paspası</t>
        </is>
      </c>
      <c r="H1062" s="30" t="inlineStr">
        <is>
          <t>Paspas Yap</t>
        </is>
      </c>
      <c r="I1062" s="31" t="n">
        <v>93.0</v>
      </c>
      <c r="J1062" s="32" t="n">
        <v>16738.0</v>
      </c>
      <c r="K1062" s="33" t="n">
        <v>16738.0</v>
      </c>
      <c r="L1062" s="34" t="n">
        <v>22.0</v>
      </c>
      <c r="M1062" s="35" t="n">
        <v>11970.68</v>
      </c>
      <c r="N1062" s="36" t="inlineStr">
        <is>
          <t>25 Ağustos 08.00-1 Eylül 07.59</t>
        </is>
      </c>
      <c r="O1062" s="37" t="n">
        <v>14.8</v>
      </c>
      <c r="P1062" s="38" t="n">
        <v>16738.0</v>
      </c>
      <c r="Q1062" s="39"/>
      <c r="R1062" s="40" t="n">
        <f>=IF(AND(ISBLANK(Q1062), ISBLANK(U1062)), "", "7 Günlük Fiyat")</f>
        <v>0.0</v>
      </c>
      <c r="S1062" s="41" t="n">
        <f>=IF(OR(Q1062="", R1062=""), "-", IF(ISNUMBER(SEARCH("7 Günlük", R1062)), IF(Q1062&lt;=M1062, O1062, "-"), "-"))</f>
        <v>0.0</v>
      </c>
      <c r="T1062" s="42" t="str">
        <f>=IF(ISBLANK(Q1062), "", "Hayır")</f>
      </c>
      <c r="U1062" s="43"/>
      <c r="V1062" s="44" t="inlineStr">
        <is>
          <t>50461ed1-c2c8-4393-967e-55d58a3e2664</t>
        </is>
      </c>
    </row>
    <row r="1063">
      <c r="A1063" s="23" t="inlineStr">
        <is>
          <t>Toz Ve Nem Alıcı Yolluk Paspas Iş Yeri Paspası Iç Ve Dış Mekan Paspası Rampalı Toz Alıcı Paspas</t>
        </is>
      </c>
      <c r="B1063" s="24" t="inlineStr">
        <is>
          <t>770010692</t>
        </is>
      </c>
      <c r="C1063" s="25" t="inlineStr">
        <is>
          <t>TOZKONTROL-YP2-120x1200-SIYAH</t>
        </is>
      </c>
      <c r="D1063" s="26" t="inlineStr">
        <is>
          <t>TOZKONTROL-YP2-120x1200-SIYAH</t>
        </is>
      </c>
      <c r="E1063" s="27" t="inlineStr">
        <is>
          <t>120 x 1200</t>
        </is>
      </c>
      <c r="F1063" s="28" t="inlineStr">
        <is>
          <t>TOZKONTROL-YP1</t>
        </is>
      </c>
      <c r="G1063" s="29" t="inlineStr">
        <is>
          <t>Kapı Önü Paspası</t>
        </is>
      </c>
      <c r="H1063" s="30" t="inlineStr">
        <is>
          <t>Paspas Yap</t>
        </is>
      </c>
      <c r="I1063" s="31" t="n">
        <v>93.0</v>
      </c>
      <c r="J1063" s="32" t="n">
        <v>25926.0</v>
      </c>
      <c r="K1063" s="33" t="n">
        <v>25926.0</v>
      </c>
      <c r="L1063" s="34" t="n">
        <v>22.0</v>
      </c>
      <c r="M1063" s="35" t="n">
        <v>18541.76</v>
      </c>
      <c r="N1063" s="36" t="inlineStr">
        <is>
          <t>25 Ağustos 08.00-1 Eylül 07.59</t>
        </is>
      </c>
      <c r="O1063" s="37" t="n">
        <v>14.8</v>
      </c>
      <c r="P1063" s="38" t="n">
        <v>25926.0</v>
      </c>
      <c r="Q1063" s="39"/>
      <c r="R1063" s="40" t="n">
        <f>=IF(AND(ISBLANK(Q1063), ISBLANK(U1063)), "", "7 Günlük Fiyat")</f>
        <v>0.0</v>
      </c>
      <c r="S1063" s="41" t="n">
        <f>=IF(OR(Q1063="", R1063=""), "-", IF(ISNUMBER(SEARCH("7 Günlük", R1063)), IF(Q1063&lt;=M1063, O1063, "-"), "-"))</f>
        <v>0.0</v>
      </c>
      <c r="T1063" s="42" t="str">
        <f>=IF(ISBLANK(Q1063), "", "Hayır")</f>
      </c>
      <c r="U1063" s="43"/>
      <c r="V1063" s="44" t="inlineStr">
        <is>
          <t>50461ed1-c2c8-4393-967e-55d58a3e2664</t>
        </is>
      </c>
    </row>
    <row r="1064">
      <c r="A1064" s="23" t="inlineStr">
        <is>
          <t>Toz Ve Nem Alıcı Yolluk Paspas Iş Yeri Paspası Iç Ve Dış Mekan Paspası Rampalı Toz Alıcı Paspas</t>
        </is>
      </c>
      <c r="B1064" s="24" t="inlineStr">
        <is>
          <t>770010692</t>
        </is>
      </c>
      <c r="C1064" s="25" t="inlineStr">
        <is>
          <t>TOZKONTROL-YP2-80x500-SIYAH</t>
        </is>
      </c>
      <c r="D1064" s="26" t="inlineStr">
        <is>
          <t>TOZKONTROL-YP2-80x500-SIYAH</t>
        </is>
      </c>
      <c r="E1064" s="27" t="inlineStr">
        <is>
          <t>80 x 500</t>
        </is>
      </c>
      <c r="F1064" s="28" t="inlineStr">
        <is>
          <t>TOZKONTROL-YP1</t>
        </is>
      </c>
      <c r="G1064" s="29" t="inlineStr">
        <is>
          <t>Kapı Önü Paspası</t>
        </is>
      </c>
      <c r="H1064" s="30" t="inlineStr">
        <is>
          <t>Paspas Yap</t>
        </is>
      </c>
      <c r="I1064" s="31" t="n">
        <v>93.0</v>
      </c>
      <c r="J1064" s="32" t="n">
        <v>7139.0</v>
      </c>
      <c r="K1064" s="33" t="n">
        <v>6562.5</v>
      </c>
      <c r="L1064" s="34" t="n">
        <v>22.0</v>
      </c>
      <c r="M1064" s="35" t="n">
        <v>4632.5</v>
      </c>
      <c r="N1064" s="36" t="inlineStr">
        <is>
          <t>25 Ağustos 08.00-1 Eylül 07.59</t>
        </is>
      </c>
      <c r="O1064" s="37" t="n">
        <v>15.3</v>
      </c>
      <c r="P1064" s="38" t="n">
        <v>6562.5</v>
      </c>
      <c r="Q1064" s="39"/>
      <c r="R1064" s="40" t="n">
        <f>=IF(AND(ISBLANK(Q1064), ISBLANK(U1064)), "", "7 Günlük Fiyat")</f>
        <v>0.0</v>
      </c>
      <c r="S1064" s="41" t="n">
        <f>=IF(OR(Q1064="", R1064=""), "-", IF(ISNUMBER(SEARCH("7 Günlük", R1064)), IF(Q1064&lt;=M1064, O1064, "-"), "-"))</f>
        <v>0.0</v>
      </c>
      <c r="T1064" s="42" t="str">
        <f>=IF(ISBLANK(Q1064), "", "Hayır")</f>
      </c>
      <c r="U1064" s="43"/>
      <c r="V1064" s="44" t="inlineStr">
        <is>
          <t>50461ed1-c2c8-4393-967e-55d58a3e2664</t>
        </is>
      </c>
    </row>
    <row r="1065">
      <c r="A1065" s="23" t="inlineStr">
        <is>
          <t>Toz Ve Nem Alıcı Yolluk Paspas Iş Yeri Paspası Iç Ve Dış Mekan Paspası Rampalı Toz Alıcı Paspas</t>
        </is>
      </c>
      <c r="B1065" s="24" t="inlineStr">
        <is>
          <t>770010692</t>
        </is>
      </c>
      <c r="C1065" s="25" t="inlineStr">
        <is>
          <t>TOZKONTROL-YP2-120x1150-SIYAH</t>
        </is>
      </c>
      <c r="D1065" s="26" t="inlineStr">
        <is>
          <t>TOZKONTROL-YP2-120x1150-SIYAH</t>
        </is>
      </c>
      <c r="E1065" s="27" t="inlineStr">
        <is>
          <t>120 x 1150</t>
        </is>
      </c>
      <c r="F1065" s="28" t="inlineStr">
        <is>
          <t>TOZKONTROL-YP1</t>
        </is>
      </c>
      <c r="G1065" s="29" t="inlineStr">
        <is>
          <t>Kapı Önü Paspası</t>
        </is>
      </c>
      <c r="H1065" s="30" t="inlineStr">
        <is>
          <t>Paspas Yap</t>
        </is>
      </c>
      <c r="I1065" s="31" t="n">
        <v>93.0</v>
      </c>
      <c r="J1065" s="32" t="n">
        <v>24976.0</v>
      </c>
      <c r="K1065" s="33" t="n">
        <v>24976.0</v>
      </c>
      <c r="L1065" s="34" t="n">
        <v>22.0</v>
      </c>
      <c r="M1065" s="35" t="n">
        <v>17862.34</v>
      </c>
      <c r="N1065" s="36" t="inlineStr">
        <is>
          <t>25 Ağustos 08.00-1 Eylül 07.59</t>
        </is>
      </c>
      <c r="O1065" s="37" t="n">
        <v>14.8</v>
      </c>
      <c r="P1065" s="38" t="n">
        <v>24976.0</v>
      </c>
      <c r="Q1065" s="39"/>
      <c r="R1065" s="40" t="n">
        <f>=IF(AND(ISBLANK(Q1065), ISBLANK(U1065)), "", "7 Günlük Fiyat")</f>
        <v>0.0</v>
      </c>
      <c r="S1065" s="41" t="n">
        <f>=IF(OR(Q1065="", R1065=""), "-", IF(ISNUMBER(SEARCH("7 Günlük", R1065)), IF(Q1065&lt;=M1065, O1065, "-"), "-"))</f>
        <v>0.0</v>
      </c>
      <c r="T1065" s="42" t="str">
        <f>=IF(ISBLANK(Q1065), "", "Hayır")</f>
      </c>
      <c r="U1065" s="43"/>
      <c r="V1065" s="44" t="inlineStr">
        <is>
          <t>50461ed1-c2c8-4393-967e-55d58a3e2664</t>
        </is>
      </c>
    </row>
    <row r="1066">
      <c r="A1066" s="23" t="inlineStr">
        <is>
          <t>Toz Ve Nem Alıcı Yolluk Paspas Iş Yeri Paspası Iç Ve Dış Mekan Paspası Rampalı Toz Alıcı Paspas</t>
        </is>
      </c>
      <c r="B1066" s="24" t="inlineStr">
        <is>
          <t>770010692</t>
        </is>
      </c>
      <c r="C1066" s="25" t="inlineStr">
        <is>
          <t>TOZKONTROL-YP2-100x750-SIYAH</t>
        </is>
      </c>
      <c r="D1066" s="26" t="inlineStr">
        <is>
          <t>TOZKONTROL-YP2-100x750-SIYAH</t>
        </is>
      </c>
      <c r="E1066" s="27" t="inlineStr">
        <is>
          <t>100 x 750</t>
        </is>
      </c>
      <c r="F1066" s="28" t="inlineStr">
        <is>
          <t>TOZKONTROL-YP1</t>
        </is>
      </c>
      <c r="G1066" s="29" t="inlineStr">
        <is>
          <t>Kapı Önü Paspası</t>
        </is>
      </c>
      <c r="H1066" s="30" t="inlineStr">
        <is>
          <t>Paspas Yap</t>
        </is>
      </c>
      <c r="I1066" s="31" t="n">
        <v>93.0</v>
      </c>
      <c r="J1066" s="32" t="n">
        <v>12726.0</v>
      </c>
      <c r="K1066" s="33" t="n">
        <v>12726.0</v>
      </c>
      <c r="L1066" s="34" t="n">
        <v>22.0</v>
      </c>
      <c r="M1066" s="35" t="n">
        <v>9101.38</v>
      </c>
      <c r="N1066" s="36" t="inlineStr">
        <is>
          <t>25 Ağustos 08.00-1 Eylül 07.59</t>
        </is>
      </c>
      <c r="O1066" s="37" t="n">
        <v>14.8</v>
      </c>
      <c r="P1066" s="38" t="n">
        <v>12726.0</v>
      </c>
      <c r="Q1066" s="39"/>
      <c r="R1066" s="40" t="n">
        <f>=IF(AND(ISBLANK(Q1066), ISBLANK(U1066)), "", "7 Günlük Fiyat")</f>
        <v>0.0</v>
      </c>
      <c r="S1066" s="41" t="n">
        <f>=IF(OR(Q1066="", R1066=""), "-", IF(ISNUMBER(SEARCH("7 Günlük", R1066)), IF(Q1066&lt;=M1066, O1066, "-"), "-"))</f>
        <v>0.0</v>
      </c>
      <c r="T1066" s="42" t="str">
        <f>=IF(ISBLANK(Q1066), "", "Hayır")</f>
      </c>
      <c r="U1066" s="43"/>
      <c r="V1066" s="44" t="inlineStr">
        <is>
          <t>50461ed1-c2c8-4393-967e-55d58a3e2664</t>
        </is>
      </c>
    </row>
    <row r="1067">
      <c r="A1067" s="23" t="inlineStr">
        <is>
          <t>Toz Ve Nem Alıcı Yolluk Paspas Iş Yeri Paspası Iç Ve Dış Mekan Paspası Rampalı Toz Alıcı Paspas</t>
        </is>
      </c>
      <c r="B1067" s="24" t="inlineStr">
        <is>
          <t>770010692</t>
        </is>
      </c>
      <c r="C1067" s="25" t="inlineStr">
        <is>
          <t>TOZKONTROL-YP2-50x100-SIYAH</t>
        </is>
      </c>
      <c r="D1067" s="26" t="inlineStr">
        <is>
          <t>TOZKONTROL-YP2-50x100-SIYAH</t>
        </is>
      </c>
      <c r="E1067" s="27" t="inlineStr">
        <is>
          <t>50 x 100</t>
        </is>
      </c>
      <c r="F1067" s="28" t="inlineStr">
        <is>
          <t>TOZKONTROL-YP1</t>
        </is>
      </c>
      <c r="G1067" s="29" t="inlineStr">
        <is>
          <t>Kapı Önü Paspası</t>
        </is>
      </c>
      <c r="H1067" s="30" t="inlineStr">
        <is>
          <t>Paspas Yap</t>
        </is>
      </c>
      <c r="I1067" s="31" t="n">
        <v>93.0</v>
      </c>
      <c r="J1067" s="32" t="n">
        <v>1264.0</v>
      </c>
      <c r="K1067" s="33" t="n">
        <v>1088.85</v>
      </c>
      <c r="L1067" s="34" t="n">
        <v>22.0</v>
      </c>
      <c r="M1067" s="35" t="n">
        <v>881.02</v>
      </c>
      <c r="N1067" s="36" t="inlineStr">
        <is>
          <t>25 Ağustos 08.00-1 Eylül 07.59</t>
        </is>
      </c>
      <c r="O1067" s="37" t="n">
        <v>17.4</v>
      </c>
      <c r="P1067" s="38" t="n">
        <v>1088.85</v>
      </c>
      <c r="Q1067" s="39"/>
      <c r="R1067" s="40" t="n">
        <f>=IF(AND(ISBLANK(Q1067), ISBLANK(U1067)), "", "7 Günlük Fiyat")</f>
        <v>0.0</v>
      </c>
      <c r="S1067" s="41" t="n">
        <f>=IF(OR(Q1067="", R1067=""), "-", IF(ISNUMBER(SEARCH("7 Günlük", R1067)), IF(Q1067&lt;=M1067, O1067, "-"), "-"))</f>
        <v>0.0</v>
      </c>
      <c r="T1067" s="42" t="str">
        <f>=IF(ISBLANK(Q1067), "", "Hayır")</f>
      </c>
      <c r="U1067" s="43"/>
      <c r="V1067" s="44" t="inlineStr">
        <is>
          <t>50461ed1-c2c8-4393-967e-55d58a3e2664</t>
        </is>
      </c>
    </row>
    <row r="1068">
      <c r="A1068" s="23" t="inlineStr">
        <is>
          <t>Toz Ve Nem Alıcı Yolluk Paspas Iş Yeri Paspası Iç Ve Dış Mekan Paspası Rampalı Toz Alıcı Paspas</t>
        </is>
      </c>
      <c r="B1068" s="24" t="inlineStr">
        <is>
          <t>770010692</t>
        </is>
      </c>
      <c r="C1068" s="25" t="inlineStr">
        <is>
          <t>TOZKONTROL-YP2-120x600-SIYAH</t>
        </is>
      </c>
      <c r="D1068" s="26" t="inlineStr">
        <is>
          <t>TOZKONTROL-YP2-120x600-SIYAH</t>
        </is>
      </c>
      <c r="E1068" s="27" t="inlineStr">
        <is>
          <t>120 x 600</t>
        </is>
      </c>
      <c r="F1068" s="28" t="inlineStr">
        <is>
          <t>TOZKONTROL-YP1</t>
        </is>
      </c>
      <c r="G1068" s="29" t="inlineStr">
        <is>
          <t>Kapı Önü Paspası</t>
        </is>
      </c>
      <c r="H1068" s="30" t="inlineStr">
        <is>
          <t>Paspas Yap</t>
        </is>
      </c>
      <c r="I1068" s="31" t="n">
        <v>93.0</v>
      </c>
      <c r="J1068" s="32" t="n">
        <v>12542.0</v>
      </c>
      <c r="K1068" s="33" t="n">
        <v>12542.0</v>
      </c>
      <c r="L1068" s="34" t="n">
        <v>22.0</v>
      </c>
      <c r="M1068" s="35" t="n">
        <v>8969.79</v>
      </c>
      <c r="N1068" s="36" t="inlineStr">
        <is>
          <t>25 Ağustos 08.00-1 Eylül 07.59</t>
        </is>
      </c>
      <c r="O1068" s="37" t="n">
        <v>14.8</v>
      </c>
      <c r="P1068" s="38" t="n">
        <v>12542.0</v>
      </c>
      <c r="Q1068" s="39"/>
      <c r="R1068" s="40" t="n">
        <f>=IF(AND(ISBLANK(Q1068), ISBLANK(U1068)), "", "7 Günlük Fiyat")</f>
        <v>0.0</v>
      </c>
      <c r="S1068" s="41" t="n">
        <f>=IF(OR(Q1068="", R1068=""), "-", IF(ISNUMBER(SEARCH("7 Günlük", R1068)), IF(Q1068&lt;=M1068, O1068, "-"), "-"))</f>
        <v>0.0</v>
      </c>
      <c r="T1068" s="42" t="str">
        <f>=IF(ISBLANK(Q1068), "", "Hayır")</f>
      </c>
      <c r="U1068" s="43"/>
      <c r="V1068" s="44" t="inlineStr">
        <is>
          <t>50461ed1-c2c8-4393-967e-55d58a3e2664</t>
        </is>
      </c>
    </row>
    <row r="1069">
      <c r="A1069" s="23" t="inlineStr">
        <is>
          <t>Toz Ve Nem Alıcı Yolluk Paspas Iş Yeri Paspası Iç Ve Dış Mekan Paspası Rampalı Toz Alıcı Paspas</t>
        </is>
      </c>
      <c r="B1069" s="24" t="inlineStr">
        <is>
          <t>770010692</t>
        </is>
      </c>
      <c r="C1069" s="25" t="inlineStr">
        <is>
          <t>TOZKONTROL-YP2-120x1300-SIYAH</t>
        </is>
      </c>
      <c r="D1069" s="26" t="inlineStr">
        <is>
          <t>TOZKONTROL-YP2-120x1300-SIYAH</t>
        </is>
      </c>
      <c r="E1069" s="27" t="inlineStr">
        <is>
          <t>120 x 1300</t>
        </is>
      </c>
      <c r="F1069" s="28" t="inlineStr">
        <is>
          <t>TOZKONTROL-YP1</t>
        </is>
      </c>
      <c r="G1069" s="29" t="inlineStr">
        <is>
          <t>Kapı Önü Paspası</t>
        </is>
      </c>
      <c r="H1069" s="30" t="inlineStr">
        <is>
          <t>Paspas Yap</t>
        </is>
      </c>
      <c r="I1069" s="31" t="n">
        <v>93.0</v>
      </c>
      <c r="J1069" s="32" t="n">
        <v>27622.0</v>
      </c>
      <c r="K1069" s="33" t="n">
        <v>27622.0</v>
      </c>
      <c r="L1069" s="34" t="n">
        <v>22.0</v>
      </c>
      <c r="M1069" s="35" t="n">
        <v>19754.7</v>
      </c>
      <c r="N1069" s="36" t="inlineStr">
        <is>
          <t>25 Ağustos 08.00-1 Eylül 07.59</t>
        </is>
      </c>
      <c r="O1069" s="37" t="n">
        <v>14.8</v>
      </c>
      <c r="P1069" s="38" t="n">
        <v>27622.0</v>
      </c>
      <c r="Q1069" s="39"/>
      <c r="R1069" s="40" t="n">
        <f>=IF(AND(ISBLANK(Q1069), ISBLANK(U1069)), "", "7 Günlük Fiyat")</f>
        <v>0.0</v>
      </c>
      <c r="S1069" s="41" t="n">
        <f>=IF(OR(Q1069="", R1069=""), "-", IF(ISNUMBER(SEARCH("7 Günlük", R1069)), IF(Q1069&lt;=M1069, O1069, "-"), "-"))</f>
        <v>0.0</v>
      </c>
      <c r="T1069" s="42" t="str">
        <f>=IF(ISBLANK(Q1069), "", "Hayır")</f>
      </c>
      <c r="U1069" s="43"/>
      <c r="V1069" s="44" t="inlineStr">
        <is>
          <t>50461ed1-c2c8-4393-967e-55d58a3e2664</t>
        </is>
      </c>
    </row>
    <row r="1070">
      <c r="A1070" s="23" t="inlineStr">
        <is>
          <t>Toz Ve Nem Alıcı Yolluk Paspas Iş Yeri Paspası Iç Ve Dış Mekan Paspası Rampalı Toz Alıcı Paspas</t>
        </is>
      </c>
      <c r="B1070" s="24" t="inlineStr">
        <is>
          <t>770010692</t>
        </is>
      </c>
      <c r="C1070" s="25" t="inlineStr">
        <is>
          <t>TOZKONTROL-YP2-80x900-SIYAH</t>
        </is>
      </c>
      <c r="D1070" s="26" t="inlineStr">
        <is>
          <t>TOZKONTROL-YP2-80x900-SIYAH</t>
        </is>
      </c>
      <c r="E1070" s="27" t="inlineStr">
        <is>
          <t>80 x 900</t>
        </is>
      </c>
      <c r="F1070" s="28" t="inlineStr">
        <is>
          <t>TOZKONTROL-YP1</t>
        </is>
      </c>
      <c r="G1070" s="29" t="inlineStr">
        <is>
          <t>Kapı Önü Paspası</t>
        </is>
      </c>
      <c r="H1070" s="30" t="inlineStr">
        <is>
          <t>Paspas Yap</t>
        </is>
      </c>
      <c r="I1070" s="31" t="n">
        <v>93.0</v>
      </c>
      <c r="J1070" s="32" t="n">
        <v>12542.0</v>
      </c>
      <c r="K1070" s="33" t="n">
        <v>12542.0</v>
      </c>
      <c r="L1070" s="34" t="n">
        <v>22.0</v>
      </c>
      <c r="M1070" s="35" t="n">
        <v>8969.79</v>
      </c>
      <c r="N1070" s="36" t="inlineStr">
        <is>
          <t>25 Ağustos 08.00-1 Eylül 07.59</t>
        </is>
      </c>
      <c r="O1070" s="37" t="n">
        <v>14.8</v>
      </c>
      <c r="P1070" s="38" t="n">
        <v>12542.0</v>
      </c>
      <c r="Q1070" s="39"/>
      <c r="R1070" s="40" t="n">
        <f>=IF(AND(ISBLANK(Q1070), ISBLANK(U1070)), "", "7 Günlük Fiyat")</f>
        <v>0.0</v>
      </c>
      <c r="S1070" s="41" t="n">
        <f>=IF(OR(Q1070="", R1070=""), "-", IF(ISNUMBER(SEARCH("7 Günlük", R1070)), IF(Q1070&lt;=M1070, O1070, "-"), "-"))</f>
        <v>0.0</v>
      </c>
      <c r="T1070" s="42" t="str">
        <f>=IF(ISBLANK(Q1070), "", "Hayır")</f>
      </c>
      <c r="U1070" s="43"/>
      <c r="V1070" s="44" t="inlineStr">
        <is>
          <t>50461ed1-c2c8-4393-967e-55d58a3e2664</t>
        </is>
      </c>
    </row>
    <row r="1071">
      <c r="A1071" s="23" t="inlineStr">
        <is>
          <t>Toz Ve Nem Alıcı Yolluk Paspas Iş Yeri Paspası Iç Ve Dış Mekan Paspası Rampalı Toz Alıcı Paspas</t>
        </is>
      </c>
      <c r="B1071" s="24" t="inlineStr">
        <is>
          <t>770010692</t>
        </is>
      </c>
      <c r="C1071" s="25" t="inlineStr">
        <is>
          <t>TOZKONTROL-YP2-120x1500-SIYAH</t>
        </is>
      </c>
      <c r="D1071" s="26" t="inlineStr">
        <is>
          <t>TOZKONTROL-YP2-120x1500-SIYAH</t>
        </is>
      </c>
      <c r="E1071" s="27" t="inlineStr">
        <is>
          <t>120 x 1500</t>
        </is>
      </c>
      <c r="F1071" s="28" t="inlineStr">
        <is>
          <t>TOZKONTROL-YP1</t>
        </is>
      </c>
      <c r="G1071" s="29" t="inlineStr">
        <is>
          <t>Kapı Önü Paspası</t>
        </is>
      </c>
      <c r="H1071" s="30" t="inlineStr">
        <is>
          <t>Paspas Yap</t>
        </is>
      </c>
      <c r="I1071" s="31" t="n">
        <v>93.0</v>
      </c>
      <c r="J1071" s="32" t="n">
        <v>31217.0</v>
      </c>
      <c r="K1071" s="33" t="n">
        <v>31217.0</v>
      </c>
      <c r="L1071" s="34" t="n">
        <v>22.0</v>
      </c>
      <c r="M1071" s="35" t="n">
        <v>22325.77</v>
      </c>
      <c r="N1071" s="36" t="inlineStr">
        <is>
          <t>25 Ağustos 08.00-1 Eylül 07.59</t>
        </is>
      </c>
      <c r="O1071" s="37" t="n">
        <v>14.8</v>
      </c>
      <c r="P1071" s="38" t="n">
        <v>31217.0</v>
      </c>
      <c r="Q1071" s="39"/>
      <c r="R1071" s="40" t="n">
        <f>=IF(AND(ISBLANK(Q1071), ISBLANK(U1071)), "", "7 Günlük Fiyat")</f>
        <v>0.0</v>
      </c>
      <c r="S1071" s="41" t="n">
        <f>=IF(OR(Q1071="", R1071=""), "-", IF(ISNUMBER(SEARCH("7 Günlük", R1071)), IF(Q1071&lt;=M1071, O1071, "-"), "-"))</f>
        <v>0.0</v>
      </c>
      <c r="T1071" s="42" t="str">
        <f>=IF(ISBLANK(Q1071), "", "Hayır")</f>
      </c>
      <c r="U1071" s="43"/>
      <c r="V1071" s="44" t="inlineStr">
        <is>
          <t>50461ed1-c2c8-4393-967e-55d58a3e2664</t>
        </is>
      </c>
    </row>
    <row r="1072">
      <c r="A1072" s="23" t="inlineStr">
        <is>
          <t>Toz Ve Nem Alıcı Yolluk Paspas Iş Yeri Paspası Iç Ve Dış Mekan Paspası Rampalı Toz Alıcı Paspas</t>
        </is>
      </c>
      <c r="B1072" s="24" t="inlineStr">
        <is>
          <t>770010692</t>
        </is>
      </c>
      <c r="C1072" s="25" t="inlineStr">
        <is>
          <t>TOZKONTROL-YP2-120x1450-SIYAH</t>
        </is>
      </c>
      <c r="D1072" s="26" t="inlineStr">
        <is>
          <t>TOZKONTROL-YP2-120x1450-SIYAH</t>
        </is>
      </c>
      <c r="E1072" s="27" t="inlineStr">
        <is>
          <t>120 x 1450</t>
        </is>
      </c>
      <c r="F1072" s="28" t="inlineStr">
        <is>
          <t>TOZKONTROL-YP1</t>
        </is>
      </c>
      <c r="G1072" s="29" t="inlineStr">
        <is>
          <t>Kapı Önü Paspası</t>
        </is>
      </c>
      <c r="H1072" s="30" t="inlineStr">
        <is>
          <t>Paspas Yap</t>
        </is>
      </c>
      <c r="I1072" s="31" t="n">
        <v>93.0</v>
      </c>
      <c r="J1072" s="32" t="n">
        <v>30370.0</v>
      </c>
      <c r="K1072" s="33" t="n">
        <v>30370.0</v>
      </c>
      <c r="L1072" s="34" t="n">
        <v>22.0</v>
      </c>
      <c r="M1072" s="35" t="n">
        <v>21720.02</v>
      </c>
      <c r="N1072" s="36" t="inlineStr">
        <is>
          <t>25 Ağustos 08.00-1 Eylül 07.59</t>
        </is>
      </c>
      <c r="O1072" s="37" t="n">
        <v>14.8</v>
      </c>
      <c r="P1072" s="38" t="n">
        <v>30370.0</v>
      </c>
      <c r="Q1072" s="39"/>
      <c r="R1072" s="40" t="n">
        <f>=IF(AND(ISBLANK(Q1072), ISBLANK(U1072)), "", "7 Günlük Fiyat")</f>
        <v>0.0</v>
      </c>
      <c r="S1072" s="41" t="n">
        <f>=IF(OR(Q1072="", R1072=""), "-", IF(ISNUMBER(SEARCH("7 Günlük", R1072)), IF(Q1072&lt;=M1072, O1072, "-"), "-"))</f>
        <v>0.0</v>
      </c>
      <c r="T1072" s="42" t="str">
        <f>=IF(ISBLANK(Q1072), "", "Hayır")</f>
      </c>
      <c r="U1072" s="43"/>
      <c r="V1072" s="44" t="inlineStr">
        <is>
          <t>50461ed1-c2c8-4393-967e-55d58a3e2664</t>
        </is>
      </c>
    </row>
    <row r="1073">
      <c r="A1073" s="23" t="inlineStr">
        <is>
          <t>Toz Ve Nem Alıcı Yolluk Paspas Iş Yeri Paspası Iç Ve Dış Mekan Paspası Rampalı Toz Alıcı Paspas</t>
        </is>
      </c>
      <c r="B1073" s="24" t="inlineStr">
        <is>
          <t>770010692</t>
        </is>
      </c>
      <c r="C1073" s="25" t="inlineStr">
        <is>
          <t>TOZKONTROL-YP2-100x550-SIYAH</t>
        </is>
      </c>
      <c r="D1073" s="26" t="inlineStr">
        <is>
          <t>TOZKONTROL-YP2-100x550-SIYAH</t>
        </is>
      </c>
      <c r="E1073" s="27" t="inlineStr">
        <is>
          <t>100 x 550</t>
        </is>
      </c>
      <c r="F1073" s="28" t="inlineStr">
        <is>
          <t>TOZKONTROL-YP1</t>
        </is>
      </c>
      <c r="G1073" s="29" t="inlineStr">
        <is>
          <t>Kapı Önü Paspası</t>
        </is>
      </c>
      <c r="H1073" s="30" t="inlineStr">
        <is>
          <t>Paspas Yap</t>
        </is>
      </c>
      <c r="I1073" s="31" t="n">
        <v>93.0</v>
      </c>
      <c r="J1073" s="32" t="n">
        <v>9734.0</v>
      </c>
      <c r="K1073" s="33" t="n">
        <v>8739.27</v>
      </c>
      <c r="L1073" s="34" t="n">
        <v>22.0</v>
      </c>
      <c r="M1073" s="35" t="n">
        <v>6140.71</v>
      </c>
      <c r="N1073" s="36" t="inlineStr">
        <is>
          <t>25 Ağustos 08.00-1 Eylül 07.59</t>
        </is>
      </c>
      <c r="O1073" s="37" t="n">
        <v>14.9</v>
      </c>
      <c r="P1073" s="38" t="n">
        <v>8739.27</v>
      </c>
      <c r="Q1073" s="39"/>
      <c r="R1073" s="40" t="n">
        <f>=IF(AND(ISBLANK(Q1073), ISBLANK(U1073)), "", "7 Günlük Fiyat")</f>
        <v>0.0</v>
      </c>
      <c r="S1073" s="41" t="n">
        <f>=IF(OR(Q1073="", R1073=""), "-", IF(ISNUMBER(SEARCH("7 Günlük", R1073)), IF(Q1073&lt;=M1073, O1073, "-"), "-"))</f>
        <v>0.0</v>
      </c>
      <c r="T1073" s="42" t="str">
        <f>=IF(ISBLANK(Q1073), "", "Hayır")</f>
      </c>
      <c r="U1073" s="43"/>
      <c r="V1073" s="44" t="inlineStr">
        <is>
          <t>50461ed1-c2c8-4393-967e-55d58a3e2664</t>
        </is>
      </c>
    </row>
    <row r="1074">
      <c r="A1074" s="23" t="inlineStr">
        <is>
          <t>Toz Ve Nem Alıcı Yolluk Paspas Iş Yeri Paspası Iç Ve Dış Mekan Paspası Rampalı Toz Alıcı Paspas</t>
        </is>
      </c>
      <c r="B1074" s="24" t="inlineStr">
        <is>
          <t>770010692</t>
        </is>
      </c>
      <c r="C1074" s="25" t="inlineStr">
        <is>
          <t>TOZKONTROL-YP1-SIYAH-100300</t>
        </is>
      </c>
      <c r="D1074" s="26" t="inlineStr">
        <is>
          <t>TOZKONTROL-YP1-SIYAH-100300</t>
        </is>
      </c>
      <c r="E1074" s="27" t="inlineStr">
        <is>
          <t>100 x 300</t>
        </is>
      </c>
      <c r="F1074" s="28" t="inlineStr">
        <is>
          <t>TOZKONTROL-YP1</t>
        </is>
      </c>
      <c r="G1074" s="29" t="inlineStr">
        <is>
          <t>Kapı Önü Paspası</t>
        </is>
      </c>
      <c r="H1074" s="30" t="inlineStr">
        <is>
          <t>Paspas Yap</t>
        </is>
      </c>
      <c r="I1074" s="31" t="n">
        <v>93.0</v>
      </c>
      <c r="J1074" s="32" t="n">
        <v>5278.0</v>
      </c>
      <c r="K1074" s="33" t="n">
        <v>4854.44</v>
      </c>
      <c r="L1074" s="34" t="n">
        <v>22.0</v>
      </c>
      <c r="M1074" s="35" t="n">
        <v>3504.06</v>
      </c>
      <c r="N1074" s="36" t="inlineStr">
        <is>
          <t>25 Ağustos 08.00-1 Eylül 07.59</t>
        </is>
      </c>
      <c r="O1074" s="37" t="n">
        <v>15.5</v>
      </c>
      <c r="P1074" s="38" t="n">
        <v>4854.44</v>
      </c>
      <c r="Q1074" s="39"/>
      <c r="R1074" s="40" t="n">
        <f>=IF(AND(ISBLANK(Q1074), ISBLANK(U1074)), "", "7 Günlük Fiyat")</f>
        <v>0.0</v>
      </c>
      <c r="S1074" s="41" t="n">
        <f>=IF(OR(Q1074="", R1074=""), "-", IF(ISNUMBER(SEARCH("7 Günlük", R1074)), IF(Q1074&lt;=M1074, O1074, "-"), "-"))</f>
        <v>0.0</v>
      </c>
      <c r="T1074" s="42" t="str">
        <f>=IF(ISBLANK(Q1074), "", "Hayır")</f>
      </c>
      <c r="U1074" s="43"/>
      <c r="V1074" s="44" t="inlineStr">
        <is>
          <t>50461ed1-c2c8-4393-967e-55d58a3e2664</t>
        </is>
      </c>
    </row>
    <row r="1075">
      <c r="A1075" s="23" t="inlineStr">
        <is>
          <t>Toz Ve Nem Alıcı Yolluk Paspas Iş Yeri Paspası Iç Ve Dış Mekan Paspası Rampalı Toz Alıcı Paspas</t>
        </is>
      </c>
      <c r="B1075" s="24" t="inlineStr">
        <is>
          <t>770010692</t>
        </is>
      </c>
      <c r="C1075" s="25" t="inlineStr">
        <is>
          <t>TOZKONTROL-YP2-100x200-SIYAH</t>
        </is>
      </c>
      <c r="D1075" s="26" t="inlineStr">
        <is>
          <t>TOZKONTROL-YP2-100x200-SIYAH</t>
        </is>
      </c>
      <c r="E1075" s="27" t="inlineStr">
        <is>
          <t>100 x 200</t>
        </is>
      </c>
      <c r="F1075" s="28" t="inlineStr">
        <is>
          <t>TOZKONTROL-YP1</t>
        </is>
      </c>
      <c r="G1075" s="29" t="inlineStr">
        <is>
          <t>Kapı Önü Paspası</t>
        </is>
      </c>
      <c r="H1075" s="30" t="inlineStr">
        <is>
          <t>Paspas Yap</t>
        </is>
      </c>
      <c r="I1075" s="31" t="n">
        <v>93.0</v>
      </c>
      <c r="J1075" s="32" t="n">
        <v>3729.0</v>
      </c>
      <c r="K1075" s="33" t="n">
        <v>3254.21</v>
      </c>
      <c r="L1075" s="34" t="n">
        <v>22.0</v>
      </c>
      <c r="M1075" s="35" t="n">
        <v>2264.14</v>
      </c>
      <c r="N1075" s="36" t="inlineStr">
        <is>
          <t>25 Ağustos 08.00-1 Eylül 07.59</t>
        </is>
      </c>
      <c r="O1075" s="37" t="n">
        <v>14.7</v>
      </c>
      <c r="P1075" s="38" t="n">
        <v>3254.21</v>
      </c>
      <c r="Q1075" s="39"/>
      <c r="R1075" s="40" t="n">
        <f>=IF(AND(ISBLANK(Q1075), ISBLANK(U1075)), "", "7 Günlük Fiyat")</f>
        <v>0.0</v>
      </c>
      <c r="S1075" s="41" t="n">
        <f>=IF(OR(Q1075="", R1075=""), "-", IF(ISNUMBER(SEARCH("7 Günlük", R1075)), IF(Q1075&lt;=M1075, O1075, "-"), "-"))</f>
        <v>0.0</v>
      </c>
      <c r="T1075" s="42" t="str">
        <f>=IF(ISBLANK(Q1075), "", "Hayır")</f>
      </c>
      <c r="U1075" s="43"/>
      <c r="V1075" s="44" t="inlineStr">
        <is>
          <t>50461ed1-c2c8-4393-967e-55d58a3e2664</t>
        </is>
      </c>
    </row>
    <row r="1076">
      <c r="A1076" s="23" t="inlineStr">
        <is>
          <t>Toz Ve Nem Alıcı Yolluk Paspas Iş Yeri Paspası Iç Ve Dış Mekan Paspası Rampalı Toz Alıcı Paspas</t>
        </is>
      </c>
      <c r="B1076" s="24" t="inlineStr">
        <is>
          <t>770010692</t>
        </is>
      </c>
      <c r="C1076" s="25" t="inlineStr">
        <is>
          <t>TOZKONTROL-YP2-100x450-SIYAH</t>
        </is>
      </c>
      <c r="D1076" s="26" t="inlineStr">
        <is>
          <t>TOZKONTROL-YP2-100x450-SIYAH</t>
        </is>
      </c>
      <c r="E1076" s="27" t="inlineStr">
        <is>
          <t>100 x 450</t>
        </is>
      </c>
      <c r="F1076" s="28" t="inlineStr">
        <is>
          <t>TOZKONTROL-YP1</t>
        </is>
      </c>
      <c r="G1076" s="29" t="inlineStr">
        <is>
          <t>Kapı Önü Paspası</t>
        </is>
      </c>
      <c r="H1076" s="30" t="inlineStr">
        <is>
          <t>Paspas Yap</t>
        </is>
      </c>
      <c r="I1076" s="31" t="n">
        <v>93.0</v>
      </c>
      <c r="J1076" s="32" t="n">
        <v>7737.0</v>
      </c>
      <c r="K1076" s="33" t="n">
        <v>7206.64</v>
      </c>
      <c r="L1076" s="34" t="n">
        <v>22.0</v>
      </c>
      <c r="M1076" s="35" t="n">
        <v>5270.39</v>
      </c>
      <c r="N1076" s="36" t="inlineStr">
        <is>
          <t>25 Ağustos 08.00-1 Eylül 07.59</t>
        </is>
      </c>
      <c r="O1076" s="37" t="n">
        <v>15.9</v>
      </c>
      <c r="P1076" s="38" t="n">
        <v>7206.64</v>
      </c>
      <c r="Q1076" s="39"/>
      <c r="R1076" s="40" t="n">
        <f>=IF(AND(ISBLANK(Q1076), ISBLANK(U1076)), "", "7 Günlük Fiyat")</f>
        <v>0.0</v>
      </c>
      <c r="S1076" s="41" t="n">
        <f>=IF(OR(Q1076="", R1076=""), "-", IF(ISNUMBER(SEARCH("7 Günlük", R1076)), IF(Q1076&lt;=M1076, O1076, "-"), "-"))</f>
        <v>0.0</v>
      </c>
      <c r="T1076" s="42" t="str">
        <f>=IF(ISBLANK(Q1076), "", "Hayır")</f>
      </c>
      <c r="U1076" s="43"/>
      <c r="V1076" s="44" t="inlineStr">
        <is>
          <t>50461ed1-c2c8-4393-967e-55d58a3e2664</t>
        </is>
      </c>
    </row>
    <row r="1077">
      <c r="A1077" s="23" t="inlineStr">
        <is>
          <t>Toz Ve Nem Alıcı Yolluk Paspas Iş Yeri Paspası Iç Ve Dış Mekan Paspası Rampalı Toz Alıcı Paspas</t>
        </is>
      </c>
      <c r="B1077" s="24" t="inlineStr">
        <is>
          <t>770010692</t>
        </is>
      </c>
      <c r="C1077" s="25" t="inlineStr">
        <is>
          <t>TOZKONTROL-YP2-100x1350-SIYAH</t>
        </is>
      </c>
      <c r="D1077" s="26" t="inlineStr">
        <is>
          <t>TOZKONTROL-YP2-100x1350-SIYAH</t>
        </is>
      </c>
      <c r="E1077" s="27" t="inlineStr">
        <is>
          <t>100 x 1350</t>
        </is>
      </c>
      <c r="F1077" s="28" t="inlineStr">
        <is>
          <t>TOZKONTROL-YP1</t>
        </is>
      </c>
      <c r="G1077" s="29" t="inlineStr">
        <is>
          <t>Kapı Önü Paspası</t>
        </is>
      </c>
      <c r="H1077" s="30" t="inlineStr">
        <is>
          <t>Paspas Yap</t>
        </is>
      </c>
      <c r="I1077" s="31" t="n">
        <v>93.0</v>
      </c>
      <c r="J1077" s="32" t="n">
        <v>24752.0</v>
      </c>
      <c r="K1077" s="33" t="n">
        <v>24752.0</v>
      </c>
      <c r="L1077" s="34" t="n">
        <v>22.0</v>
      </c>
      <c r="M1077" s="35" t="n">
        <v>17702.14</v>
      </c>
      <c r="N1077" s="36" t="inlineStr">
        <is>
          <t>25 Ağustos 08.00-1 Eylül 07.59</t>
        </is>
      </c>
      <c r="O1077" s="37" t="n">
        <v>14.8</v>
      </c>
      <c r="P1077" s="38" t="n">
        <v>24752.0</v>
      </c>
      <c r="Q1077" s="39"/>
      <c r="R1077" s="40" t="n">
        <f>=IF(AND(ISBLANK(Q1077), ISBLANK(U1077)), "", "7 Günlük Fiyat")</f>
        <v>0.0</v>
      </c>
      <c r="S1077" s="41" t="n">
        <f>=IF(OR(Q1077="", R1077=""), "-", IF(ISNUMBER(SEARCH("7 Günlük", R1077)), IF(Q1077&lt;=M1077, O1077, "-"), "-"))</f>
        <v>0.0</v>
      </c>
      <c r="T1077" s="42" t="str">
        <f>=IF(ISBLANK(Q1077), "", "Hayır")</f>
      </c>
      <c r="U1077" s="43"/>
      <c r="V1077" s="44" t="inlineStr">
        <is>
          <t>50461ed1-c2c8-4393-967e-55d58a3e2664</t>
        </is>
      </c>
    </row>
    <row r="1078">
      <c r="A1078" s="23" t="inlineStr">
        <is>
          <t>Toz Ve Nem Alıcı Yolluk Paspas Iş Yeri Paspası Iç Ve Dış Mekan Paspası Rampalı Toz Alıcı Paspas</t>
        </is>
      </c>
      <c r="B1078" s="24" t="inlineStr">
        <is>
          <t>770010692</t>
        </is>
      </c>
      <c r="C1078" s="25" t="inlineStr">
        <is>
          <t>TOZKONTROL-YP2-80x800-SIYAH</t>
        </is>
      </c>
      <c r="D1078" s="26" t="inlineStr">
        <is>
          <t>TOZKONTROL-YP2-80x800-SIYAH</t>
        </is>
      </c>
      <c r="E1078" s="27" t="inlineStr">
        <is>
          <t>80 x 800</t>
        </is>
      </c>
      <c r="F1078" s="28" t="inlineStr">
        <is>
          <t>TOZKONTROL-YP1</t>
        </is>
      </c>
      <c r="G1078" s="29" t="inlineStr">
        <is>
          <t>Kapı Önü Paspası</t>
        </is>
      </c>
      <c r="H1078" s="30" t="inlineStr">
        <is>
          <t>Paspas Yap</t>
        </is>
      </c>
      <c r="I1078" s="31" t="n">
        <v>93.0</v>
      </c>
      <c r="J1078" s="32" t="n">
        <v>11335.0</v>
      </c>
      <c r="K1078" s="33" t="n">
        <v>9605.06</v>
      </c>
      <c r="L1078" s="34" t="n">
        <v>22.0</v>
      </c>
      <c r="M1078" s="35" t="n">
        <v>6799.05</v>
      </c>
      <c r="N1078" s="36" t="inlineStr">
        <is>
          <t>25 Ağustos 08.00-1 Eylül 07.59</t>
        </is>
      </c>
      <c r="O1078" s="37" t="n">
        <v>14.7</v>
      </c>
      <c r="P1078" s="38" t="n">
        <v>9605.06</v>
      </c>
      <c r="Q1078" s="39"/>
      <c r="R1078" s="40" t="n">
        <f>=IF(AND(ISBLANK(Q1078), ISBLANK(U1078)), "", "7 Günlük Fiyat")</f>
        <v>0.0</v>
      </c>
      <c r="S1078" s="41" t="n">
        <f>=IF(OR(Q1078="", R1078=""), "-", IF(ISNUMBER(SEARCH("7 Günlük", R1078)), IF(Q1078&lt;=M1078, O1078, "-"), "-"))</f>
        <v>0.0</v>
      </c>
      <c r="T1078" s="42" t="str">
        <f>=IF(ISBLANK(Q1078), "", "Hayır")</f>
      </c>
      <c r="U1078" s="43"/>
      <c r="V1078" s="44" t="inlineStr">
        <is>
          <t>50461ed1-c2c8-4393-967e-55d58a3e2664</t>
        </is>
      </c>
    </row>
    <row r="1079">
      <c r="A1079" s="23" t="inlineStr">
        <is>
          <t>Toz Ve Nem Alıcı Yolluk Paspas Iş Yeri Paspası Iç Ve Dış Mekan Paspası Rampalı Toz Alıcı Paspas</t>
        </is>
      </c>
      <c r="B1079" s="24" t="inlineStr">
        <is>
          <t>770010692</t>
        </is>
      </c>
      <c r="C1079" s="25" t="inlineStr">
        <is>
          <t>TOZKONTROL-YP2-80x250-SIYAH</t>
        </is>
      </c>
      <c r="D1079" s="26" t="inlineStr">
        <is>
          <t>TOZKONTROL-YP2-80x250-SIYAH</t>
        </is>
      </c>
      <c r="E1079" s="27" t="inlineStr">
        <is>
          <t>80 x 250</t>
        </is>
      </c>
      <c r="F1079" s="28" t="inlineStr">
        <is>
          <t>TOZKONTROL-YP1</t>
        </is>
      </c>
      <c r="G1079" s="29" t="inlineStr">
        <is>
          <t>Kapı Önü Paspası</t>
        </is>
      </c>
      <c r="H1079" s="30" t="inlineStr">
        <is>
          <t>Paspas Yap</t>
        </is>
      </c>
      <c r="I1079" s="31" t="n">
        <v>92.0</v>
      </c>
      <c r="J1079" s="32" t="n">
        <v>3729.0</v>
      </c>
      <c r="K1079" s="33" t="n">
        <v>3372.55</v>
      </c>
      <c r="L1079" s="34" t="n">
        <v>22.0</v>
      </c>
      <c r="M1079" s="35" t="n">
        <v>2450.37</v>
      </c>
      <c r="N1079" s="36" t="inlineStr">
        <is>
          <t>25 Ağustos 08.00-1 Eylül 07.59</t>
        </is>
      </c>
      <c r="O1079" s="37" t="n">
        <v>15.7</v>
      </c>
      <c r="P1079" s="38" t="n">
        <v>3372.55</v>
      </c>
      <c r="Q1079" s="39"/>
      <c r="R1079" s="40" t="n">
        <f>=IF(AND(ISBLANK(Q1079), ISBLANK(U1079)), "", "7 Günlük Fiyat")</f>
        <v>0.0</v>
      </c>
      <c r="S1079" s="41" t="n">
        <f>=IF(OR(Q1079="", R1079=""), "-", IF(ISNUMBER(SEARCH("7 Günlük", R1079)), IF(Q1079&lt;=M1079, O1079, "-"), "-"))</f>
        <v>0.0</v>
      </c>
      <c r="T1079" s="42" t="str">
        <f>=IF(ISBLANK(Q1079), "", "Hayır")</f>
      </c>
      <c r="U1079" s="43"/>
      <c r="V1079" s="44" t="inlineStr">
        <is>
          <t>50461ed1-c2c8-4393-967e-55d58a3e2664</t>
        </is>
      </c>
    </row>
    <row r="1080">
      <c r="A1080" s="23" t="inlineStr">
        <is>
          <t>Toz Ve Nem Alıcı Yolluk Paspas Iş Yeri Paspası Iç Ve Dış Mekan Paspası Rampalı Toz Alıcı Paspas</t>
        </is>
      </c>
      <c r="B1080" s="24" t="inlineStr">
        <is>
          <t>770010692</t>
        </is>
      </c>
      <c r="C1080" s="25" t="inlineStr">
        <is>
          <t>TOZKONTROL-YP2-80x850-SIYAH</t>
        </is>
      </c>
      <c r="D1080" s="26" t="inlineStr">
        <is>
          <t>TOZKONTROL-YP2-80x850-SIYAH</t>
        </is>
      </c>
      <c r="E1080" s="27" t="inlineStr">
        <is>
          <t>80 x 850</t>
        </is>
      </c>
      <c r="F1080" s="28" t="inlineStr">
        <is>
          <t>TOZKONTROL-YP1</t>
        </is>
      </c>
      <c r="G1080" s="29" t="inlineStr">
        <is>
          <t>Kapı Önü Paspası</t>
        </is>
      </c>
      <c r="H1080" s="30" t="inlineStr">
        <is>
          <t>Paspas Yap</t>
        </is>
      </c>
      <c r="I1080" s="31" t="n">
        <v>93.0</v>
      </c>
      <c r="J1080" s="32" t="n">
        <v>11939.0</v>
      </c>
      <c r="K1080" s="33" t="n">
        <v>11939.0</v>
      </c>
      <c r="L1080" s="34" t="n">
        <v>22.0</v>
      </c>
      <c r="M1080" s="35" t="n">
        <v>8538.53</v>
      </c>
      <c r="N1080" s="36" t="inlineStr">
        <is>
          <t>25 Ağustos 08.00-1 Eylül 07.59</t>
        </is>
      </c>
      <c r="O1080" s="37" t="n">
        <v>14.8</v>
      </c>
      <c r="P1080" s="38" t="n">
        <v>11939.0</v>
      </c>
      <c r="Q1080" s="39"/>
      <c r="R1080" s="40" t="n">
        <f>=IF(AND(ISBLANK(Q1080), ISBLANK(U1080)), "", "7 Günlük Fiyat")</f>
        <v>0.0</v>
      </c>
      <c r="S1080" s="41" t="n">
        <f>=IF(OR(Q1080="", R1080=""), "-", IF(ISNUMBER(SEARCH("7 Günlük", R1080)), IF(Q1080&lt;=M1080, O1080, "-"), "-"))</f>
        <v>0.0</v>
      </c>
      <c r="T1080" s="42" t="str">
        <f>=IF(ISBLANK(Q1080), "", "Hayır")</f>
      </c>
      <c r="U1080" s="43"/>
      <c r="V1080" s="44" t="inlineStr">
        <is>
          <t>50461ed1-c2c8-4393-967e-55d58a3e2664</t>
        </is>
      </c>
    </row>
    <row r="1081">
      <c r="A1081" s="23" t="inlineStr">
        <is>
          <t>Toz Ve Nem Alıcı Yolluk Paspas Iş Yeri Paspası Iç Ve Dış Mekan Paspası Rampalı Toz Alıcı Paspas</t>
        </is>
      </c>
      <c r="B1081" s="24" t="inlineStr">
        <is>
          <t>770010692</t>
        </is>
      </c>
      <c r="C1081" s="25" t="inlineStr">
        <is>
          <t>TOZKONTROL-YP2-100x1300-SIYAH</t>
        </is>
      </c>
      <c r="D1081" s="26" t="inlineStr">
        <is>
          <t>TOZKONTROL-YP2-100x1300-SIYAH</t>
        </is>
      </c>
      <c r="E1081" s="27" t="inlineStr">
        <is>
          <t>100 x 1300</t>
        </is>
      </c>
      <c r="F1081" s="28" t="inlineStr">
        <is>
          <t>TOZKONTROL-YP1</t>
        </is>
      </c>
      <c r="G1081" s="29" t="inlineStr">
        <is>
          <t>Kapı Önü Paspası</t>
        </is>
      </c>
      <c r="H1081" s="30" t="inlineStr">
        <is>
          <t>Paspas Yap</t>
        </is>
      </c>
      <c r="I1081" s="31" t="n">
        <v>93.0</v>
      </c>
      <c r="J1081" s="32" t="n">
        <v>23914.0</v>
      </c>
      <c r="K1081" s="33" t="n">
        <v>23914.0</v>
      </c>
      <c r="L1081" s="34" t="n">
        <v>22.0</v>
      </c>
      <c r="M1081" s="35" t="n">
        <v>17102.81</v>
      </c>
      <c r="N1081" s="36" t="inlineStr">
        <is>
          <t>25 Ağustos 08.00-1 Eylül 07.59</t>
        </is>
      </c>
      <c r="O1081" s="37" t="n">
        <v>14.8</v>
      </c>
      <c r="P1081" s="38" t="n">
        <v>23914.0</v>
      </c>
      <c r="Q1081" s="39"/>
      <c r="R1081" s="40" t="n">
        <f>=IF(AND(ISBLANK(Q1081), ISBLANK(U1081)), "", "7 Günlük Fiyat")</f>
        <v>0.0</v>
      </c>
      <c r="S1081" s="41" t="n">
        <f>=IF(OR(Q1081="", R1081=""), "-", IF(ISNUMBER(SEARCH("7 Günlük", R1081)), IF(Q1081&lt;=M1081, O1081, "-"), "-"))</f>
        <v>0.0</v>
      </c>
      <c r="T1081" s="42" t="str">
        <f>=IF(ISBLANK(Q1081), "", "Hayır")</f>
      </c>
      <c r="U1081" s="43"/>
      <c r="V1081" s="44" t="inlineStr">
        <is>
          <t>50461ed1-c2c8-4393-967e-55d58a3e2664</t>
        </is>
      </c>
    </row>
    <row r="1082">
      <c r="A1082" s="23" t="inlineStr">
        <is>
          <t>Toz Ve Nem Alıcı Yolluk Paspas Iş Yeri Paspası Iç Ve Dış Mekan Paspası Rampalı Toz Alıcı Paspas</t>
        </is>
      </c>
      <c r="B1082" s="24" t="inlineStr">
        <is>
          <t>770010692</t>
        </is>
      </c>
      <c r="C1082" s="25" t="inlineStr">
        <is>
          <t>TOZKONTROL-YP2-100x650-SIYAH</t>
        </is>
      </c>
      <c r="D1082" s="26" t="inlineStr">
        <is>
          <t>TOZKONTROL-YP2-100x650-SIYAH</t>
        </is>
      </c>
      <c r="E1082" s="27" t="inlineStr">
        <is>
          <t>100 x 650</t>
        </is>
      </c>
      <c r="F1082" s="28" t="inlineStr">
        <is>
          <t>TOZKONTROL-YP1</t>
        </is>
      </c>
      <c r="G1082" s="29" t="inlineStr">
        <is>
          <t>Kapı Önü Paspası</t>
        </is>
      </c>
      <c r="H1082" s="30" t="inlineStr">
        <is>
          <t>Paspas Yap</t>
        </is>
      </c>
      <c r="I1082" s="31" t="n">
        <v>93.0</v>
      </c>
      <c r="J1082" s="32" t="n">
        <v>11146.0</v>
      </c>
      <c r="K1082" s="33" t="n">
        <v>10281.89</v>
      </c>
      <c r="L1082" s="34" t="n">
        <v>22.0</v>
      </c>
      <c r="M1082" s="35" t="n">
        <v>7166.16</v>
      </c>
      <c r="N1082" s="36" t="inlineStr">
        <is>
          <t>25 Ağustos 08.00-1 Eylül 07.59</t>
        </is>
      </c>
      <c r="O1082" s="37" t="n">
        <v>15.1</v>
      </c>
      <c r="P1082" s="38" t="n">
        <v>10281.89</v>
      </c>
      <c r="Q1082" s="39"/>
      <c r="R1082" s="40" t="n">
        <f>=IF(AND(ISBLANK(Q1082), ISBLANK(U1082)), "", "7 Günlük Fiyat")</f>
        <v>0.0</v>
      </c>
      <c r="S1082" s="41" t="n">
        <f>=IF(OR(Q1082="", R1082=""), "-", IF(ISNUMBER(SEARCH("7 Günlük", R1082)), IF(Q1082&lt;=M1082, O1082, "-"), "-"))</f>
        <v>0.0</v>
      </c>
      <c r="T1082" s="42" t="str">
        <f>=IF(ISBLANK(Q1082), "", "Hayır")</f>
      </c>
      <c r="U1082" s="43"/>
      <c r="V1082" s="44" t="inlineStr">
        <is>
          <t>50461ed1-c2c8-4393-967e-55d58a3e2664</t>
        </is>
      </c>
    </row>
    <row r="1083">
      <c r="A1083" s="23" t="inlineStr">
        <is>
          <t>Toz Ve Nem Alıcı Yolluk Paspas Iş Yeri Paspası Iç Ve Dış Mekan Paspası Rampalı Toz Alıcı Paspas</t>
        </is>
      </c>
      <c r="B1083" s="24" t="inlineStr">
        <is>
          <t>770010692</t>
        </is>
      </c>
      <c r="C1083" s="25" t="inlineStr">
        <is>
          <t>TOZKONTROL-YP2-80x300-SIYAH</t>
        </is>
      </c>
      <c r="D1083" s="26" t="inlineStr">
        <is>
          <t>TOZKONTROL-YP2-80x300-SIYAH</t>
        </is>
      </c>
      <c r="E1083" s="27" t="inlineStr">
        <is>
          <t>80 x 300</t>
        </is>
      </c>
      <c r="F1083" s="28" t="inlineStr">
        <is>
          <t>TOZKONTROL-YP1</t>
        </is>
      </c>
      <c r="G1083" s="29" t="inlineStr">
        <is>
          <t>Kapı Önü Paspası</t>
        </is>
      </c>
      <c r="H1083" s="30" t="inlineStr">
        <is>
          <t>Paspas Yap</t>
        </is>
      </c>
      <c r="I1083" s="31" t="n">
        <v>93.0</v>
      </c>
      <c r="J1083" s="32" t="n">
        <v>4496.0</v>
      </c>
      <c r="K1083" s="33" t="n">
        <v>4117.34</v>
      </c>
      <c r="L1083" s="34" t="n">
        <v>22.0</v>
      </c>
      <c r="M1083" s="35" t="n">
        <v>3112.38</v>
      </c>
      <c r="N1083" s="36" t="inlineStr">
        <is>
          <t>25 Ağustos 08.00-1 Eylül 07.59</t>
        </is>
      </c>
      <c r="O1083" s="37" t="n">
        <v>16.2</v>
      </c>
      <c r="P1083" s="38" t="n">
        <v>4117.34</v>
      </c>
      <c r="Q1083" s="39"/>
      <c r="R1083" s="40" t="n">
        <f>=IF(AND(ISBLANK(Q1083), ISBLANK(U1083)), "", "7 Günlük Fiyat")</f>
        <v>0.0</v>
      </c>
      <c r="S1083" s="41" t="n">
        <f>=IF(OR(Q1083="", R1083=""), "-", IF(ISNUMBER(SEARCH("7 Günlük", R1083)), IF(Q1083&lt;=M1083, O1083, "-"), "-"))</f>
        <v>0.0</v>
      </c>
      <c r="T1083" s="42" t="str">
        <f>=IF(ISBLANK(Q1083), "", "Hayır")</f>
      </c>
      <c r="U1083" s="43"/>
      <c r="V1083" s="44" t="inlineStr">
        <is>
          <t>50461ed1-c2c8-4393-967e-55d58a3e2664</t>
        </is>
      </c>
    </row>
    <row r="1084">
      <c r="A1084" s="23" t="inlineStr">
        <is>
          <t>Toz Ve Nem Alıcı Yolluk Paspas Iş Yeri Paspası Iç Ve Dış Mekan Paspası Rampalı Toz Alıcı Paspas</t>
        </is>
      </c>
      <c r="B1084" s="24" t="inlineStr">
        <is>
          <t>770010692</t>
        </is>
      </c>
      <c r="C1084" s="25" t="inlineStr">
        <is>
          <t>TOZKONTROL-YP2-100x1200-SIYAH</t>
        </is>
      </c>
      <c r="D1084" s="26" t="inlineStr">
        <is>
          <t>TOZKONTROL-YP2-100x1200-SIYAH</t>
        </is>
      </c>
      <c r="E1084" s="27" t="inlineStr">
        <is>
          <t>100 x 1200</t>
        </is>
      </c>
      <c r="F1084" s="28" t="inlineStr">
        <is>
          <t>TOZKONTROL-YP1</t>
        </is>
      </c>
      <c r="G1084" s="29" t="inlineStr">
        <is>
          <t>Kapı Önü Paspası</t>
        </is>
      </c>
      <c r="H1084" s="30" t="inlineStr">
        <is>
          <t>Paspas Yap</t>
        </is>
      </c>
      <c r="I1084" s="31" t="n">
        <v>93.0</v>
      </c>
      <c r="J1084" s="32" t="n">
        <v>22715.0</v>
      </c>
      <c r="K1084" s="33" t="n">
        <v>22715.0</v>
      </c>
      <c r="L1084" s="34" t="n">
        <v>22.0</v>
      </c>
      <c r="M1084" s="35" t="n">
        <v>16245.31</v>
      </c>
      <c r="N1084" s="36" t="inlineStr">
        <is>
          <t>25 Ağustos 08.00-1 Eylül 07.59</t>
        </is>
      </c>
      <c r="O1084" s="37" t="n">
        <v>14.8</v>
      </c>
      <c r="P1084" s="38" t="n">
        <v>22715.0</v>
      </c>
      <c r="Q1084" s="39"/>
      <c r="R1084" s="40" t="n">
        <f>=IF(AND(ISBLANK(Q1084), ISBLANK(U1084)), "", "7 Günlük Fiyat")</f>
        <v>0.0</v>
      </c>
      <c r="S1084" s="41" t="n">
        <f>=IF(OR(Q1084="", R1084=""), "-", IF(ISNUMBER(SEARCH("7 Günlük", R1084)), IF(Q1084&lt;=M1084, O1084, "-"), "-"))</f>
        <v>0.0</v>
      </c>
      <c r="T1084" s="42" t="str">
        <f>=IF(ISBLANK(Q1084), "", "Hayır")</f>
      </c>
      <c r="U1084" s="43"/>
      <c r="V1084" s="44" t="inlineStr">
        <is>
          <t>50461ed1-c2c8-4393-967e-55d58a3e2664</t>
        </is>
      </c>
    </row>
    <row r="1085">
      <c r="A1085" s="23" t="inlineStr">
        <is>
          <t>Toz Ve Nem Alıcı Yolluk Paspas Iş Yeri Paspası Iç Ve Dış Mekan Paspası Rampalı Toz Alıcı Paspas</t>
        </is>
      </c>
      <c r="B1085" s="24" t="inlineStr">
        <is>
          <t>770010692</t>
        </is>
      </c>
      <c r="C1085" s="25" t="inlineStr">
        <is>
          <t>TOZKONTROL-YP2-80x1500-SIYAH</t>
        </is>
      </c>
      <c r="D1085" s="26" t="inlineStr">
        <is>
          <t>TOZKONTROL-YP2-80x1500-SIYAH</t>
        </is>
      </c>
      <c r="E1085" s="27" t="inlineStr">
        <is>
          <t>80 x 1500</t>
        </is>
      </c>
      <c r="F1085" s="28" t="inlineStr">
        <is>
          <t>TOZKONTROL-YP1</t>
        </is>
      </c>
      <c r="G1085" s="29" t="inlineStr">
        <is>
          <t>Kapı Önü Paspası</t>
        </is>
      </c>
      <c r="H1085" s="30" t="inlineStr">
        <is>
          <t>Paspas Yap</t>
        </is>
      </c>
      <c r="I1085" s="31" t="n">
        <v>93.0</v>
      </c>
      <c r="J1085" s="32" t="n">
        <v>22715.0</v>
      </c>
      <c r="K1085" s="33" t="n">
        <v>22715.0</v>
      </c>
      <c r="L1085" s="34" t="n">
        <v>22.0</v>
      </c>
      <c r="M1085" s="35" t="n">
        <v>16245.31</v>
      </c>
      <c r="N1085" s="36" t="inlineStr">
        <is>
          <t>25 Ağustos 08.00-1 Eylül 07.59</t>
        </is>
      </c>
      <c r="O1085" s="37" t="n">
        <v>14.8</v>
      </c>
      <c r="P1085" s="38" t="n">
        <v>22715.0</v>
      </c>
      <c r="Q1085" s="39"/>
      <c r="R1085" s="40" t="n">
        <f>=IF(AND(ISBLANK(Q1085), ISBLANK(U1085)), "", "7 Günlük Fiyat")</f>
        <v>0.0</v>
      </c>
      <c r="S1085" s="41" t="n">
        <f>=IF(OR(Q1085="", R1085=""), "-", IF(ISNUMBER(SEARCH("7 Günlük", R1085)), IF(Q1085&lt;=M1085, O1085, "-"), "-"))</f>
        <v>0.0</v>
      </c>
      <c r="T1085" s="42" t="str">
        <f>=IF(ISBLANK(Q1085), "", "Hayır")</f>
      </c>
      <c r="U1085" s="43"/>
      <c r="V1085" s="44" t="inlineStr">
        <is>
          <t>50461ed1-c2c8-4393-967e-55d58a3e2664</t>
        </is>
      </c>
    </row>
    <row r="1086">
      <c r="A1086" s="23" t="inlineStr">
        <is>
          <t>Toz Ve Nem Alıcı Yolluk Paspas Iş Yeri Paspası Iç Ve Dış Mekan Paspası Rampalı Toz Alıcı Paspas</t>
        </is>
      </c>
      <c r="B1086" s="24" t="inlineStr">
        <is>
          <t>770010692</t>
        </is>
      </c>
      <c r="C1086" s="25" t="inlineStr">
        <is>
          <t>TOZKONTROL-YP2-120x550-SIYAH</t>
        </is>
      </c>
      <c r="D1086" s="26" t="inlineStr">
        <is>
          <t>TOZKONTROL-YP2-120x550-SIYAH</t>
        </is>
      </c>
      <c r="E1086" s="27" t="inlineStr">
        <is>
          <t>120 x 550</t>
        </is>
      </c>
      <c r="F1086" s="28" t="inlineStr">
        <is>
          <t>TOZKONTROL-YP1</t>
        </is>
      </c>
      <c r="G1086" s="29" t="inlineStr">
        <is>
          <t>Kapı Önü Paspası</t>
        </is>
      </c>
      <c r="H1086" s="30" t="inlineStr">
        <is>
          <t>Paspas Yap</t>
        </is>
      </c>
      <c r="I1086" s="31" t="n">
        <v>93.0</v>
      </c>
      <c r="J1086" s="32" t="n">
        <v>11272.0</v>
      </c>
      <c r="K1086" s="33" t="n">
        <v>9693.72</v>
      </c>
      <c r="L1086" s="34" t="n">
        <v>22.0</v>
      </c>
      <c r="M1086" s="35" t="n">
        <v>6646.05</v>
      </c>
      <c r="N1086" s="36" t="inlineStr">
        <is>
          <t>25 Ağustos 08.00-1 Eylül 07.59</t>
        </is>
      </c>
      <c r="O1086" s="37" t="n">
        <v>14.3</v>
      </c>
      <c r="P1086" s="38" t="n">
        <v>9693.72</v>
      </c>
      <c r="Q1086" s="39"/>
      <c r="R1086" s="40" t="n">
        <f>=IF(AND(ISBLANK(Q1086), ISBLANK(U1086)), "", "7 Günlük Fiyat")</f>
        <v>0.0</v>
      </c>
      <c r="S1086" s="41" t="n">
        <f>=IF(OR(Q1086="", R1086=""), "-", IF(ISNUMBER(SEARCH("7 Günlük", R1086)), IF(Q1086&lt;=M1086, O1086, "-"), "-"))</f>
        <v>0.0</v>
      </c>
      <c r="T1086" s="42" t="str">
        <f>=IF(ISBLANK(Q1086), "", "Hayır")</f>
      </c>
      <c r="U1086" s="43"/>
      <c r="V1086" s="44" t="inlineStr">
        <is>
          <t>50461ed1-c2c8-4393-967e-55d58a3e2664</t>
        </is>
      </c>
    </row>
    <row r="1087">
      <c r="A1087" s="23" t="inlineStr">
        <is>
          <t>Toz Ve Nem Alıcı Yolluk Paspas Iş Yeri Paspası Iç Ve Dış Mekan Paspası Rampalı Toz Alıcı Paspas</t>
        </is>
      </c>
      <c r="B1087" s="24" t="inlineStr">
        <is>
          <t>770010692</t>
        </is>
      </c>
      <c r="C1087" s="25" t="inlineStr">
        <is>
          <t>TOZKONTROL-YP2-120x1050-SIYAH</t>
        </is>
      </c>
      <c r="D1087" s="26" t="inlineStr">
        <is>
          <t>TOZKONTROL-YP2-120x1050-SIYAH</t>
        </is>
      </c>
      <c r="E1087" s="27" t="inlineStr">
        <is>
          <t>120 x 1050</t>
        </is>
      </c>
      <c r="F1087" s="28" t="inlineStr">
        <is>
          <t>TOZKONTROL-YP1</t>
        </is>
      </c>
      <c r="G1087" s="29" t="inlineStr">
        <is>
          <t>Kapı Önü Paspası</t>
        </is>
      </c>
      <c r="H1087" s="30" t="inlineStr">
        <is>
          <t>Paspas Yap</t>
        </is>
      </c>
      <c r="I1087" s="31" t="n">
        <v>93.0</v>
      </c>
      <c r="J1087" s="32" t="n">
        <v>23280.0</v>
      </c>
      <c r="K1087" s="33" t="n">
        <v>23280.0</v>
      </c>
      <c r="L1087" s="34" t="n">
        <v>22.0</v>
      </c>
      <c r="M1087" s="35" t="n">
        <v>16649.39</v>
      </c>
      <c r="N1087" s="36" t="inlineStr">
        <is>
          <t>25 Ağustos 08.00-1 Eylül 07.59</t>
        </is>
      </c>
      <c r="O1087" s="37" t="n">
        <v>14.8</v>
      </c>
      <c r="P1087" s="38" t="n">
        <v>23280.0</v>
      </c>
      <c r="Q1087" s="39"/>
      <c r="R1087" s="40" t="n">
        <f>=IF(AND(ISBLANK(Q1087), ISBLANK(U1087)), "", "7 Günlük Fiyat")</f>
        <v>0.0</v>
      </c>
      <c r="S1087" s="41" t="n">
        <f>=IF(OR(Q1087="", R1087=""), "-", IF(ISNUMBER(SEARCH("7 Günlük", R1087)), IF(Q1087&lt;=M1087, O1087, "-"), "-"))</f>
        <v>0.0</v>
      </c>
      <c r="T1087" s="42" t="str">
        <f>=IF(ISBLANK(Q1087), "", "Hayır")</f>
      </c>
      <c r="U1087" s="43"/>
      <c r="V1087" s="44" t="inlineStr">
        <is>
          <t>50461ed1-c2c8-4393-967e-55d58a3e2664</t>
        </is>
      </c>
    </row>
    <row r="1088">
      <c r="A1088" s="23" t="inlineStr">
        <is>
          <t>Toz Ve Nem Alıcı Yolluk Paspas Iş Yeri Paspası Iç Ve Dış Mekan Paspası Rampalı Toz Alıcı Paspas</t>
        </is>
      </c>
      <c r="B1088" s="24" t="inlineStr">
        <is>
          <t>770010692</t>
        </is>
      </c>
      <c r="C1088" s="25" t="inlineStr">
        <is>
          <t>TOZKONTROL-YP2-80x550-SIYAH</t>
        </is>
      </c>
      <c r="D1088" s="26" t="inlineStr">
        <is>
          <t>TOZKONTROL-YP2-80x550-SIYAH</t>
        </is>
      </c>
      <c r="E1088" s="27" t="inlineStr">
        <is>
          <t>80 x 550</t>
        </is>
      </c>
      <c r="F1088" s="28" t="inlineStr">
        <is>
          <t>TOZKONTROL-YP1</t>
        </is>
      </c>
      <c r="G1088" s="29" t="inlineStr">
        <is>
          <t>Kapı Önü Paspası</t>
        </is>
      </c>
      <c r="H1088" s="30" t="inlineStr">
        <is>
          <t>Paspas Yap</t>
        </is>
      </c>
      <c r="I1088" s="31" t="n">
        <v>93.0</v>
      </c>
      <c r="J1088" s="32" t="n">
        <v>7711.0</v>
      </c>
      <c r="K1088" s="33" t="n">
        <v>7083.77</v>
      </c>
      <c r="L1088" s="34" t="n">
        <v>22.0</v>
      </c>
      <c r="M1088" s="35" t="n">
        <v>4945.25</v>
      </c>
      <c r="N1088" s="36" t="inlineStr">
        <is>
          <t>25 Ağustos 08.00-1 Eylül 07.59</t>
        </is>
      </c>
      <c r="O1088" s="37" t="n">
        <v>15.1</v>
      </c>
      <c r="P1088" s="38" t="n">
        <v>7083.77</v>
      </c>
      <c r="Q1088" s="39"/>
      <c r="R1088" s="40" t="n">
        <f>=IF(AND(ISBLANK(Q1088), ISBLANK(U1088)), "", "7 Günlük Fiyat")</f>
        <v>0.0</v>
      </c>
      <c r="S1088" s="41" t="n">
        <f>=IF(OR(Q1088="", R1088=""), "-", IF(ISNUMBER(SEARCH("7 Günlük", R1088)), IF(Q1088&lt;=M1088, O1088, "-"), "-"))</f>
        <v>0.0</v>
      </c>
      <c r="T1088" s="42" t="str">
        <f>=IF(ISBLANK(Q1088), "", "Hayır")</f>
      </c>
      <c r="U1088" s="43"/>
      <c r="V1088" s="44" t="inlineStr">
        <is>
          <t>50461ed1-c2c8-4393-967e-55d58a3e2664</t>
        </is>
      </c>
    </row>
    <row r="1089">
      <c r="A1089" s="23" t="inlineStr">
        <is>
          <t>Toz Ve Nem Alıcı Yolluk Paspas Iş Yeri Paspası Iç Ve Dış Mekan Paspası Rampalı Toz Alıcı Paspas</t>
        </is>
      </c>
      <c r="B1089" s="24" t="inlineStr">
        <is>
          <t>770010692</t>
        </is>
      </c>
      <c r="C1089" s="25" t="inlineStr">
        <is>
          <t>TOZKONTROL-YP2-50x120-SIYAH</t>
        </is>
      </c>
      <c r="D1089" s="26" t="inlineStr">
        <is>
          <t>TOZKONTROL-YP2-50x120-SIYAH</t>
        </is>
      </c>
      <c r="E1089" s="27" t="inlineStr">
        <is>
          <t>50 x 120</t>
        </is>
      </c>
      <c r="F1089" s="28" t="inlineStr">
        <is>
          <t>TOZKONTROL-YP1</t>
        </is>
      </c>
      <c r="G1089" s="29" t="inlineStr">
        <is>
          <t>Kapı Önü Paspası</t>
        </is>
      </c>
      <c r="H1089" s="30" t="inlineStr">
        <is>
          <t>Paspas Yap</t>
        </is>
      </c>
      <c r="I1089" s="31" t="n">
        <v>93.0</v>
      </c>
      <c r="J1089" s="32" t="n">
        <v>1599.0</v>
      </c>
      <c r="K1089" s="33" t="n">
        <v>1390.35</v>
      </c>
      <c r="L1089" s="34" t="n">
        <v>22.0</v>
      </c>
      <c r="M1089" s="35" t="n">
        <v>1115.55</v>
      </c>
      <c r="N1089" s="36" t="inlineStr">
        <is>
          <t>25 Ağustos 08.00-1 Eylül 07.59</t>
        </is>
      </c>
      <c r="O1089" s="37" t="n">
        <v>16.9</v>
      </c>
      <c r="P1089" s="38" t="n">
        <v>1390.35</v>
      </c>
      <c r="Q1089" s="39"/>
      <c r="R1089" s="40" t="n">
        <f>=IF(AND(ISBLANK(Q1089), ISBLANK(U1089)), "", "7 Günlük Fiyat")</f>
        <v>0.0</v>
      </c>
      <c r="S1089" s="41" t="n">
        <f>=IF(OR(Q1089="", R1089=""), "-", IF(ISNUMBER(SEARCH("7 Günlük", R1089)), IF(Q1089&lt;=M1089, O1089, "-"), "-"))</f>
        <v>0.0</v>
      </c>
      <c r="T1089" s="42" t="str">
        <f>=IF(ISBLANK(Q1089), "", "Hayır")</f>
      </c>
      <c r="U1089" s="43"/>
      <c r="V1089" s="44" t="inlineStr">
        <is>
          <t>50461ed1-c2c8-4393-967e-55d58a3e2664</t>
        </is>
      </c>
    </row>
    <row r="1090">
      <c r="A1090" s="23" t="inlineStr">
        <is>
          <t>Toz Ve Nem Alıcı Yolluk Paspas Iş Yeri Paspası Iç Ve Dış Mekan Paspası Rampalı Toz Alıcı Paspas</t>
        </is>
      </c>
      <c r="B1090" s="24" t="inlineStr">
        <is>
          <t>770010692</t>
        </is>
      </c>
      <c r="C1090" s="25" t="inlineStr">
        <is>
          <t>TOZKONTROL-YP2-100x120-SIYAH</t>
        </is>
      </c>
      <c r="D1090" s="26" t="inlineStr">
        <is>
          <t>TOZKONTROL-YP2-100x120-SIYAH</t>
        </is>
      </c>
      <c r="E1090" s="27" t="inlineStr">
        <is>
          <t>100 x 120</t>
        </is>
      </c>
      <c r="F1090" s="28" t="inlineStr">
        <is>
          <t>TOZKONTROL-YP1</t>
        </is>
      </c>
      <c r="G1090" s="29" t="inlineStr">
        <is>
          <t>Kapı Önü Paspası</t>
        </is>
      </c>
      <c r="H1090" s="30" t="inlineStr">
        <is>
          <t>Paspas Yap</t>
        </is>
      </c>
      <c r="I1090" s="31" t="n">
        <v>93.0</v>
      </c>
      <c r="J1090" s="32" t="n">
        <v>2759.0</v>
      </c>
      <c r="K1090" s="33" t="n">
        <v>2354.65</v>
      </c>
      <c r="L1090" s="34" t="n">
        <v>22.0</v>
      </c>
      <c r="M1090" s="35" t="n">
        <v>1543.6</v>
      </c>
      <c r="N1090" s="36" t="inlineStr">
        <is>
          <t>25 Ağustos 08.00-1 Eylül 07.59</t>
        </is>
      </c>
      <c r="O1090" s="37" t="n">
        <v>12.8</v>
      </c>
      <c r="P1090" s="38" t="n">
        <v>2354.65</v>
      </c>
      <c r="Q1090" s="39"/>
      <c r="R1090" s="40" t="n">
        <f>=IF(AND(ISBLANK(Q1090), ISBLANK(U1090)), "", "7 Günlük Fiyat")</f>
        <v>0.0</v>
      </c>
      <c r="S1090" s="41" t="n">
        <f>=IF(OR(Q1090="", R1090=""), "-", IF(ISNUMBER(SEARCH("7 Günlük", R1090)), IF(Q1090&lt;=M1090, O1090, "-"), "-"))</f>
        <v>0.0</v>
      </c>
      <c r="T1090" s="42" t="str">
        <f>=IF(ISBLANK(Q1090), "", "Hayır")</f>
      </c>
      <c r="U1090" s="43"/>
      <c r="V1090" s="44" t="inlineStr">
        <is>
          <t>50461ed1-c2c8-4393-967e-55d58a3e2664</t>
        </is>
      </c>
    </row>
    <row r="1091">
      <c r="A1091" s="23" t="inlineStr">
        <is>
          <t>Toz Ve Nem Alıcı Yolluk Paspas Iş Yeri Paspası Iç Ve Dış Mekan Paspası Rampalı Toz Alıcı Paspas</t>
        </is>
      </c>
      <c r="B1091" s="24" t="inlineStr">
        <is>
          <t>770010692</t>
        </is>
      </c>
      <c r="C1091" s="25" t="inlineStr">
        <is>
          <t>TOZKONTROL-YP2-120x900-SIYAH</t>
        </is>
      </c>
      <c r="D1091" s="26" t="inlineStr">
        <is>
          <t>TOZKONTROL-YP2-120x900-SIYAH</t>
        </is>
      </c>
      <c r="E1091" s="27" t="inlineStr">
        <is>
          <t>120 x 900</t>
        </is>
      </c>
      <c r="F1091" s="28" t="inlineStr">
        <is>
          <t>TOZKONTROL-YP1</t>
        </is>
      </c>
      <c r="G1091" s="29" t="inlineStr">
        <is>
          <t>Kapı Önü Paspası</t>
        </is>
      </c>
      <c r="H1091" s="30" t="inlineStr">
        <is>
          <t>Paspas Yap</t>
        </is>
      </c>
      <c r="I1091" s="31" t="n">
        <v>93.0</v>
      </c>
      <c r="J1091" s="32" t="n">
        <v>20833.0</v>
      </c>
      <c r="K1091" s="33" t="n">
        <v>20833.0</v>
      </c>
      <c r="L1091" s="34" t="n">
        <v>22.0</v>
      </c>
      <c r="M1091" s="35" t="n">
        <v>14899.34</v>
      </c>
      <c r="N1091" s="36" t="inlineStr">
        <is>
          <t>25 Ağustos 08.00-1 Eylül 07.59</t>
        </is>
      </c>
      <c r="O1091" s="37" t="n">
        <v>14.8</v>
      </c>
      <c r="P1091" s="38" t="n">
        <v>20833.0</v>
      </c>
      <c r="Q1091" s="39"/>
      <c r="R1091" s="40" t="n">
        <f>=IF(AND(ISBLANK(Q1091), ISBLANK(U1091)), "", "7 Günlük Fiyat")</f>
        <v>0.0</v>
      </c>
      <c r="S1091" s="41" t="n">
        <f>=IF(OR(Q1091="", R1091=""), "-", IF(ISNUMBER(SEARCH("7 Günlük", R1091)), IF(Q1091&lt;=M1091, O1091, "-"), "-"))</f>
        <v>0.0</v>
      </c>
      <c r="T1091" s="42" t="str">
        <f>=IF(ISBLANK(Q1091), "", "Hayır")</f>
      </c>
      <c r="U1091" s="43"/>
      <c r="V1091" s="44" t="inlineStr">
        <is>
          <t>50461ed1-c2c8-4393-967e-55d58a3e2664</t>
        </is>
      </c>
    </row>
    <row r="1092">
      <c r="A1092" s="23" t="inlineStr">
        <is>
          <t>Toz Ve Nem Alıcı Yolluk Paspas Iş Yeri Paspası Iç Ve Dış Mekan Paspası Rampalı Toz Alıcı Paspas</t>
        </is>
      </c>
      <c r="B1092" s="24" t="inlineStr">
        <is>
          <t>770010692</t>
        </is>
      </c>
      <c r="C1092" s="25" t="inlineStr">
        <is>
          <t>TOZKONTROL-YP2-80x120-SIYAH</t>
        </is>
      </c>
      <c r="D1092" s="26" t="inlineStr">
        <is>
          <t>TOZKONTROL-YP2-80x120-SIYAH</t>
        </is>
      </c>
      <c r="E1092" s="27" t="inlineStr">
        <is>
          <t>80 x 120</t>
        </is>
      </c>
      <c r="F1092" s="28" t="inlineStr">
        <is>
          <t>TOZKONTROL-YP1</t>
        </is>
      </c>
      <c r="G1092" s="29" t="inlineStr">
        <is>
          <t>Kapı Önü Paspası</t>
        </is>
      </c>
      <c r="H1092" s="30" t="inlineStr">
        <is>
          <t>Paspas Yap</t>
        </is>
      </c>
      <c r="I1092" s="31" t="n">
        <v>93.0</v>
      </c>
      <c r="J1092" s="32" t="n">
        <v>2128.0</v>
      </c>
      <c r="K1092" s="33" t="n">
        <v>1909.46</v>
      </c>
      <c r="L1092" s="34" t="n">
        <v>22.0</v>
      </c>
      <c r="M1092" s="35" t="n">
        <v>1420.87</v>
      </c>
      <c r="N1092" s="36" t="inlineStr">
        <is>
          <t>25 Ağustos 08.00-1 Eylül 07.59</t>
        </is>
      </c>
      <c r="O1092" s="37" t="n">
        <v>16.1</v>
      </c>
      <c r="P1092" s="38" t="n">
        <v>1909.46</v>
      </c>
      <c r="Q1092" s="39"/>
      <c r="R1092" s="40" t="n">
        <f>=IF(AND(ISBLANK(Q1092), ISBLANK(U1092)), "", "7 Günlük Fiyat")</f>
        <v>0.0</v>
      </c>
      <c r="S1092" s="41" t="n">
        <f>=IF(OR(Q1092="", R1092=""), "-", IF(ISNUMBER(SEARCH("7 Günlük", R1092)), IF(Q1092&lt;=M1092, O1092, "-"), "-"))</f>
        <v>0.0</v>
      </c>
      <c r="T1092" s="42" t="str">
        <f>=IF(ISBLANK(Q1092), "", "Hayır")</f>
      </c>
      <c r="U1092" s="43"/>
      <c r="V1092" s="44" t="inlineStr">
        <is>
          <t>50461ed1-c2c8-4393-967e-55d58a3e2664</t>
        </is>
      </c>
    </row>
    <row r="1093">
      <c r="A1093" s="23" t="inlineStr">
        <is>
          <t>Toz Ve Nem Alıcı Yolluk Paspas Iş Yeri Paspası Iç Ve Dış Mekan Paspası Rampalı Toz Alıcı Paspas</t>
        </is>
      </c>
      <c r="B1093" s="24" t="inlineStr">
        <is>
          <t>770010692</t>
        </is>
      </c>
      <c r="C1093" s="25" t="inlineStr">
        <is>
          <t>TOZKONTROL-YP2-120x1100-SIYAH</t>
        </is>
      </c>
      <c r="D1093" s="26" t="inlineStr">
        <is>
          <t>TOZKONTROL-YP2-120x1100-SIYAH</t>
        </is>
      </c>
      <c r="E1093" s="27" t="inlineStr">
        <is>
          <t>120 x 1100</t>
        </is>
      </c>
      <c r="F1093" s="28" t="inlineStr">
        <is>
          <t>TOZKONTROL-YP1</t>
        </is>
      </c>
      <c r="G1093" s="29" t="inlineStr">
        <is>
          <t>Kapı Önü Paspası</t>
        </is>
      </c>
      <c r="H1093" s="30" t="inlineStr">
        <is>
          <t>Paspas Yap</t>
        </is>
      </c>
      <c r="I1093" s="31" t="n">
        <v>93.0</v>
      </c>
      <c r="J1093" s="32" t="n">
        <v>24129.0</v>
      </c>
      <c r="K1093" s="33" t="n">
        <v>24129.0</v>
      </c>
      <c r="L1093" s="34" t="n">
        <v>22.0</v>
      </c>
      <c r="M1093" s="35" t="n">
        <v>17256.58</v>
      </c>
      <c r="N1093" s="36" t="inlineStr">
        <is>
          <t>25 Ağustos 08.00-1 Eylül 07.59</t>
        </is>
      </c>
      <c r="O1093" s="37" t="n">
        <v>14.8</v>
      </c>
      <c r="P1093" s="38" t="n">
        <v>24129.0</v>
      </c>
      <c r="Q1093" s="39"/>
      <c r="R1093" s="40" t="n">
        <f>=IF(AND(ISBLANK(Q1093), ISBLANK(U1093)), "", "7 Günlük Fiyat")</f>
        <v>0.0</v>
      </c>
      <c r="S1093" s="41" t="n">
        <f>=IF(OR(Q1093="", R1093=""), "-", IF(ISNUMBER(SEARCH("7 Günlük", R1093)), IF(Q1093&lt;=M1093, O1093, "-"), "-"))</f>
        <v>0.0</v>
      </c>
      <c r="T1093" s="42" t="str">
        <f>=IF(ISBLANK(Q1093), "", "Hayır")</f>
      </c>
      <c r="U1093" s="43"/>
      <c r="V1093" s="44" t="inlineStr">
        <is>
          <t>50461ed1-c2c8-4393-967e-55d58a3e2664</t>
        </is>
      </c>
    </row>
    <row r="1094">
      <c r="A1094" s="23" t="inlineStr">
        <is>
          <t>Toz Ve Nem Alıcı Yolluk Paspas Iş Yeri Paspası Iç Ve Dış Mekan Paspası Rampalı Toz Alıcı Paspas</t>
        </is>
      </c>
      <c r="B1094" s="24" t="inlineStr">
        <is>
          <t>770010692</t>
        </is>
      </c>
      <c r="C1094" s="25" t="inlineStr">
        <is>
          <t>TOZKONTROL-YP2-120x850-SIYAH</t>
        </is>
      </c>
      <c r="D1094" s="26" t="inlineStr">
        <is>
          <t>TOZKONTROL-YP2-120x850-SIYAH</t>
        </is>
      </c>
      <c r="E1094" s="27" t="inlineStr">
        <is>
          <t>120 x 850</t>
        </is>
      </c>
      <c r="F1094" s="28" t="inlineStr">
        <is>
          <t>TOZKONTROL-YP1</t>
        </is>
      </c>
      <c r="G1094" s="29" t="inlineStr">
        <is>
          <t>Kapı Önü Paspası</t>
        </is>
      </c>
      <c r="H1094" s="30" t="inlineStr">
        <is>
          <t>Paspas Yap</t>
        </is>
      </c>
      <c r="I1094" s="31" t="n">
        <v>93.0</v>
      </c>
      <c r="J1094" s="32" t="n">
        <v>19685.0</v>
      </c>
      <c r="K1094" s="33" t="n">
        <v>19685.0</v>
      </c>
      <c r="L1094" s="34" t="n">
        <v>22.0</v>
      </c>
      <c r="M1094" s="35" t="n">
        <v>14078.32</v>
      </c>
      <c r="N1094" s="36" t="inlineStr">
        <is>
          <t>25 Ağustos 08.00-1 Eylül 07.59</t>
        </is>
      </c>
      <c r="O1094" s="37" t="n">
        <v>14.8</v>
      </c>
      <c r="P1094" s="38" t="n">
        <v>19685.0</v>
      </c>
      <c r="Q1094" s="39"/>
      <c r="R1094" s="40" t="n">
        <f>=IF(AND(ISBLANK(Q1094), ISBLANK(U1094)), "", "7 Günlük Fiyat")</f>
        <v>0.0</v>
      </c>
      <c r="S1094" s="41" t="n">
        <f>=IF(OR(Q1094="", R1094=""), "-", IF(ISNUMBER(SEARCH("7 Günlük", R1094)), IF(Q1094&lt;=M1094, O1094, "-"), "-"))</f>
        <v>0.0</v>
      </c>
      <c r="T1094" s="42" t="str">
        <f>=IF(ISBLANK(Q1094), "", "Hayır")</f>
      </c>
      <c r="U1094" s="43"/>
      <c r="V1094" s="44" t="inlineStr">
        <is>
          <t>50461ed1-c2c8-4393-967e-55d58a3e2664</t>
        </is>
      </c>
    </row>
    <row r="1095">
      <c r="A1095" s="23" t="inlineStr">
        <is>
          <t>Toz Ve Nem Alıcı Yolluk Paspas Iş Yeri Paspası Iç Ve Dış Mekan Paspası Rampalı Toz Alıcı Paspas</t>
        </is>
      </c>
      <c r="B1095" s="24" t="inlineStr">
        <is>
          <t>770010692</t>
        </is>
      </c>
      <c r="C1095" s="25" t="inlineStr">
        <is>
          <t>TOZKONTROL-YP2-120x700-SIYAH</t>
        </is>
      </c>
      <c r="D1095" s="26" t="inlineStr">
        <is>
          <t>TOZKONTROL-YP2-120x700-SIYAH</t>
        </is>
      </c>
      <c r="E1095" s="27" t="inlineStr">
        <is>
          <t>120 x 700</t>
        </is>
      </c>
      <c r="F1095" s="28" t="inlineStr">
        <is>
          <t>TOZKONTROL-YP1</t>
        </is>
      </c>
      <c r="G1095" s="29" t="inlineStr">
        <is>
          <t>Kapı Önü Paspası</t>
        </is>
      </c>
      <c r="H1095" s="30" t="inlineStr">
        <is>
          <t>Paspas Yap</t>
        </is>
      </c>
      <c r="I1095" s="31" t="n">
        <v>93.0</v>
      </c>
      <c r="J1095" s="32" t="n">
        <v>14351.0</v>
      </c>
      <c r="K1095" s="33" t="n">
        <v>14351.0</v>
      </c>
      <c r="L1095" s="34" t="n">
        <v>22.0</v>
      </c>
      <c r="M1095" s="35" t="n">
        <v>10263.55</v>
      </c>
      <c r="N1095" s="36" t="inlineStr">
        <is>
          <t>25 Ağustos 08.00-1 Eylül 07.59</t>
        </is>
      </c>
      <c r="O1095" s="37" t="n">
        <v>14.8</v>
      </c>
      <c r="P1095" s="38" t="n">
        <v>14351.0</v>
      </c>
      <c r="Q1095" s="39"/>
      <c r="R1095" s="40" t="n">
        <f>=IF(AND(ISBLANK(Q1095), ISBLANK(U1095)), "", "7 Günlük Fiyat")</f>
        <v>0.0</v>
      </c>
      <c r="S1095" s="41" t="n">
        <f>=IF(OR(Q1095="", R1095=""), "-", IF(ISNUMBER(SEARCH("7 Günlük", R1095)), IF(Q1095&lt;=M1095, O1095, "-"), "-"))</f>
        <v>0.0</v>
      </c>
      <c r="T1095" s="42" t="str">
        <f>=IF(ISBLANK(Q1095), "", "Hayır")</f>
      </c>
      <c r="U1095" s="43"/>
      <c r="V1095" s="44" t="inlineStr">
        <is>
          <t>50461ed1-c2c8-4393-967e-55d58a3e2664</t>
        </is>
      </c>
    </row>
    <row r="1096">
      <c r="A1096" s="23" t="inlineStr">
        <is>
          <t>Toz Ve Nem Alıcı Yolluk Paspas Iş Yeri Paspası Iç Ve Dış Mekan Paspası Rampalı Toz Alıcı Paspas</t>
        </is>
      </c>
      <c r="B1096" s="24" t="inlineStr">
        <is>
          <t>770010692</t>
        </is>
      </c>
      <c r="C1096" s="25" t="inlineStr">
        <is>
          <t>TOZKONTROL-YP2-120x500-SIYAH</t>
        </is>
      </c>
      <c r="D1096" s="26" t="inlineStr">
        <is>
          <t>TOZKONTROL-YP2-120x500-SIYAH</t>
        </is>
      </c>
      <c r="E1096" s="27" t="inlineStr">
        <is>
          <t>120 x 500</t>
        </is>
      </c>
      <c r="F1096" s="28" t="inlineStr">
        <is>
          <t>TOZKONTROL-YP1</t>
        </is>
      </c>
      <c r="G1096" s="29" t="inlineStr">
        <is>
          <t>Kapı Önü Paspası</t>
        </is>
      </c>
      <c r="H1096" s="30" t="inlineStr">
        <is>
          <t>Paspas Yap</t>
        </is>
      </c>
      <c r="I1096" s="31" t="n">
        <v>93.0</v>
      </c>
      <c r="J1096" s="32" t="n">
        <v>10655.0</v>
      </c>
      <c r="K1096" s="33" t="n">
        <v>9869.76</v>
      </c>
      <c r="L1096" s="34" t="n">
        <v>22.0</v>
      </c>
      <c r="M1096" s="35" t="n">
        <v>6967.16</v>
      </c>
      <c r="N1096" s="36" t="inlineStr">
        <is>
          <t>25 Ağustos 08.00-1 Eylül 07.59</t>
        </is>
      </c>
      <c r="O1096" s="37" t="n">
        <v>15.4</v>
      </c>
      <c r="P1096" s="38" t="n">
        <v>9869.76</v>
      </c>
      <c r="Q1096" s="39"/>
      <c r="R1096" s="40" t="n">
        <f>=IF(AND(ISBLANK(Q1096), ISBLANK(U1096)), "", "7 Günlük Fiyat")</f>
        <v>0.0</v>
      </c>
      <c r="S1096" s="41" t="n">
        <f>=IF(OR(Q1096="", R1096=""), "-", IF(ISNUMBER(SEARCH("7 Günlük", R1096)), IF(Q1096&lt;=M1096, O1096, "-"), "-"))</f>
        <v>0.0</v>
      </c>
      <c r="T1096" s="42" t="str">
        <f>=IF(ISBLANK(Q1096), "", "Hayır")</f>
      </c>
      <c r="U1096" s="43"/>
      <c r="V1096" s="44" t="inlineStr">
        <is>
          <t>50461ed1-c2c8-4393-967e-55d58a3e2664</t>
        </is>
      </c>
    </row>
    <row r="1097">
      <c r="A1097" s="23" t="inlineStr">
        <is>
          <t>Toz Ve Nem Alıcı Yolluk Paspas Iş Yeri Paspası Iç Ve Dış Mekan Paspası Rampalı Toz Alıcı Paspas</t>
        </is>
      </c>
      <c r="B1097" s="24" t="inlineStr">
        <is>
          <t>770010692</t>
        </is>
      </c>
      <c r="C1097" s="25" t="inlineStr">
        <is>
          <t>TOZKONTROL-YP2-120x1000-SIYAH</t>
        </is>
      </c>
      <c r="D1097" s="26" t="inlineStr">
        <is>
          <t>TOZKONTROL-YP2-120x1000-SIYAH</t>
        </is>
      </c>
      <c r="E1097" s="27" t="inlineStr">
        <is>
          <t>120 x 1000</t>
        </is>
      </c>
      <c r="F1097" s="28" t="inlineStr">
        <is>
          <t>TOZKONTROL-YP1</t>
        </is>
      </c>
      <c r="G1097" s="29" t="inlineStr">
        <is>
          <t>Kapı Önü Paspası</t>
        </is>
      </c>
      <c r="H1097" s="30" t="inlineStr">
        <is>
          <t>Paspas Yap</t>
        </is>
      </c>
      <c r="I1097" s="31" t="n">
        <v>93.0</v>
      </c>
      <c r="J1097" s="32" t="n">
        <v>22715.0</v>
      </c>
      <c r="K1097" s="33" t="n">
        <v>22715.0</v>
      </c>
      <c r="L1097" s="34" t="n">
        <v>22.0</v>
      </c>
      <c r="M1097" s="35" t="n">
        <v>16245.31</v>
      </c>
      <c r="N1097" s="36" t="inlineStr">
        <is>
          <t>25 Ağustos 08.00-1 Eylül 07.59</t>
        </is>
      </c>
      <c r="O1097" s="37" t="n">
        <v>14.8</v>
      </c>
      <c r="P1097" s="38" t="n">
        <v>22715.0</v>
      </c>
      <c r="Q1097" s="39"/>
      <c r="R1097" s="40" t="n">
        <f>=IF(AND(ISBLANK(Q1097), ISBLANK(U1097)), "", "7 Günlük Fiyat")</f>
        <v>0.0</v>
      </c>
      <c r="S1097" s="41" t="n">
        <f>=IF(OR(Q1097="", R1097=""), "-", IF(ISNUMBER(SEARCH("7 Günlük", R1097)), IF(Q1097&lt;=M1097, O1097, "-"), "-"))</f>
        <v>0.0</v>
      </c>
      <c r="T1097" s="42" t="str">
        <f>=IF(ISBLANK(Q1097), "", "Hayır")</f>
      </c>
      <c r="U1097" s="43"/>
      <c r="V1097" s="44" t="inlineStr">
        <is>
          <t>50461ed1-c2c8-4393-967e-55d58a3e2664</t>
        </is>
      </c>
    </row>
    <row r="1098">
      <c r="A1098" s="23" t="inlineStr">
        <is>
          <t>Toz Ve Nem Alıcı Yolluk Paspas Iş Yeri Paspası Iç Ve Dış Mekan Paspası Rampalı Toz Alıcı Paspas</t>
        </is>
      </c>
      <c r="B1098" s="24" t="inlineStr">
        <is>
          <t>770010692</t>
        </is>
      </c>
      <c r="C1098" s="25" t="inlineStr">
        <is>
          <t>TOZKONTROL-YP2-100x600-SIYAH</t>
        </is>
      </c>
      <c r="D1098" s="26" t="inlineStr">
        <is>
          <t>TOZKONTROL-YP2-100x600-SIYAH</t>
        </is>
      </c>
      <c r="E1098" s="27" t="inlineStr">
        <is>
          <t>100 x 600</t>
        </is>
      </c>
      <c r="F1098" s="28" t="inlineStr">
        <is>
          <t>TOZKONTROL-YP1</t>
        </is>
      </c>
      <c r="G1098" s="29" t="inlineStr">
        <is>
          <t>Kapı Önü Paspası</t>
        </is>
      </c>
      <c r="H1098" s="30" t="inlineStr">
        <is>
          <t>Paspas Yap</t>
        </is>
      </c>
      <c r="I1098" s="31" t="n">
        <v>93.0</v>
      </c>
      <c r="J1098" s="32" t="n">
        <v>10655.0</v>
      </c>
      <c r="K1098" s="33" t="n">
        <v>9841.95</v>
      </c>
      <c r="L1098" s="34" t="n">
        <v>22.0</v>
      </c>
      <c r="M1098" s="35" t="n">
        <v>6880.35</v>
      </c>
      <c r="N1098" s="36" t="inlineStr">
        <is>
          <t>25 Ağustos 08.00-1 Eylül 07.59</t>
        </is>
      </c>
      <c r="O1098" s="37" t="n">
        <v>15.3</v>
      </c>
      <c r="P1098" s="38" t="n">
        <v>9841.95</v>
      </c>
      <c r="Q1098" s="39"/>
      <c r="R1098" s="40" t="n">
        <f>=IF(AND(ISBLANK(Q1098), ISBLANK(U1098)), "", "7 Günlük Fiyat")</f>
        <v>0.0</v>
      </c>
      <c r="S1098" s="41" t="n">
        <f>=IF(OR(Q1098="", R1098=""), "-", IF(ISNUMBER(SEARCH("7 Günlük", R1098)), IF(Q1098&lt;=M1098, O1098, "-"), "-"))</f>
        <v>0.0</v>
      </c>
      <c r="T1098" s="42" t="str">
        <f>=IF(ISBLANK(Q1098), "", "Hayır")</f>
      </c>
      <c r="U1098" s="43"/>
      <c r="V1098" s="44" t="inlineStr">
        <is>
          <t>50461ed1-c2c8-4393-967e-55d58a3e2664</t>
        </is>
      </c>
    </row>
    <row r="1099">
      <c r="A1099" s="23" t="inlineStr">
        <is>
          <t>Toz Ve Nem Alıcı Yolluk Paspas Iş Yeri Paspası Iç Ve Dış Mekan Paspası Rampalı Toz Alıcı Paspas</t>
        </is>
      </c>
      <c r="B1099" s="24" t="inlineStr">
        <is>
          <t>770010692</t>
        </is>
      </c>
      <c r="C1099" s="25" t="inlineStr">
        <is>
          <t>TOZKONTROL-YP2-80x150-SIYAH</t>
        </is>
      </c>
      <c r="D1099" s="26" t="inlineStr">
        <is>
          <t>TOZKONTROL-YP2-80x150-SIYAH</t>
        </is>
      </c>
      <c r="E1099" s="27" t="inlineStr">
        <is>
          <t>80 x 150</t>
        </is>
      </c>
      <c r="F1099" s="28" t="inlineStr">
        <is>
          <t>TOZKONTROL-YP1</t>
        </is>
      </c>
      <c r="G1099" s="29" t="inlineStr">
        <is>
          <t>Kapı Önü Paspası</t>
        </is>
      </c>
      <c r="H1099" s="30" t="inlineStr">
        <is>
          <t>Paspas Yap</t>
        </is>
      </c>
      <c r="I1099" s="31" t="n">
        <v>93.0</v>
      </c>
      <c r="J1099" s="32" t="n">
        <v>2759.0</v>
      </c>
      <c r="K1099" s="33" t="n">
        <v>2162.99</v>
      </c>
      <c r="L1099" s="34" t="n">
        <v>22.0</v>
      </c>
      <c r="M1099" s="35" t="n">
        <v>1631.33</v>
      </c>
      <c r="N1099" s="36" t="inlineStr">
        <is>
          <t>25 Ağustos 08.00-1 Eylül 07.59</t>
        </is>
      </c>
      <c r="O1099" s="37" t="n">
        <v>15.5</v>
      </c>
      <c r="P1099" s="38" t="n">
        <v>2162.99</v>
      </c>
      <c r="Q1099" s="39"/>
      <c r="R1099" s="40" t="n">
        <f>=IF(AND(ISBLANK(Q1099), ISBLANK(U1099)), "", "7 Günlük Fiyat")</f>
        <v>0.0</v>
      </c>
      <c r="S1099" s="41" t="n">
        <f>=IF(OR(Q1099="", R1099=""), "-", IF(ISNUMBER(SEARCH("7 Günlük", R1099)), IF(Q1099&lt;=M1099, O1099, "-"), "-"))</f>
        <v>0.0</v>
      </c>
      <c r="T1099" s="42" t="str">
        <f>=IF(ISBLANK(Q1099), "", "Hayır")</f>
      </c>
      <c r="U1099" s="43"/>
      <c r="V1099" s="44" t="inlineStr">
        <is>
          <t>50461ed1-c2c8-4393-967e-55d58a3e2664</t>
        </is>
      </c>
    </row>
    <row r="1100">
      <c r="A1100" s="23" t="inlineStr">
        <is>
          <t>Toz Ve Nem Alıcı Yolluk Paspas Iş Yeri Paspası Iç Ve Dış Mekan Paspası Rampalı Toz Alıcı Paspas</t>
        </is>
      </c>
      <c r="B1100" s="24" t="inlineStr">
        <is>
          <t>770010692</t>
        </is>
      </c>
      <c r="C1100" s="25" t="inlineStr">
        <is>
          <t>TOZKONTROL-YP2-120x350-SIYAH</t>
        </is>
      </c>
      <c r="D1100" s="26" t="inlineStr">
        <is>
          <t>TOZKONTROL-YP2-120x350-SIYAH</t>
        </is>
      </c>
      <c r="E1100" s="27" t="inlineStr">
        <is>
          <t>120 x 350</t>
        </is>
      </c>
      <c r="F1100" s="28" t="inlineStr">
        <is>
          <t>TOZKONTROL-YP1</t>
        </is>
      </c>
      <c r="G1100" s="29" t="inlineStr">
        <is>
          <t>Kapı Önü Paspası</t>
        </is>
      </c>
      <c r="H1100" s="30" t="inlineStr">
        <is>
          <t>Paspas Yap</t>
        </is>
      </c>
      <c r="I1100" s="31" t="n">
        <v>93.0</v>
      </c>
      <c r="J1100" s="32" t="n">
        <v>7217.0</v>
      </c>
      <c r="K1100" s="33" t="n">
        <v>6566.67</v>
      </c>
      <c r="L1100" s="34" t="n">
        <v>22.0</v>
      </c>
      <c r="M1100" s="35" t="n">
        <v>4769.11</v>
      </c>
      <c r="N1100" s="36" t="inlineStr">
        <is>
          <t>25 Ağustos 08.00-1 Eylül 07.59</t>
        </is>
      </c>
      <c r="O1100" s="37" t="n">
        <v>15.7</v>
      </c>
      <c r="P1100" s="38" t="n">
        <v>6566.67</v>
      </c>
      <c r="Q1100" s="39"/>
      <c r="R1100" s="40" t="n">
        <f>=IF(AND(ISBLANK(Q1100), ISBLANK(U1100)), "", "7 Günlük Fiyat")</f>
        <v>0.0</v>
      </c>
      <c r="S1100" s="41" t="n">
        <f>=IF(OR(Q1100="", R1100=""), "-", IF(ISNUMBER(SEARCH("7 Günlük", R1100)), IF(Q1100&lt;=M1100, O1100, "-"), "-"))</f>
        <v>0.0</v>
      </c>
      <c r="T1100" s="42" t="str">
        <f>=IF(ISBLANK(Q1100), "", "Hayır")</f>
      </c>
      <c r="U1100" s="43"/>
      <c r="V1100" s="44" t="inlineStr">
        <is>
          <t>50461ed1-c2c8-4393-967e-55d58a3e2664</t>
        </is>
      </c>
    </row>
    <row r="1101">
      <c r="A1101" s="23" t="inlineStr">
        <is>
          <t>Toz Ve Nem Alıcı Yolluk Paspas Iş Yeri Paspası Iç Ve Dış Mekan Paspası Rampalı Toz Alıcı Paspas</t>
        </is>
      </c>
      <c r="B1101" s="24" t="inlineStr">
        <is>
          <t>770010692</t>
        </is>
      </c>
      <c r="C1101" s="25" t="inlineStr">
        <is>
          <t>TOZKONTROL-YP2-80x750-SIYAH</t>
        </is>
      </c>
      <c r="D1101" s="26" t="inlineStr">
        <is>
          <t>TOZKONTROL-YP2-80x750-SIYAH</t>
        </is>
      </c>
      <c r="E1101" s="27" t="inlineStr">
        <is>
          <t>80 x 750</t>
        </is>
      </c>
      <c r="F1101" s="28" t="inlineStr">
        <is>
          <t>TOZKONTROL-YP1</t>
        </is>
      </c>
      <c r="G1101" s="29" t="inlineStr">
        <is>
          <t>Kapı Önü Paspası</t>
        </is>
      </c>
      <c r="H1101" s="30" t="inlineStr">
        <is>
          <t>Paspas Yap</t>
        </is>
      </c>
      <c r="I1101" s="31" t="n">
        <v>93.0</v>
      </c>
      <c r="J1101" s="32" t="n">
        <v>10655.0</v>
      </c>
      <c r="K1101" s="33" t="n">
        <v>9897.25</v>
      </c>
      <c r="L1101" s="34" t="n">
        <v>22.0</v>
      </c>
      <c r="M1101" s="35" t="n">
        <v>6967.76</v>
      </c>
      <c r="N1101" s="36" t="inlineStr">
        <is>
          <t>25 Ağustos 08.00-1 Eylül 07.59</t>
        </is>
      </c>
      <c r="O1101" s="37" t="n">
        <v>15.4</v>
      </c>
      <c r="P1101" s="38" t="n">
        <v>9897.25</v>
      </c>
      <c r="Q1101" s="39"/>
      <c r="R1101" s="40" t="n">
        <f>=IF(AND(ISBLANK(Q1101), ISBLANK(U1101)), "", "7 Günlük Fiyat")</f>
        <v>0.0</v>
      </c>
      <c r="S1101" s="41" t="n">
        <f>=IF(OR(Q1101="", R1101=""), "-", IF(ISNUMBER(SEARCH("7 Günlük", R1101)), IF(Q1101&lt;=M1101, O1101, "-"), "-"))</f>
        <v>0.0</v>
      </c>
      <c r="T1101" s="42" t="str">
        <f>=IF(ISBLANK(Q1101), "", "Hayır")</f>
      </c>
      <c r="U1101" s="43"/>
      <c r="V1101" s="44" t="inlineStr">
        <is>
          <t>50461ed1-c2c8-4393-967e-55d58a3e2664</t>
        </is>
      </c>
    </row>
    <row r="1102">
      <c r="A1102" s="23" t="inlineStr">
        <is>
          <t>Toz Ve Nem Alıcı Yolluk Paspas Iş Yeri Paspası Iç Ve Dış Mekan Paspası Rampalı Toz Alıcı Paspas</t>
        </is>
      </c>
      <c r="B1102" s="24" t="inlineStr">
        <is>
          <t>770010692</t>
        </is>
      </c>
      <c r="C1102" s="25" t="inlineStr">
        <is>
          <t>TOZKONTROL-YP2-100x800-SIYAH</t>
        </is>
      </c>
      <c r="D1102" s="26" t="inlineStr">
        <is>
          <t>TOZKONTROL-YP2-100x800-SIYAH</t>
        </is>
      </c>
      <c r="E1102" s="27" t="inlineStr">
        <is>
          <t>100 x 800</t>
        </is>
      </c>
      <c r="F1102" s="28" t="inlineStr">
        <is>
          <t>TOZKONTROL-YP1</t>
        </is>
      </c>
      <c r="G1102" s="29" t="inlineStr">
        <is>
          <t>Kapı Önü Paspası</t>
        </is>
      </c>
      <c r="H1102" s="30" t="inlineStr">
        <is>
          <t>Paspas Yap</t>
        </is>
      </c>
      <c r="I1102" s="31" t="n">
        <v>93.0</v>
      </c>
      <c r="J1102" s="32" t="n">
        <v>13749.0</v>
      </c>
      <c r="K1102" s="33" t="n">
        <v>13749.0</v>
      </c>
      <c r="L1102" s="34" t="n">
        <v>22.0</v>
      </c>
      <c r="M1102" s="35" t="n">
        <v>9833.01</v>
      </c>
      <c r="N1102" s="36" t="inlineStr">
        <is>
          <t>25 Ağustos 08.00-1 Eylül 07.59</t>
        </is>
      </c>
      <c r="O1102" s="37" t="n">
        <v>14.8</v>
      </c>
      <c r="P1102" s="38" t="n">
        <v>13749.0</v>
      </c>
      <c r="Q1102" s="39"/>
      <c r="R1102" s="40" t="n">
        <f>=IF(AND(ISBLANK(Q1102), ISBLANK(U1102)), "", "7 Günlük Fiyat")</f>
        <v>0.0</v>
      </c>
      <c r="S1102" s="41" t="n">
        <f>=IF(OR(Q1102="", R1102=""), "-", IF(ISNUMBER(SEARCH("7 Günlük", R1102)), IF(Q1102&lt;=M1102, O1102, "-"), "-"))</f>
        <v>0.0</v>
      </c>
      <c r="T1102" s="42" t="str">
        <f>=IF(ISBLANK(Q1102), "", "Hayır")</f>
      </c>
      <c r="U1102" s="43"/>
      <c r="V1102" s="44" t="inlineStr">
        <is>
          <t>50461ed1-c2c8-4393-967e-55d58a3e2664</t>
        </is>
      </c>
    </row>
    <row r="1103">
      <c r="A1103" s="23" t="inlineStr">
        <is>
          <t>Toz Ve Nem Alıcı Yolluk Paspas Iş Yeri Paspası Iç Ve Dış Mekan Paspası Rampalı Toz Alıcı Paspas</t>
        </is>
      </c>
      <c r="B1103" s="24" t="inlineStr">
        <is>
          <t>770010692</t>
        </is>
      </c>
      <c r="C1103" s="25" t="inlineStr">
        <is>
          <t>TOZKONTROL-YP2-80x100-SIYAH</t>
        </is>
      </c>
      <c r="D1103" s="26" t="inlineStr">
        <is>
          <t>TOZKONTROL-YP2-80x100-SIYAH</t>
        </is>
      </c>
      <c r="E1103" s="27" t="inlineStr">
        <is>
          <t>80 x 100</t>
        </is>
      </c>
      <c r="F1103" s="28" t="inlineStr">
        <is>
          <t>TOZKONTROL-YP1</t>
        </is>
      </c>
      <c r="G1103" s="29" t="inlineStr">
        <is>
          <t>Kapı Önü Paspası</t>
        </is>
      </c>
      <c r="H1103" s="30" t="inlineStr">
        <is>
          <t>Paspas Yap</t>
        </is>
      </c>
      <c r="I1103" s="31" t="n">
        <v>93.0</v>
      </c>
      <c r="J1103" s="32" t="n">
        <v>1877.0</v>
      </c>
      <c r="K1103" s="33" t="n">
        <v>1628.68</v>
      </c>
      <c r="L1103" s="34" t="n">
        <v>22.0</v>
      </c>
      <c r="M1103" s="35" t="n">
        <v>1271.18</v>
      </c>
      <c r="N1103" s="36" t="inlineStr">
        <is>
          <t>25 Ağustos 08.00-1 Eylül 07.59</t>
        </is>
      </c>
      <c r="O1103" s="37" t="n">
        <v>16.4</v>
      </c>
      <c r="P1103" s="38" t="n">
        <v>1628.68</v>
      </c>
      <c r="Q1103" s="39"/>
      <c r="R1103" s="40" t="n">
        <f>=IF(AND(ISBLANK(Q1103), ISBLANK(U1103)), "", "7 Günlük Fiyat")</f>
        <v>0.0</v>
      </c>
      <c r="S1103" s="41" t="n">
        <f>=IF(OR(Q1103="", R1103=""), "-", IF(ISNUMBER(SEARCH("7 Günlük", R1103)), IF(Q1103&lt;=M1103, O1103, "-"), "-"))</f>
        <v>0.0</v>
      </c>
      <c r="T1103" s="42" t="str">
        <f>=IF(ISBLANK(Q1103), "", "Hayır")</f>
      </c>
      <c r="U1103" s="43"/>
      <c r="V1103" s="44" t="inlineStr">
        <is>
          <t>50461ed1-c2c8-4393-967e-55d58a3e2664</t>
        </is>
      </c>
    </row>
    <row r="1104">
      <c r="A1104" s="23" t="inlineStr">
        <is>
          <t>Dikdörtgen Çerçeveli Dış Kapı Paspası - Kıvırcık Paspas - Suya Dayanıklı - 3 Çizgili Model</t>
        </is>
      </c>
      <c r="B1104" s="24" t="inlineStr">
        <is>
          <t>957262385</t>
        </is>
      </c>
      <c r="C1104" s="25" t="inlineStr">
        <is>
          <t>KIVIRCIK-BASKILI-TURKUAZ-60x100-YST404</t>
        </is>
      </c>
      <c r="D1104" s="26" t="inlineStr">
        <is>
          <t>KIVIRCIK-BASKILI-TURKUAZ-60x100-YST404</t>
        </is>
      </c>
      <c r="E1104" s="27" t="inlineStr">
        <is>
          <t>60 x 100</t>
        </is>
      </c>
      <c r="F1104" s="28" t="inlineStr">
        <is>
          <t>KIVIRCIK-BASKILI-YST404</t>
        </is>
      </c>
      <c r="G1104" s="29" t="inlineStr">
        <is>
          <t>Kapı Önü Paspası</t>
        </is>
      </c>
      <c r="H1104" s="30" t="inlineStr">
        <is>
          <t>Paspas Yap</t>
        </is>
      </c>
      <c r="I1104" s="31" t="n">
        <v>93.0</v>
      </c>
      <c r="J1104" s="32" t="n">
        <v>1249.0</v>
      </c>
      <c r="K1104" s="33" t="n">
        <v>971.4</v>
      </c>
      <c r="L1104" s="34" t="n">
        <v>22.0</v>
      </c>
      <c r="M1104" s="35" t="n">
        <v>690.12</v>
      </c>
      <c r="N1104" s="36" t="inlineStr">
        <is>
          <t>25 Ağustos 08.00-1 Eylül 07.59</t>
        </is>
      </c>
      <c r="O1104" s="37" t="n">
        <v>14.3</v>
      </c>
      <c r="P1104" s="38" t="n">
        <v>971.4</v>
      </c>
      <c r="Q1104" s="39"/>
      <c r="R1104" s="40" t="n">
        <f>=IF(AND(ISBLANK(Q1104), ISBLANK(U1104)), "", "7 Günlük Fiyat")</f>
        <v>0.0</v>
      </c>
      <c r="S1104" s="41" t="n">
        <f>=IF(OR(Q1104="", R1104=""), "-", IF(ISNUMBER(SEARCH("7 Günlük", R1104)), IF(Q1104&lt;=M1104, O1104, "-"), "-"))</f>
        <v>0.0</v>
      </c>
      <c r="T1104" s="42" t="str">
        <f>=IF(ISBLANK(Q1104), "", "Hayır")</f>
      </c>
      <c r="U1104" s="43"/>
      <c r="V1104" s="44" t="inlineStr">
        <is>
          <t>50461ed1-c2c8-4393-967e-55d58a3e2664</t>
        </is>
      </c>
    </row>
    <row r="1105">
      <c r="A1105" s="23" t="inlineStr">
        <is>
          <t>Dikdörtgen Çerçeveli Dış Kapı Paspası - Kıvırcık Paspas - Suya Dayanıklı - 3 Çizgili Model</t>
        </is>
      </c>
      <c r="B1105" s="24" t="inlineStr">
        <is>
          <t>957262385</t>
        </is>
      </c>
      <c r="C1105" s="25" t="inlineStr">
        <is>
          <t>KIVIRCIK-BASKILI-TURKUAZ-40x70-YST404</t>
        </is>
      </c>
      <c r="D1105" s="26" t="inlineStr">
        <is>
          <t>KIVIRCIK-BASKILI-TURKUAZ-40x70-YST404</t>
        </is>
      </c>
      <c r="E1105" s="27" t="inlineStr">
        <is>
          <t>40 x 70</t>
        </is>
      </c>
      <c r="F1105" s="28" t="inlineStr">
        <is>
          <t>KIVIRCIK-BASKILI-YST404</t>
        </is>
      </c>
      <c r="G1105" s="29" t="inlineStr">
        <is>
          <t>Kapı Önü Paspası</t>
        </is>
      </c>
      <c r="H1105" s="30" t="inlineStr">
        <is>
          <t>Paspas Yap</t>
        </is>
      </c>
      <c r="I1105" s="31" t="n">
        <v>93.0</v>
      </c>
      <c r="J1105" s="32" t="n">
        <v>749.0</v>
      </c>
      <c r="K1105" s="33" t="n">
        <v>635.6</v>
      </c>
      <c r="L1105" s="34" t="n">
        <v>22.0</v>
      </c>
      <c r="M1105" s="35" t="n">
        <v>473.97</v>
      </c>
      <c r="N1105" s="36" t="inlineStr">
        <is>
          <t>25 Ağustos 08.00-1 Eylül 07.59</t>
        </is>
      </c>
      <c r="O1105" s="37" t="n">
        <v>15.2</v>
      </c>
      <c r="P1105" s="38" t="n">
        <v>635.6</v>
      </c>
      <c r="Q1105" s="39"/>
      <c r="R1105" s="40" t="n">
        <f>=IF(AND(ISBLANK(Q1105), ISBLANK(U1105)), "", "7 Günlük Fiyat")</f>
        <v>0.0</v>
      </c>
      <c r="S1105" s="41" t="n">
        <f>=IF(OR(Q1105="", R1105=""), "-", IF(ISNUMBER(SEARCH("7 Günlük", R1105)), IF(Q1105&lt;=M1105, O1105, "-"), "-"))</f>
        <v>0.0</v>
      </c>
      <c r="T1105" s="42" t="str">
        <f>=IF(ISBLANK(Q1105), "", "Hayır")</f>
      </c>
      <c r="U1105" s="43"/>
      <c r="V1105" s="44" t="inlineStr">
        <is>
          <t>50461ed1-c2c8-4393-967e-55d58a3e2664</t>
        </is>
      </c>
    </row>
    <row r="1106">
      <c r="A1106" s="23" t="inlineStr">
        <is>
          <t>Dikdörtgen Çerçeveli Dış Kapı Paspası - Kıvırcık Paspas - Suya Dayanıklı - 3 Çizgili Model</t>
        </is>
      </c>
      <c r="B1106" s="24" t="inlineStr">
        <is>
          <t>957262385</t>
        </is>
      </c>
      <c r="C1106" s="25" t="inlineStr">
        <is>
          <t>KIVIRCIK-BASKILI-TURKUAZ-100x100-YST404</t>
        </is>
      </c>
      <c r="D1106" s="26" t="inlineStr">
        <is>
          <t>KIVIRCIK-BASKILI-TURKUAZ-100x100-YST404</t>
        </is>
      </c>
      <c r="E1106" s="27" t="inlineStr">
        <is>
          <t>100 x 100</t>
        </is>
      </c>
      <c r="F1106" s="28" t="inlineStr">
        <is>
          <t>KIVIRCIK-BASKILI-YST404</t>
        </is>
      </c>
      <c r="G1106" s="29" t="inlineStr">
        <is>
          <t>Kapı Önü Paspası</t>
        </is>
      </c>
      <c r="H1106" s="30" t="inlineStr">
        <is>
          <t>Paspas Yap</t>
        </is>
      </c>
      <c r="I1106" s="31" t="n">
        <v>93.0</v>
      </c>
      <c r="J1106" s="32" t="n">
        <v>1848.0</v>
      </c>
      <c r="K1106" s="33" t="n">
        <v>1464.99</v>
      </c>
      <c r="L1106" s="34" t="n">
        <v>22.0</v>
      </c>
      <c r="M1106" s="35" t="n">
        <v>1065.86</v>
      </c>
      <c r="N1106" s="36" t="inlineStr">
        <is>
          <t>25 Ağustos 08.00-1 Eylül 07.59</t>
        </is>
      </c>
      <c r="O1106" s="37" t="n">
        <v>14.1</v>
      </c>
      <c r="P1106" s="38" t="n">
        <v>1464.99</v>
      </c>
      <c r="Q1106" s="39"/>
      <c r="R1106" s="40" t="n">
        <f>=IF(AND(ISBLANK(Q1106), ISBLANK(U1106)), "", "7 Günlük Fiyat")</f>
        <v>0.0</v>
      </c>
      <c r="S1106" s="41" t="n">
        <f>=IF(OR(Q1106="", R1106=""), "-", IF(ISNUMBER(SEARCH("7 Günlük", R1106)), IF(Q1106&lt;=M1106, O1106, "-"), "-"))</f>
        <v>0.0</v>
      </c>
      <c r="T1106" s="42" t="str">
        <f>=IF(ISBLANK(Q1106), "", "Hayır")</f>
      </c>
      <c r="U1106" s="43"/>
      <c r="V1106" s="44" t="inlineStr">
        <is>
          <t>50461ed1-c2c8-4393-967e-55d58a3e2664</t>
        </is>
      </c>
    </row>
    <row r="1107">
      <c r="A1107" s="23" t="inlineStr">
        <is>
          <t>Dikdörtgen Çerçeveli Dış Kapı Paspası - Kıvırcık Paspas - Suya Dayanıklı - 3 Çizgili Model</t>
        </is>
      </c>
      <c r="B1107" s="24" t="inlineStr">
        <is>
          <t>957262385</t>
        </is>
      </c>
      <c r="C1107" s="25" t="inlineStr">
        <is>
          <t>KIVIRCIK-BASKILI-TURKUAZ-100x150-YST404</t>
        </is>
      </c>
      <c r="D1107" s="26" t="inlineStr">
        <is>
          <t>KIVIRCIK-BASKILI-TURKUAZ-100x150-YST404</t>
        </is>
      </c>
      <c r="E1107" s="27" t="inlineStr">
        <is>
          <t>100 x 150</t>
        </is>
      </c>
      <c r="F1107" s="28" t="inlineStr">
        <is>
          <t>KIVIRCIK-BASKILI-YST404</t>
        </is>
      </c>
      <c r="G1107" s="29" t="inlineStr">
        <is>
          <t>Kapı Önü Paspası</t>
        </is>
      </c>
      <c r="H1107" s="30" t="inlineStr">
        <is>
          <t>Paspas Yap</t>
        </is>
      </c>
      <c r="I1107" s="31" t="n">
        <v>93.0</v>
      </c>
      <c r="J1107" s="32" t="n">
        <v>2668.0</v>
      </c>
      <c r="K1107" s="33" t="n">
        <v>2394.9</v>
      </c>
      <c r="L1107" s="34" t="n">
        <v>22.0</v>
      </c>
      <c r="M1107" s="35" t="n">
        <v>1779.49</v>
      </c>
      <c r="N1107" s="36" t="inlineStr">
        <is>
          <t>25 Ağustos 08.00-1 Eylül 07.59</t>
        </is>
      </c>
      <c r="O1107" s="37" t="n">
        <v>15.8</v>
      </c>
      <c r="P1107" s="38" t="n">
        <v>2394.9</v>
      </c>
      <c r="Q1107" s="39"/>
      <c r="R1107" s="40" t="n">
        <f>=IF(AND(ISBLANK(Q1107), ISBLANK(U1107)), "", "7 Günlük Fiyat")</f>
        <v>0.0</v>
      </c>
      <c r="S1107" s="41" t="n">
        <f>=IF(OR(Q1107="", R1107=""), "-", IF(ISNUMBER(SEARCH("7 Günlük", R1107)), IF(Q1107&lt;=M1107, O1107, "-"), "-"))</f>
        <v>0.0</v>
      </c>
      <c r="T1107" s="42" t="str">
        <f>=IF(ISBLANK(Q1107), "", "Hayır")</f>
      </c>
      <c r="U1107" s="43"/>
      <c r="V1107" s="44" t="inlineStr">
        <is>
          <t>50461ed1-c2c8-4393-967e-55d58a3e2664</t>
        </is>
      </c>
    </row>
    <row r="1108">
      <c r="A1108" s="23" t="inlineStr">
        <is>
          <t>Dikdörtgen Çerçeveli Dış Kapı Paspası - Kıvırcık Paspas - Suya Dayanıklı - 3 Çizgili Model</t>
        </is>
      </c>
      <c r="B1108" s="24" t="inlineStr">
        <is>
          <t>957262385</t>
        </is>
      </c>
      <c r="C1108" s="25" t="inlineStr">
        <is>
          <t>KIVIRCIK-BASKILI-TURKUAZ-80x120-YST404</t>
        </is>
      </c>
      <c r="D1108" s="26" t="inlineStr">
        <is>
          <t>KIVIRCIK-BASKILI-TURKUAZ-80x120-YST404</t>
        </is>
      </c>
      <c r="E1108" s="27" t="inlineStr">
        <is>
          <t>80 x 120</t>
        </is>
      </c>
      <c r="F1108" s="28" t="inlineStr">
        <is>
          <t>KIVIRCIK-BASKILI-YST404</t>
        </is>
      </c>
      <c r="G1108" s="29" t="inlineStr">
        <is>
          <t>Kapı Önü Paspası</t>
        </is>
      </c>
      <c r="H1108" s="30" t="inlineStr">
        <is>
          <t>Paspas Yap</t>
        </is>
      </c>
      <c r="I1108" s="31" t="n">
        <v>93.0</v>
      </c>
      <c r="J1108" s="32" t="n">
        <v>1824.0</v>
      </c>
      <c r="K1108" s="33" t="n">
        <v>1544.45</v>
      </c>
      <c r="L1108" s="34" t="n">
        <v>22.0</v>
      </c>
      <c r="M1108" s="35" t="n">
        <v>1134.48</v>
      </c>
      <c r="N1108" s="36" t="inlineStr">
        <is>
          <t>25 Ağustos 08.00-1 Eylül 07.59</t>
        </is>
      </c>
      <c r="O1108" s="37" t="n">
        <v>14.9</v>
      </c>
      <c r="P1108" s="38" t="n">
        <v>1544.45</v>
      </c>
      <c r="Q1108" s="39"/>
      <c r="R1108" s="40" t="n">
        <f>=IF(AND(ISBLANK(Q1108), ISBLANK(U1108)), "", "7 Günlük Fiyat")</f>
        <v>0.0</v>
      </c>
      <c r="S1108" s="41" t="n">
        <f>=IF(OR(Q1108="", R1108=""), "-", IF(ISNUMBER(SEARCH("7 Günlük", R1108)), IF(Q1108&lt;=M1108, O1108, "-"), "-"))</f>
        <v>0.0</v>
      </c>
      <c r="T1108" s="42" t="str">
        <f>=IF(ISBLANK(Q1108), "", "Hayır")</f>
      </c>
      <c r="U1108" s="43"/>
      <c r="V1108" s="44" t="inlineStr">
        <is>
          <t>50461ed1-c2c8-4393-967e-55d58a3e2664</t>
        </is>
      </c>
    </row>
    <row r="1109">
      <c r="A1109" s="23" t="inlineStr">
        <is>
          <t>Dikdörtgen Çerçeveli Dış Kapı Paspası - Kıvırcık Paspas - Suya Dayanıklı - 3 Çizgili Model</t>
        </is>
      </c>
      <c r="B1109" s="24" t="inlineStr">
        <is>
          <t>957262385</t>
        </is>
      </c>
      <c r="C1109" s="25" t="inlineStr">
        <is>
          <t>KIVIRCIK-BASKILI-TURKUAZ-50x90-YST404</t>
        </is>
      </c>
      <c r="D1109" s="26" t="inlineStr">
        <is>
          <t>KIVIRCIK-BASKILI-TURKUAZ-50x90-YST404</t>
        </is>
      </c>
      <c r="E1109" s="27" t="inlineStr">
        <is>
          <t>50 x 90</t>
        </is>
      </c>
      <c r="F1109" s="28" t="inlineStr">
        <is>
          <t>KIVIRCIK-BASKILI-YST404</t>
        </is>
      </c>
      <c r="G1109" s="29" t="inlineStr">
        <is>
          <t>Kapı Önü Paspası</t>
        </is>
      </c>
      <c r="H1109" s="30" t="inlineStr">
        <is>
          <t>Paspas Yap</t>
        </is>
      </c>
      <c r="I1109" s="31" t="n">
        <v>93.0</v>
      </c>
      <c r="J1109" s="32" t="n">
        <v>999.0</v>
      </c>
      <c r="K1109" s="33" t="n">
        <v>999.0</v>
      </c>
      <c r="L1109" s="34" t="n">
        <v>22.0</v>
      </c>
      <c r="M1109" s="35" t="n">
        <v>791.96</v>
      </c>
      <c r="N1109" s="36" t="inlineStr">
        <is>
          <t>25 Ağustos 08.00-1 Eylül 07.59</t>
        </is>
      </c>
      <c r="O1109" s="37" t="n">
        <v>18.2</v>
      </c>
      <c r="P1109" s="38" t="n">
        <v>949.05</v>
      </c>
      <c r="Q1109" s="39"/>
      <c r="R1109" s="40" t="n">
        <f>=IF(AND(ISBLANK(Q1109), ISBLANK(U1109)), "", "7 Günlük Fiyat")</f>
        <v>0.0</v>
      </c>
      <c r="S1109" s="41" t="n">
        <f>=IF(OR(Q1109="", R1109=""), "-", IF(ISNUMBER(SEARCH("7 Günlük", R1109)), IF(Q1109&lt;=M1109, O1109, "-"), "-"))</f>
        <v>0.0</v>
      </c>
      <c r="T1109" s="42" t="str">
        <f>=IF(ISBLANK(Q1109), "", "Hayır")</f>
      </c>
      <c r="U1109" s="43"/>
      <c r="V1109" s="44" t="inlineStr">
        <is>
          <t>50461ed1-c2c8-4393-967e-55d58a3e2664</t>
        </is>
      </c>
    </row>
    <row r="1110">
      <c r="A1110" s="23" t="inlineStr">
        <is>
          <t>Dikdörtgen Çerçeveli Dış Kapı Paspası - Kıvırcık Paspas - Suya Dayanıklı - 3 Çizgili Model</t>
        </is>
      </c>
      <c r="B1110" s="24" t="inlineStr">
        <is>
          <t>957262382</t>
        </is>
      </c>
      <c r="C1110" s="25" t="inlineStr">
        <is>
          <t>KIVIRCIK-BASKILI-KIRMIZI-40x70-YST404</t>
        </is>
      </c>
      <c r="D1110" s="26" t="inlineStr">
        <is>
          <t>KIVIRCIK-BASKILI-KIRMIZI-40x70-YST404</t>
        </is>
      </c>
      <c r="E1110" s="27" t="inlineStr">
        <is>
          <t>40 x 70</t>
        </is>
      </c>
      <c r="F1110" s="28" t="inlineStr">
        <is>
          <t>KIVIRCIK-BASKILI-YST404</t>
        </is>
      </c>
      <c r="G1110" s="29" t="inlineStr">
        <is>
          <t>Kapı Önü Paspası</t>
        </is>
      </c>
      <c r="H1110" s="30" t="inlineStr">
        <is>
          <t>Paspas Yap</t>
        </is>
      </c>
      <c r="I1110" s="31" t="n">
        <v>93.0</v>
      </c>
      <c r="J1110" s="32" t="n">
        <v>749.0</v>
      </c>
      <c r="K1110" s="33" t="n">
        <v>642.01</v>
      </c>
      <c r="L1110" s="34" t="n">
        <v>22.0</v>
      </c>
      <c r="M1110" s="35" t="n">
        <v>471.02</v>
      </c>
      <c r="N1110" s="36" t="inlineStr">
        <is>
          <t>25 Ağustos 08.00-1 Eylül 07.59</t>
        </is>
      </c>
      <c r="O1110" s="37" t="n">
        <v>15.7</v>
      </c>
      <c r="P1110" s="38" t="n">
        <v>642.01</v>
      </c>
      <c r="Q1110" s="39"/>
      <c r="R1110" s="40" t="n">
        <f>=IF(AND(ISBLANK(Q1110), ISBLANK(U1110)), "", "7 Günlük Fiyat")</f>
        <v>0.0</v>
      </c>
      <c r="S1110" s="41" t="n">
        <f>=IF(OR(Q1110="", R1110=""), "-", IF(ISNUMBER(SEARCH("7 Günlük", R1110)), IF(Q1110&lt;=M1110, O1110, "-"), "-"))</f>
        <v>0.0</v>
      </c>
      <c r="T1110" s="42" t="str">
        <f>=IF(ISBLANK(Q1110), "", "Hayır")</f>
      </c>
      <c r="U1110" s="43"/>
      <c r="V1110" s="44" t="inlineStr">
        <is>
          <t>50461ed1-c2c8-4393-967e-55d58a3e2664</t>
        </is>
      </c>
    </row>
    <row r="1111">
      <c r="A1111" s="23" t="inlineStr">
        <is>
          <t>Dikdörtgen Çerçeveli Dış Kapı Paspası - Kıvırcık Paspas - Suya Dayanıklı - 3 Çizgili Model</t>
        </is>
      </c>
      <c r="B1111" s="24" t="inlineStr">
        <is>
          <t>957262382</t>
        </is>
      </c>
      <c r="C1111" s="25" t="inlineStr">
        <is>
          <t>KIVIRCIK-BASKILI-KIRMIZI-100x100-YST404</t>
        </is>
      </c>
      <c r="D1111" s="26" t="inlineStr">
        <is>
          <t>KIVIRCIK-BASKILI-KIRMIZI-100x100-YST404</t>
        </is>
      </c>
      <c r="E1111" s="27" t="inlineStr">
        <is>
          <t>100 x 100</t>
        </is>
      </c>
      <c r="F1111" s="28" t="inlineStr">
        <is>
          <t>KIVIRCIK-BASKILI-YST404</t>
        </is>
      </c>
      <c r="G1111" s="29" t="inlineStr">
        <is>
          <t>Kapı Önü Paspası</t>
        </is>
      </c>
      <c r="H1111" s="30" t="inlineStr">
        <is>
          <t>Paspas Yap</t>
        </is>
      </c>
      <c r="I1111" s="31" t="n">
        <v>93.0</v>
      </c>
      <c r="J1111" s="32" t="n">
        <v>1848.0</v>
      </c>
      <c r="K1111" s="33" t="n">
        <v>1611.21</v>
      </c>
      <c r="L1111" s="34" t="n">
        <v>22.0</v>
      </c>
      <c r="M1111" s="35" t="n">
        <v>1241.57</v>
      </c>
      <c r="N1111" s="36" t="inlineStr">
        <is>
          <t>25 Ağustos 08.00-1 Eylül 07.59</t>
        </is>
      </c>
      <c r="O1111" s="37" t="n">
        <v>16.0</v>
      </c>
      <c r="P1111" s="38" t="n">
        <v>1611.21</v>
      </c>
      <c r="Q1111" s="39"/>
      <c r="R1111" s="40" t="n">
        <f>=IF(AND(ISBLANK(Q1111), ISBLANK(U1111)), "", "7 Günlük Fiyat")</f>
        <v>0.0</v>
      </c>
      <c r="S1111" s="41" t="n">
        <f>=IF(OR(Q1111="", R1111=""), "-", IF(ISNUMBER(SEARCH("7 Günlük", R1111)), IF(Q1111&lt;=M1111, O1111, "-"), "-"))</f>
        <v>0.0</v>
      </c>
      <c r="T1111" s="42" t="str">
        <f>=IF(ISBLANK(Q1111), "", "Hayır")</f>
      </c>
      <c r="U1111" s="43"/>
      <c r="V1111" s="44" t="inlineStr">
        <is>
          <t>50461ed1-c2c8-4393-967e-55d58a3e2664</t>
        </is>
      </c>
    </row>
    <row r="1112">
      <c r="A1112" s="23" t="inlineStr">
        <is>
          <t>Dikdörtgen Çerçeveli Dış Kapı Paspası - Kıvırcık Paspas - Suya Dayanıklı - 3 Çizgili Model</t>
        </is>
      </c>
      <c r="B1112" s="24" t="inlineStr">
        <is>
          <t>957262382</t>
        </is>
      </c>
      <c r="C1112" s="25" t="inlineStr">
        <is>
          <t>KIVIRCIK-BASKILI-KIRMIZI-60x100-YST404</t>
        </is>
      </c>
      <c r="D1112" s="26" t="inlineStr">
        <is>
          <t>KIVIRCIK-BASKILI-KIRMIZI-60x100-YST404</t>
        </is>
      </c>
      <c r="E1112" s="27" t="inlineStr">
        <is>
          <t>60 x 100</t>
        </is>
      </c>
      <c r="F1112" s="28" t="inlineStr">
        <is>
          <t>KIVIRCIK-BASKILI-YST404</t>
        </is>
      </c>
      <c r="G1112" s="29" t="inlineStr">
        <is>
          <t>Kapı Önü Paspası</t>
        </is>
      </c>
      <c r="H1112" s="30" t="inlineStr">
        <is>
          <t>Paspas Yap</t>
        </is>
      </c>
      <c r="I1112" s="31" t="n">
        <v>93.0</v>
      </c>
      <c r="J1112" s="32" t="n">
        <v>1249.0</v>
      </c>
      <c r="K1112" s="33" t="n">
        <v>981.19</v>
      </c>
      <c r="L1112" s="34" t="n">
        <v>22.0</v>
      </c>
      <c r="M1112" s="35" t="n">
        <v>728.27</v>
      </c>
      <c r="N1112" s="36" t="inlineStr">
        <is>
          <t>25 Ağustos 08.00-1 Eylül 07.59</t>
        </is>
      </c>
      <c r="O1112" s="37" t="n">
        <v>15.2</v>
      </c>
      <c r="P1112" s="38" t="n">
        <v>981.19</v>
      </c>
      <c r="Q1112" s="39"/>
      <c r="R1112" s="40" t="n">
        <f>=IF(AND(ISBLANK(Q1112), ISBLANK(U1112)), "", "7 Günlük Fiyat")</f>
        <v>0.0</v>
      </c>
      <c r="S1112" s="41" t="n">
        <f>=IF(OR(Q1112="", R1112=""), "-", IF(ISNUMBER(SEARCH("7 Günlük", R1112)), IF(Q1112&lt;=M1112, O1112, "-"), "-"))</f>
        <v>0.0</v>
      </c>
      <c r="T1112" s="42" t="str">
        <f>=IF(ISBLANK(Q1112), "", "Hayır")</f>
      </c>
      <c r="U1112" s="43"/>
      <c r="V1112" s="44" t="inlineStr">
        <is>
          <t>50461ed1-c2c8-4393-967e-55d58a3e2664</t>
        </is>
      </c>
    </row>
    <row r="1113">
      <c r="A1113" s="23" t="inlineStr">
        <is>
          <t>Dikdörtgen Çerçeveli Dış Kapı Paspası - Kıvırcık Paspas - Suya Dayanıklı - 3 Çizgili Model</t>
        </is>
      </c>
      <c r="B1113" s="24" t="inlineStr">
        <is>
          <t>957262382</t>
        </is>
      </c>
      <c r="C1113" s="25" t="inlineStr">
        <is>
          <t>KIVIRCIK-BASKILI-KIRMIZI-50x90-YST404</t>
        </is>
      </c>
      <c r="D1113" s="26" t="inlineStr">
        <is>
          <t>KIVIRCIK-BASKILI-KIRMIZI-50x90-YST404</t>
        </is>
      </c>
      <c r="E1113" s="27" t="inlineStr">
        <is>
          <t>50 x 90</t>
        </is>
      </c>
      <c r="F1113" s="28" t="inlineStr">
        <is>
          <t>KIVIRCIK-BASKILI-YST404</t>
        </is>
      </c>
      <c r="G1113" s="29" t="inlineStr">
        <is>
          <t>Kapı Önü Paspası</t>
        </is>
      </c>
      <c r="H1113" s="30" t="inlineStr">
        <is>
          <t>Paspas Yap</t>
        </is>
      </c>
      <c r="I1113" s="31" t="n">
        <v>93.0</v>
      </c>
      <c r="J1113" s="32" t="n">
        <v>999.0</v>
      </c>
      <c r="K1113" s="33" t="n">
        <v>999.0</v>
      </c>
      <c r="L1113" s="34" t="n">
        <v>22.0</v>
      </c>
      <c r="M1113" s="35" t="n">
        <v>760.46</v>
      </c>
      <c r="N1113" s="36" t="inlineStr">
        <is>
          <t>25 Ağustos 08.00-1 Eylül 07.59</t>
        </is>
      </c>
      <c r="O1113" s="37" t="n">
        <v>17.5</v>
      </c>
      <c r="P1113" s="38" t="n">
        <v>949.05</v>
      </c>
      <c r="Q1113" s="39"/>
      <c r="R1113" s="40" t="n">
        <f>=IF(AND(ISBLANK(Q1113), ISBLANK(U1113)), "", "7 Günlük Fiyat")</f>
        <v>0.0</v>
      </c>
      <c r="S1113" s="41" t="n">
        <f>=IF(OR(Q1113="", R1113=""), "-", IF(ISNUMBER(SEARCH("7 Günlük", R1113)), IF(Q1113&lt;=M1113, O1113, "-"), "-"))</f>
        <v>0.0</v>
      </c>
      <c r="T1113" s="42" t="str">
        <f>=IF(ISBLANK(Q1113), "", "Hayır")</f>
      </c>
      <c r="U1113" s="43"/>
      <c r="V1113" s="44" t="inlineStr">
        <is>
          <t>50461ed1-c2c8-4393-967e-55d58a3e2664</t>
        </is>
      </c>
    </row>
    <row r="1114">
      <c r="A1114" s="23" t="inlineStr">
        <is>
          <t>Dikdörtgen Çerçeveli Dış Kapı Paspası - Kıvırcık Paspas - Suya Dayanıklı - 3 Çizgili Model</t>
        </is>
      </c>
      <c r="B1114" s="24" t="inlineStr">
        <is>
          <t>957262382</t>
        </is>
      </c>
      <c r="C1114" s="25" t="inlineStr">
        <is>
          <t>KIVIRCIK-BASKILI-KIRMIZI-80x120-YST404</t>
        </is>
      </c>
      <c r="D1114" s="26" t="inlineStr">
        <is>
          <t>KIVIRCIK-BASKILI-KIRMIZI-80x120-YST404</t>
        </is>
      </c>
      <c r="E1114" s="27" t="inlineStr">
        <is>
          <t>80 x 120</t>
        </is>
      </c>
      <c r="F1114" s="28" t="inlineStr">
        <is>
          <t>KIVIRCIK-BASKILI-YST404</t>
        </is>
      </c>
      <c r="G1114" s="29" t="inlineStr">
        <is>
          <t>Kapı Önü Paspası</t>
        </is>
      </c>
      <c r="H1114" s="30" t="inlineStr">
        <is>
          <t>Paspas Yap</t>
        </is>
      </c>
      <c r="I1114" s="31" t="n">
        <v>93.0</v>
      </c>
      <c r="J1114" s="32" t="n">
        <v>1824.0</v>
      </c>
      <c r="K1114" s="33" t="n">
        <v>1438.03</v>
      </c>
      <c r="L1114" s="34" t="n">
        <v>22.0</v>
      </c>
      <c r="M1114" s="35" t="n">
        <v>1072.63</v>
      </c>
      <c r="N1114" s="36" t="inlineStr">
        <is>
          <t>25 Ağustos 08.00-1 Eylül 07.59</t>
        </is>
      </c>
      <c r="O1114" s="37" t="n">
        <v>15.6</v>
      </c>
      <c r="P1114" s="38" t="n">
        <v>1438.03</v>
      </c>
      <c r="Q1114" s="39"/>
      <c r="R1114" s="40" t="n">
        <f>=IF(AND(ISBLANK(Q1114), ISBLANK(U1114)), "", "7 Günlük Fiyat")</f>
        <v>0.0</v>
      </c>
      <c r="S1114" s="41" t="n">
        <f>=IF(OR(Q1114="", R1114=""), "-", IF(ISNUMBER(SEARCH("7 Günlük", R1114)), IF(Q1114&lt;=M1114, O1114, "-"), "-"))</f>
        <v>0.0</v>
      </c>
      <c r="T1114" s="42" t="str">
        <f>=IF(ISBLANK(Q1114), "", "Hayır")</f>
      </c>
      <c r="U1114" s="43"/>
      <c r="V1114" s="44" t="inlineStr">
        <is>
          <t>50461ed1-c2c8-4393-967e-55d58a3e2664</t>
        </is>
      </c>
    </row>
    <row r="1115">
      <c r="A1115" s="23" t="inlineStr">
        <is>
          <t>Dikdörtgen Çerçeveli Dış Kapı Paspası - Kıvırcık Paspas - Suya Dayanıklı - 3 Çizgili Model</t>
        </is>
      </c>
      <c r="B1115" s="24" t="inlineStr">
        <is>
          <t>957262382</t>
        </is>
      </c>
      <c r="C1115" s="25" t="inlineStr">
        <is>
          <t>KIVIRCIK-BASKILI-KIRMIZI-100x150-YST404</t>
        </is>
      </c>
      <c r="D1115" s="26" t="inlineStr">
        <is>
          <t>KIVIRCIK-BASKILI-KIRMIZI-100x150-YST404</t>
        </is>
      </c>
      <c r="E1115" s="27" t="inlineStr">
        <is>
          <t>100 x 150</t>
        </is>
      </c>
      <c r="F1115" s="28" t="inlineStr">
        <is>
          <t>KIVIRCIK-BASKILI-YST404</t>
        </is>
      </c>
      <c r="G1115" s="29" t="inlineStr">
        <is>
          <t>Kapı Önü Paspası</t>
        </is>
      </c>
      <c r="H1115" s="30" t="inlineStr">
        <is>
          <t>Paspas Yap</t>
        </is>
      </c>
      <c r="I1115" s="31" t="n">
        <v>93.0</v>
      </c>
      <c r="J1115" s="32" t="n">
        <v>2668.0</v>
      </c>
      <c r="K1115" s="33" t="n">
        <v>2361.37</v>
      </c>
      <c r="L1115" s="34" t="n">
        <v>22.0</v>
      </c>
      <c r="M1115" s="35" t="n">
        <v>1717.39</v>
      </c>
      <c r="N1115" s="36" t="inlineStr">
        <is>
          <t>25 Ağustos 08.00-1 Eylül 07.59</t>
        </is>
      </c>
      <c r="O1115" s="37" t="n">
        <v>15.3</v>
      </c>
      <c r="P1115" s="38" t="n">
        <v>2361.37</v>
      </c>
      <c r="Q1115" s="39"/>
      <c r="R1115" s="40" t="n">
        <f>=IF(AND(ISBLANK(Q1115), ISBLANK(U1115)), "", "7 Günlük Fiyat")</f>
        <v>0.0</v>
      </c>
      <c r="S1115" s="41" t="n">
        <f>=IF(OR(Q1115="", R1115=""), "-", IF(ISNUMBER(SEARCH("7 Günlük", R1115)), IF(Q1115&lt;=M1115, O1115, "-"), "-"))</f>
        <v>0.0</v>
      </c>
      <c r="T1115" s="42" t="str">
        <f>=IF(ISBLANK(Q1115), "", "Hayır")</f>
      </c>
      <c r="U1115" s="43"/>
      <c r="V1115" s="44" t="inlineStr">
        <is>
          <t>50461ed1-c2c8-4393-967e-55d58a3e2664</t>
        </is>
      </c>
    </row>
    <row r="1116">
      <c r="A1116" s="23" t="inlineStr">
        <is>
          <t>Banyo Paspası Duşa Kabin Paspası Su Sıçratmaz Paspas Kaydırmaz Paspas (50x50 CM)</t>
        </is>
      </c>
      <c r="B1116" s="24" t="inlineStr">
        <is>
          <t>939084898</t>
        </is>
      </c>
      <c r="C1116" s="25" t="inlineStr">
        <is>
          <t>KIVIRCIK-BANYO-GRI-50x50</t>
        </is>
      </c>
      <c r="D1116" s="26" t="inlineStr">
        <is>
          <t>KIVIRCIK-BANYO-GRI-50x50</t>
        </is>
      </c>
      <c r="E1116" s="27"/>
      <c r="F1116" s="28" t="inlineStr">
        <is>
          <t>KIVIRCIK-BANYO</t>
        </is>
      </c>
      <c r="G1116" s="29" t="inlineStr">
        <is>
          <t>Banyo Paspası</t>
        </is>
      </c>
      <c r="H1116" s="30" t="inlineStr">
        <is>
          <t>Paspas Yap</t>
        </is>
      </c>
      <c r="I1116" s="31" t="n">
        <v>93.0</v>
      </c>
      <c r="J1116" s="32" t="n">
        <v>493.0</v>
      </c>
      <c r="K1116" s="33" t="n">
        <v>437.19</v>
      </c>
      <c r="L1116" s="34" t="n">
        <v>20.5</v>
      </c>
      <c r="M1116" s="35" t="n">
        <v>373.56</v>
      </c>
      <c r="N1116" s="36" t="inlineStr">
        <is>
          <t>25 Ağustos 08.00-1 Eylül 07.59</t>
        </is>
      </c>
      <c r="O1116" s="37" t="n">
        <v>16.6</v>
      </c>
      <c r="P1116" s="38" t="n">
        <v>437.19</v>
      </c>
      <c r="Q1116" s="39"/>
      <c r="R1116" s="40" t="n">
        <f>=IF(AND(ISBLANK(Q1116), ISBLANK(U1116)), "", "7 Günlük Fiyat")</f>
        <v>0.0</v>
      </c>
      <c r="S1116" s="41" t="n">
        <f>=IF(OR(Q1116="", R1116=""), "-", IF(ISNUMBER(SEARCH("7 Günlük", R1116)), IF(Q1116&lt;=M1116, O1116, "-"), "-"))</f>
        <v>0.0</v>
      </c>
      <c r="T1116" s="42" t="str">
        <f>=IF(ISBLANK(Q1116), "", "Hayır")</f>
      </c>
      <c r="U1116" s="43"/>
      <c r="V1116" s="44" t="inlineStr">
        <is>
          <t>50461ed1-c2c8-4393-967e-55d58a3e2664</t>
        </is>
      </c>
    </row>
    <row r="1117">
      <c r="A1117" s="23" t="inlineStr">
        <is>
          <t>Banyo Paspası Duşa Kabin Paspası Su Sıçratmaz Paspas Kaydırmaz Paspas (80x80 CM)</t>
        </is>
      </c>
      <c r="B1117" s="24" t="inlineStr">
        <is>
          <t>939084797</t>
        </is>
      </c>
      <c r="C1117" s="25" t="inlineStr">
        <is>
          <t>KIVIRCIK-BANYO-GRI-80x80</t>
        </is>
      </c>
      <c r="D1117" s="26" t="inlineStr">
        <is>
          <t>KIVIRCIK-BANYO-GRI-80x80</t>
        </is>
      </c>
      <c r="E1117" s="27"/>
      <c r="F1117" s="28" t="inlineStr">
        <is>
          <t>KIVIRCIK-BANYO4</t>
        </is>
      </c>
      <c r="G1117" s="29" t="inlineStr">
        <is>
          <t>Banyo Paspası</t>
        </is>
      </c>
      <c r="H1117" s="30" t="inlineStr">
        <is>
          <t>Paspas Yap</t>
        </is>
      </c>
      <c r="I1117" s="31" t="n">
        <v>93.0</v>
      </c>
      <c r="J1117" s="32" t="n">
        <v>1018.0</v>
      </c>
      <c r="K1117" s="33" t="n">
        <v>896.63</v>
      </c>
      <c r="L1117" s="34" t="n">
        <v>21.0</v>
      </c>
      <c r="M1117" s="35" t="n">
        <v>706.14</v>
      </c>
      <c r="N1117" s="36" t="inlineStr">
        <is>
          <t>25 Ağustos 08.00-1 Eylül 07.59</t>
        </is>
      </c>
      <c r="O1117" s="37" t="n">
        <v>15.2</v>
      </c>
      <c r="P1117" s="38" t="n">
        <v>896.63</v>
      </c>
      <c r="Q1117" s="39"/>
      <c r="R1117" s="40" t="n">
        <f>=IF(AND(ISBLANK(Q1117), ISBLANK(U1117)), "", "7 Günlük Fiyat")</f>
        <v>0.0</v>
      </c>
      <c r="S1117" s="41" t="n">
        <f>=IF(OR(Q1117="", R1117=""), "-", IF(ISNUMBER(SEARCH("7 Günlük", R1117)), IF(Q1117&lt;=M1117, O1117, "-"), "-"))</f>
        <v>0.0</v>
      </c>
      <c r="T1117" s="42" t="str">
        <f>=IF(ISBLANK(Q1117), "", "Hayır")</f>
      </c>
      <c r="U1117" s="43"/>
      <c r="V1117" s="44" t="inlineStr">
        <is>
          <t>50461ed1-c2c8-4393-967e-55d58a3e2664</t>
        </is>
      </c>
    </row>
    <row r="1118">
      <c r="A1118" s="23" t="inlineStr">
        <is>
          <t>Yuvarlak Desenli Islak Zemin Banyo Paspası Su Emici Duşa Kabin Paspası</t>
        </is>
      </c>
      <c r="B1118" s="24" t="inlineStr">
        <is>
          <t>795789211</t>
        </is>
      </c>
      <c r="C1118" s="25" t="inlineStr">
        <is>
          <t>KPBP21-4060-GRI</t>
        </is>
      </c>
      <c r="D1118" s="26" t="inlineStr">
        <is>
          <t>KPBP21-4060-GRI</t>
        </is>
      </c>
      <c r="E1118" s="27"/>
      <c r="F1118" s="28" t="inlineStr">
        <is>
          <t>KPBP21</t>
        </is>
      </c>
      <c r="G1118" s="29" t="inlineStr">
        <is>
          <t>Banyo Paspası</t>
        </is>
      </c>
      <c r="H1118" s="30" t="inlineStr">
        <is>
          <t>Paspas Yap</t>
        </is>
      </c>
      <c r="I1118" s="31" t="n">
        <v>92.0</v>
      </c>
      <c r="J1118" s="32" t="n">
        <v>624.0</v>
      </c>
      <c r="K1118" s="33" t="n">
        <v>560.0</v>
      </c>
      <c r="L1118" s="34" t="n">
        <v>20.5</v>
      </c>
      <c r="M1118" s="35" t="n">
        <v>485.74</v>
      </c>
      <c r="N1118" s="36" t="inlineStr">
        <is>
          <t>25 Ağustos 08.00-1 Eylül 07.59</t>
        </is>
      </c>
      <c r="O1118" s="37" t="n">
        <v>16.9</v>
      </c>
      <c r="P1118" s="38" t="n">
        <v>560.0</v>
      </c>
      <c r="Q1118" s="39"/>
      <c r="R1118" s="40" t="n">
        <f>=IF(AND(ISBLANK(Q1118), ISBLANK(U1118)), "", "7 Günlük Fiyat")</f>
        <v>0.0</v>
      </c>
      <c r="S1118" s="41" t="n">
        <f>=IF(OR(Q1118="", R1118=""), "-", IF(ISNUMBER(SEARCH("7 Günlük", R1118)), IF(Q1118&lt;=M1118, O1118, "-"), "-"))</f>
        <v>0.0</v>
      </c>
      <c r="T1118" s="42" t="str">
        <f>=IF(ISBLANK(Q1118), "", "Hayır")</f>
      </c>
      <c r="U1118" s="43"/>
      <c r="V1118" s="44" t="inlineStr">
        <is>
          <t>50461ed1-c2c8-4393-967e-55d58a3e2664</t>
        </is>
      </c>
    </row>
    <row r="1119">
      <c r="A1119" s="23" t="inlineStr">
        <is>
          <t>Toz Kir Ve Nem Alıcı Paspas Araç Paspası Otobüs Servis Ve Oto Paspas Araç Içi Paspas</t>
        </is>
      </c>
      <c r="B1119" s="24" t="inlineStr">
        <is>
          <t>794083607</t>
        </is>
      </c>
      <c r="C1119" s="25" t="inlineStr">
        <is>
          <t>TOZKONTROL-GRI-RAMPASIZ-50x100</t>
        </is>
      </c>
      <c r="D1119" s="26" t="inlineStr">
        <is>
          <t>TOZKONTROL-GRI-RAMPASIZ-50x100</t>
        </is>
      </c>
      <c r="E1119" s="27" t="inlineStr">
        <is>
          <t>50 x 100</t>
        </is>
      </c>
      <c r="F1119" s="28" t="inlineStr">
        <is>
          <t>SO1</t>
        </is>
      </c>
      <c r="G1119" s="29" t="inlineStr">
        <is>
          <t>Yolluk</t>
        </is>
      </c>
      <c r="H1119" s="30" t="inlineStr">
        <is>
          <t>Paspas Yap</t>
        </is>
      </c>
      <c r="I1119" s="31" t="n">
        <v>93.0</v>
      </c>
      <c r="J1119" s="32" t="n">
        <v>947.0</v>
      </c>
      <c r="K1119" s="33" t="n">
        <v>847.59</v>
      </c>
      <c r="L1119" s="34" t="n">
        <v>22.0</v>
      </c>
      <c r="M1119" s="35" t="n">
        <v>650.61</v>
      </c>
      <c r="N1119" s="36" t="inlineStr">
        <is>
          <t>25 Ağustos 08.00-1 Eylül 07.59</t>
        </is>
      </c>
      <c r="O1119" s="37" t="n">
        <v>16.9</v>
      </c>
      <c r="P1119" s="38" t="n">
        <v>847.59</v>
      </c>
      <c r="Q1119" s="39"/>
      <c r="R1119" s="40" t="n">
        <f>=IF(AND(ISBLANK(Q1119), ISBLANK(U1119)), "", "7 Günlük Fiyat")</f>
        <v>0.0</v>
      </c>
      <c r="S1119" s="41" t="n">
        <f>=IF(OR(Q1119="", R1119=""), "-", IF(ISNUMBER(SEARCH("7 Günlük", R1119)), IF(Q1119&lt;=M1119, O1119, "-"), "-"))</f>
        <v>0.0</v>
      </c>
      <c r="T1119" s="42" t="str">
        <f>=IF(ISBLANK(Q1119), "", "Hayır")</f>
      </c>
      <c r="U1119" s="43"/>
      <c r="V1119" s="44" t="inlineStr">
        <is>
          <t>50461ed1-c2c8-4393-967e-55d58a3e2664</t>
        </is>
      </c>
    </row>
    <row r="1120">
      <c r="A1120" s="23" t="inlineStr">
        <is>
          <t>Toz Kir Ve Nem Alıcı Paspas Araç Paspası Otobüs Servis Ve Oto Paspas Araç Içi Paspas</t>
        </is>
      </c>
      <c r="B1120" s="24" t="inlineStr">
        <is>
          <t>794083607</t>
        </is>
      </c>
      <c r="C1120" s="25" t="inlineStr">
        <is>
          <t>TOZKONTROL-GRI-RAMPASIZ-40x400</t>
        </is>
      </c>
      <c r="D1120" s="26" t="inlineStr">
        <is>
          <t>TOZKONTROL-GRI-RAMPASIZ-40x400</t>
        </is>
      </c>
      <c r="E1120" s="27" t="inlineStr">
        <is>
          <t>40 x 400</t>
        </is>
      </c>
      <c r="F1120" s="28" t="inlineStr">
        <is>
          <t>SO1</t>
        </is>
      </c>
      <c r="G1120" s="29" t="inlineStr">
        <is>
          <t>Yolluk</t>
        </is>
      </c>
      <c r="H1120" s="30" t="inlineStr">
        <is>
          <t>Paspas Yap</t>
        </is>
      </c>
      <c r="I1120" s="31" t="n">
        <v>93.0</v>
      </c>
      <c r="J1120" s="32" t="n">
        <v>2390.0</v>
      </c>
      <c r="K1120" s="33" t="n">
        <v>1895.39</v>
      </c>
      <c r="L1120" s="34" t="n">
        <v>22.0</v>
      </c>
      <c r="M1120" s="35" t="n">
        <v>1512.82</v>
      </c>
      <c r="N1120" s="36" t="inlineStr">
        <is>
          <t>25 Ağustos 08.00-1 Eylül 07.59</t>
        </is>
      </c>
      <c r="O1120" s="37" t="n">
        <v>18.0</v>
      </c>
      <c r="P1120" s="38" t="n">
        <v>1895.39</v>
      </c>
      <c r="Q1120" s="39"/>
      <c r="R1120" s="40" t="n">
        <f>=IF(AND(ISBLANK(Q1120), ISBLANK(U1120)), "", "7 Günlük Fiyat")</f>
        <v>0.0</v>
      </c>
      <c r="S1120" s="41" t="n">
        <f>=IF(OR(Q1120="", R1120=""), "-", IF(ISNUMBER(SEARCH("7 Günlük", R1120)), IF(Q1120&lt;=M1120, O1120, "-"), "-"))</f>
        <v>0.0</v>
      </c>
      <c r="T1120" s="42" t="str">
        <f>=IF(ISBLANK(Q1120), "", "Hayır")</f>
      </c>
      <c r="U1120" s="43"/>
      <c r="V1120" s="44" t="inlineStr">
        <is>
          <t>50461ed1-c2c8-4393-967e-55d58a3e2664</t>
        </is>
      </c>
    </row>
    <row r="1121">
      <c r="A1121" s="23" t="inlineStr">
        <is>
          <t>Toz Kir Ve Nem Alıcı Paspas Araç Paspası Otobüs Servis Ve Oto Paspas Araç Içi Paspas</t>
        </is>
      </c>
      <c r="B1121" s="24" t="inlineStr">
        <is>
          <t>794083607</t>
        </is>
      </c>
      <c r="C1121" s="25" t="inlineStr">
        <is>
          <t>TOZKONTROL-GRI-RAMPASIZ-40x300</t>
        </is>
      </c>
      <c r="D1121" s="26" t="inlineStr">
        <is>
          <t>TOZKONTROL-GRI-RAMPASIZ-40x300</t>
        </is>
      </c>
      <c r="E1121" s="27" t="inlineStr">
        <is>
          <t>40 x 300</t>
        </is>
      </c>
      <c r="F1121" s="28" t="inlineStr">
        <is>
          <t>SO1</t>
        </is>
      </c>
      <c r="G1121" s="29" t="inlineStr">
        <is>
          <t>Yolluk</t>
        </is>
      </c>
      <c r="H1121" s="30" t="inlineStr">
        <is>
          <t>Paspas Yap</t>
        </is>
      </c>
      <c r="I1121" s="31" t="n">
        <v>93.0</v>
      </c>
      <c r="J1121" s="32" t="n">
        <v>1949.0</v>
      </c>
      <c r="K1121" s="33" t="n">
        <v>1477.75</v>
      </c>
      <c r="L1121" s="34" t="n">
        <v>22.0</v>
      </c>
      <c r="M1121" s="35" t="n">
        <v>1173.84</v>
      </c>
      <c r="N1121" s="36" t="inlineStr">
        <is>
          <t>25 Ağustos 08.00-1 Eylül 07.59</t>
        </is>
      </c>
      <c r="O1121" s="37" t="n">
        <v>17.7</v>
      </c>
      <c r="P1121" s="38" t="n">
        <v>1477.75</v>
      </c>
      <c r="Q1121" s="39"/>
      <c r="R1121" s="40" t="n">
        <f>=IF(AND(ISBLANK(Q1121), ISBLANK(U1121)), "", "7 Günlük Fiyat")</f>
        <v>0.0</v>
      </c>
      <c r="S1121" s="41" t="n">
        <f>=IF(OR(Q1121="", R1121=""), "-", IF(ISNUMBER(SEARCH("7 Günlük", R1121)), IF(Q1121&lt;=M1121, O1121, "-"), "-"))</f>
        <v>0.0</v>
      </c>
      <c r="T1121" s="42" t="str">
        <f>=IF(ISBLANK(Q1121), "", "Hayır")</f>
      </c>
      <c r="U1121" s="43"/>
      <c r="V1121" s="44" t="inlineStr">
        <is>
          <t>50461ed1-c2c8-4393-967e-55d58a3e2664</t>
        </is>
      </c>
    </row>
    <row r="1122">
      <c r="A1122" s="23" t="inlineStr">
        <is>
          <t>Toz Kir Ve Nem Alıcı Paspas Araç Paspası Otobüs Servis Ve Oto Paspas Araç Içi Paspas</t>
        </is>
      </c>
      <c r="B1122" s="24" t="inlineStr">
        <is>
          <t>794083607</t>
        </is>
      </c>
      <c r="C1122" s="25" t="inlineStr">
        <is>
          <t>TOZKONTROL-GRI-RAMPASIZ-40x500</t>
        </is>
      </c>
      <c r="D1122" s="26" t="inlineStr">
        <is>
          <t>TOZKONTROL-GRI-RAMPASIZ-40x500</t>
        </is>
      </c>
      <c r="E1122" s="27" t="inlineStr">
        <is>
          <t>40 x 500</t>
        </is>
      </c>
      <c r="F1122" s="28" t="inlineStr">
        <is>
          <t>SO1</t>
        </is>
      </c>
      <c r="G1122" s="29" t="inlineStr">
        <is>
          <t>Yolluk</t>
        </is>
      </c>
      <c r="H1122" s="30" t="inlineStr">
        <is>
          <t>Paspas Yap</t>
        </is>
      </c>
      <c r="I1122" s="31" t="n">
        <v>93.0</v>
      </c>
      <c r="J1122" s="32" t="n">
        <v>2886.0</v>
      </c>
      <c r="K1122" s="33" t="n">
        <v>2400.73</v>
      </c>
      <c r="L1122" s="34" t="n">
        <v>22.0</v>
      </c>
      <c r="M1122" s="35" t="n">
        <v>1770.95</v>
      </c>
      <c r="N1122" s="36" t="inlineStr">
        <is>
          <t>25 Ağustos 08.00-1 Eylül 07.59</t>
        </is>
      </c>
      <c r="O1122" s="37" t="n">
        <v>15.3</v>
      </c>
      <c r="P1122" s="38" t="n">
        <v>2400.73</v>
      </c>
      <c r="Q1122" s="39"/>
      <c r="R1122" s="40" t="n">
        <f>=IF(AND(ISBLANK(Q1122), ISBLANK(U1122)), "", "7 Günlük Fiyat")</f>
        <v>0.0</v>
      </c>
      <c r="S1122" s="41" t="n">
        <f>=IF(OR(Q1122="", R1122=""), "-", IF(ISNUMBER(SEARCH("7 Günlük", R1122)), IF(Q1122&lt;=M1122, O1122, "-"), "-"))</f>
        <v>0.0</v>
      </c>
      <c r="T1122" s="42" t="str">
        <f>=IF(ISBLANK(Q1122), "", "Hayır")</f>
      </c>
      <c r="U1122" s="43"/>
      <c r="V1122" s="44" t="inlineStr">
        <is>
          <t>50461ed1-c2c8-4393-967e-55d58a3e2664</t>
        </is>
      </c>
    </row>
    <row r="1123">
      <c r="A1123" s="23" t="inlineStr">
        <is>
          <t>Toz Kir Ve Nem Alıcı Paspas Araç Paspası Otobüs Servis Ve Oto Paspas Araç Içi Paspas</t>
        </is>
      </c>
      <c r="B1123" s="24" t="inlineStr">
        <is>
          <t>794083607</t>
        </is>
      </c>
      <c r="C1123" s="25" t="inlineStr">
        <is>
          <t>TOZKONTROL-GRI-RAMPASIZ-40x100</t>
        </is>
      </c>
      <c r="D1123" s="26" t="inlineStr">
        <is>
          <t>TOZKONTROL-GRI-RAMPASIZ-40x100</t>
        </is>
      </c>
      <c r="E1123" s="27" t="inlineStr">
        <is>
          <t>40 x 100</t>
        </is>
      </c>
      <c r="F1123" s="28" t="inlineStr">
        <is>
          <t>SO1</t>
        </is>
      </c>
      <c r="G1123" s="29" t="inlineStr">
        <is>
          <t>Yolluk</t>
        </is>
      </c>
      <c r="H1123" s="30" t="inlineStr">
        <is>
          <t>Paspas Yap</t>
        </is>
      </c>
      <c r="I1123" s="31" t="n">
        <v>93.0</v>
      </c>
      <c r="J1123" s="32" t="n">
        <v>799.0</v>
      </c>
      <c r="K1123" s="33" t="n">
        <v>636.22</v>
      </c>
      <c r="L1123" s="34" t="n">
        <v>22.0</v>
      </c>
      <c r="M1123" s="35" t="n">
        <v>509.67</v>
      </c>
      <c r="N1123" s="36" t="inlineStr">
        <is>
          <t>25 Ağustos 08.00-1 Eylül 07.59</t>
        </is>
      </c>
      <c r="O1123" s="37" t="n">
        <v>17.7</v>
      </c>
      <c r="P1123" s="38" t="n">
        <v>636.22</v>
      </c>
      <c r="Q1123" s="39"/>
      <c r="R1123" s="40" t="n">
        <f>=IF(AND(ISBLANK(Q1123), ISBLANK(U1123)), "", "7 Günlük Fiyat")</f>
        <v>0.0</v>
      </c>
      <c r="S1123" s="41" t="n">
        <f>=IF(OR(Q1123="", R1123=""), "-", IF(ISNUMBER(SEARCH("7 Günlük", R1123)), IF(Q1123&lt;=M1123, O1123, "-"), "-"))</f>
        <v>0.0</v>
      </c>
      <c r="T1123" s="42" t="str">
        <f>=IF(ISBLANK(Q1123), "", "Hayır")</f>
      </c>
      <c r="U1123" s="43"/>
      <c r="V1123" s="44" t="inlineStr">
        <is>
          <t>50461ed1-c2c8-4393-967e-55d58a3e2664</t>
        </is>
      </c>
    </row>
    <row r="1124">
      <c r="A1124" s="23" t="inlineStr">
        <is>
          <t>Toz Kir Ve Nem Alıcı Paspas Araç Paspası Otobüs Servis Ve Oto Paspas Araç Içi Paspas</t>
        </is>
      </c>
      <c r="B1124" s="24" t="inlineStr">
        <is>
          <t>794083607</t>
        </is>
      </c>
      <c r="C1124" s="25" t="inlineStr">
        <is>
          <t>TOZKONTROL-GRI-RAMPASIZ-50x200</t>
        </is>
      </c>
      <c r="D1124" s="26" t="inlineStr">
        <is>
          <t>TOZKONTROL-GRI-RAMPASIZ-50x200</t>
        </is>
      </c>
      <c r="E1124" s="27" t="inlineStr">
        <is>
          <t>50 x 200</t>
        </is>
      </c>
      <c r="F1124" s="28" t="inlineStr">
        <is>
          <t>SO1</t>
        </is>
      </c>
      <c r="G1124" s="29" t="inlineStr">
        <is>
          <t>Yolluk</t>
        </is>
      </c>
      <c r="H1124" s="30" t="inlineStr">
        <is>
          <t>Paspas Yap</t>
        </is>
      </c>
      <c r="I1124" s="31" t="n">
        <v>93.0</v>
      </c>
      <c r="J1124" s="32" t="n">
        <v>1615.0</v>
      </c>
      <c r="K1124" s="33" t="n">
        <v>1205.99</v>
      </c>
      <c r="L1124" s="34" t="n">
        <v>22.0</v>
      </c>
      <c r="M1124" s="35" t="n">
        <v>956.54</v>
      </c>
      <c r="N1124" s="36" t="inlineStr">
        <is>
          <t>25 Ağustos 08.00-1 Eylül 07.59</t>
        </is>
      </c>
      <c r="O1124" s="37" t="n">
        <v>17.4</v>
      </c>
      <c r="P1124" s="38" t="n">
        <v>1205.99</v>
      </c>
      <c r="Q1124" s="39"/>
      <c r="R1124" s="40" t="n">
        <f>=IF(AND(ISBLANK(Q1124), ISBLANK(U1124)), "", "7 Günlük Fiyat")</f>
        <v>0.0</v>
      </c>
      <c r="S1124" s="41" t="n">
        <f>=IF(OR(Q1124="", R1124=""), "-", IF(ISNUMBER(SEARCH("7 Günlük", R1124)), IF(Q1124&lt;=M1124, O1124, "-"), "-"))</f>
        <v>0.0</v>
      </c>
      <c r="T1124" s="42" t="str">
        <f>=IF(ISBLANK(Q1124), "", "Hayır")</f>
      </c>
      <c r="U1124" s="43"/>
      <c r="V1124" s="44" t="inlineStr">
        <is>
          <t>50461ed1-c2c8-4393-967e-55d58a3e2664</t>
        </is>
      </c>
    </row>
    <row r="1125">
      <c r="A1125" s="23" t="inlineStr">
        <is>
          <t>Toz Kir Ve Nem Alıcı Paspas Araç Paspası Otobüs Servis Ve Oto Paspas Araç Içi Paspas</t>
        </is>
      </c>
      <c r="B1125" s="24" t="inlineStr">
        <is>
          <t>794083607</t>
        </is>
      </c>
      <c r="C1125" s="25" t="inlineStr">
        <is>
          <t>TOZKONTROL-GRI-RAMPASIZ-40x600</t>
        </is>
      </c>
      <c r="D1125" s="26" t="inlineStr">
        <is>
          <t>TOZKONTROL-GRI-RAMPASIZ-40x600</t>
        </is>
      </c>
      <c r="E1125" s="27" t="inlineStr">
        <is>
          <t>40 x 600</t>
        </is>
      </c>
      <c r="F1125" s="28" t="inlineStr">
        <is>
          <t>SO1</t>
        </is>
      </c>
      <c r="G1125" s="29" t="inlineStr">
        <is>
          <t>Yolluk</t>
        </is>
      </c>
      <c r="H1125" s="30" t="inlineStr">
        <is>
          <t>Paspas Yap</t>
        </is>
      </c>
      <c r="I1125" s="31" t="n">
        <v>93.0</v>
      </c>
      <c r="J1125" s="32" t="n">
        <v>3449.0</v>
      </c>
      <c r="K1125" s="33" t="n">
        <v>2876.43</v>
      </c>
      <c r="L1125" s="34" t="n">
        <v>22.0</v>
      </c>
      <c r="M1125" s="35" t="n">
        <v>2168.23</v>
      </c>
      <c r="N1125" s="36" t="inlineStr">
        <is>
          <t>25 Ağustos 08.00-1 Eylül 07.59</t>
        </is>
      </c>
      <c r="O1125" s="37" t="n">
        <v>15.6</v>
      </c>
      <c r="P1125" s="38" t="n">
        <v>2876.43</v>
      </c>
      <c r="Q1125" s="39"/>
      <c r="R1125" s="40" t="n">
        <f>=IF(AND(ISBLANK(Q1125), ISBLANK(U1125)), "", "7 Günlük Fiyat")</f>
        <v>0.0</v>
      </c>
      <c r="S1125" s="41" t="n">
        <f>=IF(OR(Q1125="", R1125=""), "-", IF(ISNUMBER(SEARCH("7 Günlük", R1125)), IF(Q1125&lt;=M1125, O1125, "-"), "-"))</f>
        <v>0.0</v>
      </c>
      <c r="T1125" s="42" t="str">
        <f>=IF(ISBLANK(Q1125), "", "Hayır")</f>
      </c>
      <c r="U1125" s="43"/>
      <c r="V1125" s="44" t="inlineStr">
        <is>
          <t>50461ed1-c2c8-4393-967e-55d58a3e2664</t>
        </is>
      </c>
    </row>
    <row r="1126">
      <c r="A1126" s="23" t="inlineStr">
        <is>
          <t>Toz Kir Ve Nem Alıcı Paspas Araç Paspası Otobüs Servis Ve Oto Paspas Araç Içi Paspas</t>
        </is>
      </c>
      <c r="B1126" s="24" t="inlineStr">
        <is>
          <t>794083607</t>
        </is>
      </c>
      <c r="C1126" s="25" t="inlineStr">
        <is>
          <t>TOZKONTROL-GRI-RAMPASIZ-50x700</t>
        </is>
      </c>
      <c r="D1126" s="26" t="inlineStr">
        <is>
          <t>TOZKONTROL-GRI-RAMPASIZ-50x700</t>
        </is>
      </c>
      <c r="E1126" s="27" t="inlineStr">
        <is>
          <t>50 x 700</t>
        </is>
      </c>
      <c r="F1126" s="28" t="inlineStr">
        <is>
          <t>SO1</t>
        </is>
      </c>
      <c r="G1126" s="29" t="inlineStr">
        <is>
          <t>Yolluk</t>
        </is>
      </c>
      <c r="H1126" s="30" t="inlineStr">
        <is>
          <t>Paspas Yap</t>
        </is>
      </c>
      <c r="I1126" s="31" t="n">
        <v>93.0</v>
      </c>
      <c r="J1126" s="32" t="n">
        <v>4904.0</v>
      </c>
      <c r="K1126" s="33" t="n">
        <v>4067.43</v>
      </c>
      <c r="L1126" s="34" t="n">
        <v>22.0</v>
      </c>
      <c r="M1126" s="35" t="n">
        <v>2987.44</v>
      </c>
      <c r="N1126" s="36" t="inlineStr">
        <is>
          <t>25 Ağustos 08.00-1 Eylül 07.59</t>
        </is>
      </c>
      <c r="O1126" s="37" t="n">
        <v>15.0</v>
      </c>
      <c r="P1126" s="38" t="n">
        <v>4067.43</v>
      </c>
      <c r="Q1126" s="39"/>
      <c r="R1126" s="40" t="n">
        <f>=IF(AND(ISBLANK(Q1126), ISBLANK(U1126)), "", "7 Günlük Fiyat")</f>
        <v>0.0</v>
      </c>
      <c r="S1126" s="41" t="n">
        <f>=IF(OR(Q1126="", R1126=""), "-", IF(ISNUMBER(SEARCH("7 Günlük", R1126)), IF(Q1126&lt;=M1126, O1126, "-"), "-"))</f>
        <v>0.0</v>
      </c>
      <c r="T1126" s="42" t="str">
        <f>=IF(ISBLANK(Q1126), "", "Hayır")</f>
      </c>
      <c r="U1126" s="43"/>
      <c r="V1126" s="44" t="inlineStr">
        <is>
          <t>50461ed1-c2c8-4393-967e-55d58a3e2664</t>
        </is>
      </c>
    </row>
    <row r="1127">
      <c r="A1127" s="23" t="inlineStr">
        <is>
          <t>Toz Kir Ve Nem Alıcı Paspas Araç Paspası Otobüs Servis Ve Oto Paspas Araç Içi Paspas</t>
        </is>
      </c>
      <c r="B1127" s="24" t="inlineStr">
        <is>
          <t>794083607</t>
        </is>
      </c>
      <c r="C1127" s="25" t="inlineStr">
        <is>
          <t>TOZKONTROL-GRI-RAMPASIZ-50x600</t>
        </is>
      </c>
      <c r="D1127" s="26" t="inlineStr">
        <is>
          <t>TOZKONTROL-GRI-RAMPASIZ-50x600</t>
        </is>
      </c>
      <c r="E1127" s="27" t="inlineStr">
        <is>
          <t>50 x 600</t>
        </is>
      </c>
      <c r="F1127" s="28" t="inlineStr">
        <is>
          <t>SO1</t>
        </is>
      </c>
      <c r="G1127" s="29" t="inlineStr">
        <is>
          <t>Yolluk</t>
        </is>
      </c>
      <c r="H1127" s="30" t="inlineStr">
        <is>
          <t>Paspas Yap</t>
        </is>
      </c>
      <c r="I1127" s="31" t="n">
        <v>93.0</v>
      </c>
      <c r="J1127" s="32" t="n">
        <v>4160.0</v>
      </c>
      <c r="K1127" s="33" t="n">
        <v>3378.55</v>
      </c>
      <c r="L1127" s="34" t="n">
        <v>22.0</v>
      </c>
      <c r="M1127" s="35" t="n">
        <v>2516.83</v>
      </c>
      <c r="N1127" s="36" t="inlineStr">
        <is>
          <t>25 Ağustos 08.00-1 Eylül 07.59</t>
        </is>
      </c>
      <c r="O1127" s="37" t="n">
        <v>15.6</v>
      </c>
      <c r="P1127" s="38" t="n">
        <v>3378.55</v>
      </c>
      <c r="Q1127" s="39"/>
      <c r="R1127" s="40" t="n">
        <f>=IF(AND(ISBLANK(Q1127), ISBLANK(U1127)), "", "7 Günlük Fiyat")</f>
        <v>0.0</v>
      </c>
      <c r="S1127" s="41" t="n">
        <f>=IF(OR(Q1127="", R1127=""), "-", IF(ISNUMBER(SEARCH("7 Günlük", R1127)), IF(Q1127&lt;=M1127, O1127, "-"), "-"))</f>
        <v>0.0</v>
      </c>
      <c r="T1127" s="42" t="str">
        <f>=IF(ISBLANK(Q1127), "", "Hayır")</f>
      </c>
      <c r="U1127" s="43"/>
      <c r="V1127" s="44" t="inlineStr">
        <is>
          <t>50461ed1-c2c8-4393-967e-55d58a3e2664</t>
        </is>
      </c>
    </row>
    <row r="1128">
      <c r="A1128" s="23" t="inlineStr">
        <is>
          <t>Toz Kir Ve Nem Alıcı Paspas Araç Paspası Otobüs Servis Ve Oto Paspas Araç Içi Paspas</t>
        </is>
      </c>
      <c r="B1128" s="24" t="inlineStr">
        <is>
          <t>794083607</t>
        </is>
      </c>
      <c r="C1128" s="25" t="inlineStr">
        <is>
          <t>TOZKONTROL-GRI-RAMPASIZ-40x700</t>
        </is>
      </c>
      <c r="D1128" s="26" t="inlineStr">
        <is>
          <t>TOZKONTROL-GRI-RAMPASIZ-40x700</t>
        </is>
      </c>
      <c r="E1128" s="27" t="inlineStr">
        <is>
          <t>40 x 700</t>
        </is>
      </c>
      <c r="F1128" s="28" t="inlineStr">
        <is>
          <t>SO1</t>
        </is>
      </c>
      <c r="G1128" s="29" t="inlineStr">
        <is>
          <t>Yolluk</t>
        </is>
      </c>
      <c r="H1128" s="30" t="inlineStr">
        <is>
          <t>Paspas Yap</t>
        </is>
      </c>
      <c r="I1128" s="31" t="n">
        <v>93.0</v>
      </c>
      <c r="J1128" s="32" t="n">
        <v>3939.0</v>
      </c>
      <c r="K1128" s="33" t="n">
        <v>2997.22</v>
      </c>
      <c r="L1128" s="34" t="n">
        <v>22.0</v>
      </c>
      <c r="M1128" s="35" t="n">
        <v>2271.26</v>
      </c>
      <c r="N1128" s="36" t="inlineStr">
        <is>
          <t>25 Ağustos 08.00-1 Eylül 07.59</t>
        </is>
      </c>
      <c r="O1128" s="37" t="n">
        <v>16.7</v>
      </c>
      <c r="P1128" s="38" t="n">
        <v>2997.22</v>
      </c>
      <c r="Q1128" s="39"/>
      <c r="R1128" s="40" t="n">
        <f>=IF(AND(ISBLANK(Q1128), ISBLANK(U1128)), "", "7 Günlük Fiyat")</f>
        <v>0.0</v>
      </c>
      <c r="S1128" s="41" t="n">
        <f>=IF(OR(Q1128="", R1128=""), "-", IF(ISNUMBER(SEARCH("7 Günlük", R1128)), IF(Q1128&lt;=M1128, O1128, "-"), "-"))</f>
        <v>0.0</v>
      </c>
      <c r="T1128" s="42" t="str">
        <f>=IF(ISBLANK(Q1128), "", "Hayır")</f>
      </c>
      <c r="U1128" s="43"/>
      <c r="V1128" s="44" t="inlineStr">
        <is>
          <t>50461ed1-c2c8-4393-967e-55d58a3e2664</t>
        </is>
      </c>
    </row>
    <row r="1129">
      <c r="A1129" s="23" t="inlineStr">
        <is>
          <t>Toz Kir Ve Nem Alıcı Paspas Araç Paspası Otobüs Servis Ve Oto Paspas Araç Içi Paspas</t>
        </is>
      </c>
      <c r="B1129" s="24" t="inlineStr">
        <is>
          <t>794083607</t>
        </is>
      </c>
      <c r="C1129" s="25" t="inlineStr">
        <is>
          <t>TOZKONTROL-GRI-RAMPASIZ-50x500</t>
        </is>
      </c>
      <c r="D1129" s="26" t="inlineStr">
        <is>
          <t>TOZKONTROL-GRI-RAMPASIZ-50x500</t>
        </is>
      </c>
      <c r="E1129" s="27" t="inlineStr">
        <is>
          <t>50 x 500</t>
        </is>
      </c>
      <c r="F1129" s="28" t="inlineStr">
        <is>
          <t>SO1</t>
        </is>
      </c>
      <c r="G1129" s="29" t="inlineStr">
        <is>
          <t>Yolluk</t>
        </is>
      </c>
      <c r="H1129" s="30" t="inlineStr">
        <is>
          <t>Paspas Yap</t>
        </is>
      </c>
      <c r="I1129" s="31" t="n">
        <v>92.0</v>
      </c>
      <c r="J1129" s="32" t="n">
        <v>3609.0</v>
      </c>
      <c r="K1129" s="33" t="n">
        <v>2732.94</v>
      </c>
      <c r="L1129" s="34" t="n">
        <v>22.0</v>
      </c>
      <c r="M1129" s="35" t="n">
        <v>2075.18</v>
      </c>
      <c r="N1129" s="36" t="inlineStr">
        <is>
          <t>25 Ağustos 08.00-1 Eylül 07.59</t>
        </is>
      </c>
      <c r="O1129" s="37" t="n">
        <v>16.7</v>
      </c>
      <c r="P1129" s="38" t="n">
        <v>2732.94</v>
      </c>
      <c r="Q1129" s="39"/>
      <c r="R1129" s="40" t="n">
        <f>=IF(AND(ISBLANK(Q1129), ISBLANK(U1129)), "", "7 Günlük Fiyat")</f>
        <v>0.0</v>
      </c>
      <c r="S1129" s="41" t="n">
        <f>=IF(OR(Q1129="", R1129=""), "-", IF(ISNUMBER(SEARCH("7 Günlük", R1129)), IF(Q1129&lt;=M1129, O1129, "-"), "-"))</f>
        <v>0.0</v>
      </c>
      <c r="T1129" s="42" t="str">
        <f>=IF(ISBLANK(Q1129), "", "Hayır")</f>
      </c>
      <c r="U1129" s="43"/>
      <c r="V1129" s="44" t="inlineStr">
        <is>
          <t>50461ed1-c2c8-4393-967e-55d58a3e2664</t>
        </is>
      </c>
    </row>
    <row r="1130">
      <c r="A1130" s="23" t="inlineStr">
        <is>
          <t>Toz Kir Ve Nem Alıcı Paspas Araç Paspası Otobüs Servis Ve Oto Paspas Araç Içi Paspas</t>
        </is>
      </c>
      <c r="B1130" s="24" t="inlineStr">
        <is>
          <t>794083607</t>
        </is>
      </c>
      <c r="C1130" s="25" t="inlineStr">
        <is>
          <t>TOZKONTROL-GRI-RAMPASIZ-40x200</t>
        </is>
      </c>
      <c r="D1130" s="26" t="inlineStr">
        <is>
          <t>TOZKONTROL-GRI-RAMPASIZ-40x200</t>
        </is>
      </c>
      <c r="E1130" s="27" t="inlineStr">
        <is>
          <t>40 x 200</t>
        </is>
      </c>
      <c r="F1130" s="28" t="inlineStr">
        <is>
          <t>SO1</t>
        </is>
      </c>
      <c r="G1130" s="29" t="inlineStr">
        <is>
          <t>Yolluk</t>
        </is>
      </c>
      <c r="H1130" s="30" t="inlineStr">
        <is>
          <t>Paspas Yap</t>
        </is>
      </c>
      <c r="I1130" s="31" t="n">
        <v>93.0</v>
      </c>
      <c r="J1130" s="32" t="n">
        <v>1355.0</v>
      </c>
      <c r="K1130" s="33" t="n">
        <v>1000.52</v>
      </c>
      <c r="L1130" s="34" t="n">
        <v>22.0</v>
      </c>
      <c r="M1130" s="35" t="n">
        <v>813.61</v>
      </c>
      <c r="N1130" s="36" t="inlineStr">
        <is>
          <t>25 Ağustos 08.00-1 Eylül 07.59</t>
        </is>
      </c>
      <c r="O1130" s="37" t="n">
        <v>17.7</v>
      </c>
      <c r="P1130" s="38" t="n">
        <v>1000.52</v>
      </c>
      <c r="Q1130" s="39"/>
      <c r="R1130" s="40" t="n">
        <f>=IF(AND(ISBLANK(Q1130), ISBLANK(U1130)), "", "7 Günlük Fiyat")</f>
        <v>0.0</v>
      </c>
      <c r="S1130" s="41" t="n">
        <f>=IF(OR(Q1130="", R1130=""), "-", IF(ISNUMBER(SEARCH("7 Günlük", R1130)), IF(Q1130&lt;=M1130, O1130, "-"), "-"))</f>
        <v>0.0</v>
      </c>
      <c r="T1130" s="42" t="str">
        <f>=IF(ISBLANK(Q1130), "", "Hayır")</f>
      </c>
      <c r="U1130" s="43"/>
      <c r="V1130" s="44" t="inlineStr">
        <is>
          <t>50461ed1-c2c8-4393-967e-55d58a3e2664</t>
        </is>
      </c>
    </row>
    <row r="1131">
      <c r="A1131" s="23" t="inlineStr">
        <is>
          <t>Toz Kir Ve Nem Alıcı Paspas Araç Paspası Otobüs Servis Ve Oto Paspas Araç Içi Paspas</t>
        </is>
      </c>
      <c r="B1131" s="24" t="inlineStr">
        <is>
          <t>794083607</t>
        </is>
      </c>
      <c r="C1131" s="25" t="inlineStr">
        <is>
          <t>TOZKONTROL-GRI-RAMPASIZ-50x300</t>
        </is>
      </c>
      <c r="D1131" s="26" t="inlineStr">
        <is>
          <t>TOZKONTROL-GRI-RAMPASIZ-50x300</t>
        </is>
      </c>
      <c r="E1131" s="27" t="inlineStr">
        <is>
          <t>50 x 300</t>
        </is>
      </c>
      <c r="F1131" s="28" t="inlineStr">
        <is>
          <t>SO1</t>
        </is>
      </c>
      <c r="G1131" s="29" t="inlineStr">
        <is>
          <t>Yolluk</t>
        </is>
      </c>
      <c r="H1131" s="30" t="inlineStr">
        <is>
          <t>Paspas Yap</t>
        </is>
      </c>
      <c r="I1131" s="31" t="n">
        <v>93.0</v>
      </c>
      <c r="J1131" s="32" t="n">
        <v>2299.0</v>
      </c>
      <c r="K1131" s="33" t="n">
        <v>1796.01</v>
      </c>
      <c r="L1131" s="34" t="n">
        <v>22.0</v>
      </c>
      <c r="M1131" s="35" t="n">
        <v>1394.28</v>
      </c>
      <c r="N1131" s="36" t="inlineStr">
        <is>
          <t>25 Ağustos 08.00-1 Eylül 07.59</t>
        </is>
      </c>
      <c r="O1131" s="37" t="n">
        <v>17.4</v>
      </c>
      <c r="P1131" s="38" t="n">
        <v>1796.01</v>
      </c>
      <c r="Q1131" s="39"/>
      <c r="R1131" s="40" t="n">
        <f>=IF(AND(ISBLANK(Q1131), ISBLANK(U1131)), "", "7 Günlük Fiyat")</f>
        <v>0.0</v>
      </c>
      <c r="S1131" s="41" t="n">
        <f>=IF(OR(Q1131="", R1131=""), "-", IF(ISNUMBER(SEARCH("7 Günlük", R1131)), IF(Q1131&lt;=M1131, O1131, "-"), "-"))</f>
        <v>0.0</v>
      </c>
      <c r="T1131" s="42" t="str">
        <f>=IF(ISBLANK(Q1131), "", "Hayır")</f>
      </c>
      <c r="U1131" s="43"/>
      <c r="V1131" s="44" t="inlineStr">
        <is>
          <t>50461ed1-c2c8-4393-967e-55d58a3e2664</t>
        </is>
      </c>
    </row>
    <row r="1132">
      <c r="A1132" s="23" t="inlineStr">
        <is>
          <t>Toz Kir Ve Nem Alıcı Paspas Araç Paspası Otobüs Servis Ve Oto Paspas Araç Içi Paspas</t>
        </is>
      </c>
      <c r="B1132" s="24" t="inlineStr">
        <is>
          <t>794083607</t>
        </is>
      </c>
      <c r="C1132" s="25" t="inlineStr">
        <is>
          <t>TOZKONTROL-GRI-RAMPASIZ-50x400</t>
        </is>
      </c>
      <c r="D1132" s="26" t="inlineStr">
        <is>
          <t>TOZKONTROL-GRI-RAMPASIZ-50x400</t>
        </is>
      </c>
      <c r="E1132" s="27" t="inlineStr">
        <is>
          <t>50 x 400</t>
        </is>
      </c>
      <c r="F1132" s="28" t="inlineStr">
        <is>
          <t>SO1</t>
        </is>
      </c>
      <c r="G1132" s="29" t="inlineStr">
        <is>
          <t>Yolluk</t>
        </is>
      </c>
      <c r="H1132" s="30" t="inlineStr">
        <is>
          <t>Paspas Yap</t>
        </is>
      </c>
      <c r="I1132" s="31" t="n">
        <v>93.0</v>
      </c>
      <c r="J1132" s="32" t="n">
        <v>2886.0</v>
      </c>
      <c r="K1132" s="33" t="n">
        <v>2420.59</v>
      </c>
      <c r="L1132" s="34" t="n">
        <v>22.0</v>
      </c>
      <c r="M1132" s="35" t="n">
        <v>1798.29</v>
      </c>
      <c r="N1132" s="36" t="inlineStr">
        <is>
          <t>25 Ağustos 08.00-1 Eylül 07.59</t>
        </is>
      </c>
      <c r="O1132" s="37" t="n">
        <v>15.4</v>
      </c>
      <c r="P1132" s="38" t="n">
        <v>2420.59</v>
      </c>
      <c r="Q1132" s="39"/>
      <c r="R1132" s="40" t="n">
        <f>=IF(AND(ISBLANK(Q1132), ISBLANK(U1132)), "", "7 Günlük Fiyat")</f>
        <v>0.0</v>
      </c>
      <c r="S1132" s="41" t="n">
        <f>=IF(OR(Q1132="", R1132=""), "-", IF(ISNUMBER(SEARCH("7 Günlük", R1132)), IF(Q1132&lt;=M1132, O1132, "-"), "-"))</f>
        <v>0.0</v>
      </c>
      <c r="T1132" s="42" t="str">
        <f>=IF(ISBLANK(Q1132), "", "Hayır")</f>
      </c>
      <c r="U1132" s="43"/>
      <c r="V1132" s="44" t="inlineStr">
        <is>
          <t>50461ed1-c2c8-4393-967e-55d58a3e2664</t>
        </is>
      </c>
    </row>
    <row r="1133">
      <c r="A1133" s="23" t="inlineStr">
        <is>
          <t>Kedi Banyo Paspas Kaymaz Paspas Su Emici Islak Zemin Küvet Paspası Kivircik Paspas Takımı 40x60 Cm</t>
        </is>
      </c>
      <c r="B1133" s="24" t="inlineStr">
        <is>
          <t>750868345</t>
        </is>
      </c>
      <c r="C1133" s="25" t="inlineStr">
        <is>
          <t>KPBP6-4060-MAVI</t>
        </is>
      </c>
      <c r="D1133" s="26" t="inlineStr">
        <is>
          <t>KPBP6-4060-MAVI</t>
        </is>
      </c>
      <c r="E1133" s="27"/>
      <c r="F1133" s="28" t="inlineStr">
        <is>
          <t>KPBP6</t>
        </is>
      </c>
      <c r="G1133" s="29" t="inlineStr">
        <is>
          <t>Banyo Paspası</t>
        </is>
      </c>
      <c r="H1133" s="30" t="inlineStr">
        <is>
          <t>Paspas Yap</t>
        </is>
      </c>
      <c r="I1133" s="31" t="n">
        <v>92.0</v>
      </c>
      <c r="J1133" s="32" t="n">
        <v>624.0</v>
      </c>
      <c r="K1133" s="33" t="n">
        <v>560.0</v>
      </c>
      <c r="L1133" s="34" t="n">
        <v>21.0</v>
      </c>
      <c r="M1133" s="35" t="n">
        <v>464.91</v>
      </c>
      <c r="N1133" s="36" t="inlineStr">
        <is>
          <t>25 Ağustos 08.00-1 Eylül 07.59</t>
        </is>
      </c>
      <c r="O1133" s="37" t="n">
        <v>16.4</v>
      </c>
      <c r="P1133" s="38" t="n">
        <v>560.0</v>
      </c>
      <c r="Q1133" s="39"/>
      <c r="R1133" s="40" t="n">
        <f>=IF(AND(ISBLANK(Q1133), ISBLANK(U1133)), "", "7 Günlük Fiyat")</f>
        <v>0.0</v>
      </c>
      <c r="S1133" s="41" t="n">
        <f>=IF(OR(Q1133="", R1133=""), "-", IF(ISNUMBER(SEARCH("7 Günlük", R1133)), IF(Q1133&lt;=M1133, O1133, "-"), "-"))</f>
        <v>0.0</v>
      </c>
      <c r="T1133" s="42" t="str">
        <f>=IF(ISBLANK(Q1133), "", "Hayır")</f>
      </c>
      <c r="U1133" s="43"/>
      <c r="V1133" s="44" t="inlineStr">
        <is>
          <t>50461ed1-c2c8-4393-967e-55d58a3e2664</t>
        </is>
      </c>
    </row>
    <row r="1134">
      <c r="A1134" s="23" t="inlineStr">
        <is>
          <t>So Clean So Fresh Banyo Paspas Kaymaz Paspas Su Emici Islak Zemin Küvet Paspası Kivircik 40x60 Cm</t>
        </is>
      </c>
      <c r="B1134" s="24" t="inlineStr">
        <is>
          <t>750864903</t>
        </is>
      </c>
      <c r="C1134" s="25" t="inlineStr">
        <is>
          <t>KPBP4-4060-MAVI</t>
        </is>
      </c>
      <c r="D1134" s="26" t="inlineStr">
        <is>
          <t>KPBP4-4060-MAVI</t>
        </is>
      </c>
      <c r="E1134" s="27"/>
      <c r="F1134" s="28" t="inlineStr">
        <is>
          <t>KPBP4</t>
        </is>
      </c>
      <c r="G1134" s="29" t="inlineStr">
        <is>
          <t>Banyo Paspası</t>
        </is>
      </c>
      <c r="H1134" s="30" t="inlineStr">
        <is>
          <t>Paspas Yap</t>
        </is>
      </c>
      <c r="I1134" s="31" t="n">
        <v>93.0</v>
      </c>
      <c r="J1134" s="32" t="n">
        <v>624.0</v>
      </c>
      <c r="K1134" s="33" t="n">
        <v>560.0</v>
      </c>
      <c r="L1134" s="34" t="n">
        <v>21.0</v>
      </c>
      <c r="M1134" s="35" t="n">
        <v>373.73</v>
      </c>
      <c r="N1134" s="36" t="inlineStr">
        <is>
          <t>25 Ağustos 08.00-1 Eylül 07.59</t>
        </is>
      </c>
      <c r="O1134" s="37" t="n">
        <v>10.5</v>
      </c>
      <c r="P1134" s="38" t="n">
        <v>560.0</v>
      </c>
      <c r="Q1134" s="39"/>
      <c r="R1134" s="40" t="n">
        <f>=IF(AND(ISBLANK(Q1134), ISBLANK(U1134)), "", "7 Günlük Fiyat")</f>
        <v>0.0</v>
      </c>
      <c r="S1134" s="41" t="n">
        <f>=IF(OR(Q1134="", R1134=""), "-", IF(ISNUMBER(SEARCH("7 Günlük", R1134)), IF(Q1134&lt;=M1134, O1134, "-"), "-"))</f>
        <v>0.0</v>
      </c>
      <c r="T1134" s="42" t="str">
        <f>=IF(ISBLANK(Q1134), "", "Hayır")</f>
      </c>
      <c r="U1134" s="43"/>
      <c r="V1134" s="44" t="inlineStr">
        <is>
          <t>50461ed1-c2c8-4393-967e-55d58a3e2664</t>
        </is>
      </c>
    </row>
    <row r="1135">
      <c r="A1135" s="23" t="inlineStr">
        <is>
          <t>Kare Banyo Paspas Kaymaz Paspas Su Emici Islak Zemin Küvet Paspası Kivircik Paspas 50x50 Cm</t>
        </is>
      </c>
      <c r="B1135" s="24" t="inlineStr">
        <is>
          <t>750827486</t>
        </is>
      </c>
      <c r="C1135" s="25" t="inlineStr">
        <is>
          <t>KPBP19-5050-MAVI</t>
        </is>
      </c>
      <c r="D1135" s="26" t="inlineStr">
        <is>
          <t>KPBP19-5050-MAVI</t>
        </is>
      </c>
      <c r="E1135" s="27"/>
      <c r="F1135" s="28" t="inlineStr">
        <is>
          <t>KPBP19</t>
        </is>
      </c>
      <c r="G1135" s="29" t="inlineStr">
        <is>
          <t>Banyo Paspası</t>
        </is>
      </c>
      <c r="H1135" s="30" t="inlineStr">
        <is>
          <t>Paspas Yap</t>
        </is>
      </c>
      <c r="I1135" s="31" t="n">
        <v>93.0</v>
      </c>
      <c r="J1135" s="32" t="n">
        <v>624.0</v>
      </c>
      <c r="K1135" s="33" t="n">
        <v>560.0</v>
      </c>
      <c r="L1135" s="34" t="n">
        <v>21.0</v>
      </c>
      <c r="M1135" s="35" t="n">
        <v>410.92</v>
      </c>
      <c r="N1135" s="36" t="inlineStr">
        <is>
          <t>25 Ağustos 08.00-1 Eylül 07.59</t>
        </is>
      </c>
      <c r="O1135" s="37" t="n">
        <v>12.7</v>
      </c>
      <c r="P1135" s="38" t="n">
        <v>560.0</v>
      </c>
      <c r="Q1135" s="39"/>
      <c r="R1135" s="40" t="n">
        <f>=IF(AND(ISBLANK(Q1135), ISBLANK(U1135)), "", "7 Günlük Fiyat")</f>
        <v>0.0</v>
      </c>
      <c r="S1135" s="41" t="n">
        <f>=IF(OR(Q1135="", R1135=""), "-", IF(ISNUMBER(SEARCH("7 Günlük", R1135)), IF(Q1135&lt;=M1135, O1135, "-"), "-"))</f>
        <v>0.0</v>
      </c>
      <c r="T1135" s="42" t="str">
        <f>=IF(ISBLANK(Q1135), "", "Hayır")</f>
      </c>
      <c r="U1135" s="43"/>
      <c r="V1135" s="44" t="inlineStr">
        <is>
          <t>50461ed1-c2c8-4393-967e-55d58a3e2664</t>
        </is>
      </c>
    </row>
    <row r="1136">
      <c r="A1136" s="23" t="inlineStr">
        <is>
          <t>Banyo Paspası Kaymaz Paspas Su Emici Islak Zemin Duşa Kabin Ve Küvet Paspası Kivircik Paspas 40x60cm</t>
        </is>
      </c>
      <c r="B1136" s="24" t="inlineStr">
        <is>
          <t>750793850</t>
        </is>
      </c>
      <c r="C1136" s="25" t="inlineStr">
        <is>
          <t>KPBP1-4060-MAVI</t>
        </is>
      </c>
      <c r="D1136" s="26" t="inlineStr">
        <is>
          <t>KPBP1-4060-MAVI</t>
        </is>
      </c>
      <c r="E1136" s="27"/>
      <c r="F1136" s="28" t="inlineStr">
        <is>
          <t>KPBP1</t>
        </is>
      </c>
      <c r="G1136" s="29" t="inlineStr">
        <is>
          <t>Banyo Paspası</t>
        </is>
      </c>
      <c r="H1136" s="30" t="inlineStr">
        <is>
          <t>Paspas Yap</t>
        </is>
      </c>
      <c r="I1136" s="31" t="n">
        <v>92.0</v>
      </c>
      <c r="J1136" s="32" t="n">
        <v>487.0</v>
      </c>
      <c r="K1136" s="33" t="n">
        <v>432.0</v>
      </c>
      <c r="L1136" s="34" t="n">
        <v>21.0</v>
      </c>
      <c r="M1136" s="35" t="n">
        <v>326.51</v>
      </c>
      <c r="N1136" s="36" t="inlineStr">
        <is>
          <t>25 Ağustos 08.00-1 Eylül 07.59</t>
        </is>
      </c>
      <c r="O1136" s="37" t="n">
        <v>13.5</v>
      </c>
      <c r="P1136" s="38" t="n">
        <v>432.0</v>
      </c>
      <c r="Q1136" s="39"/>
      <c r="R1136" s="40" t="n">
        <f>=IF(AND(ISBLANK(Q1136), ISBLANK(U1136)), "", "7 Günlük Fiyat")</f>
        <v>0.0</v>
      </c>
      <c r="S1136" s="41" t="n">
        <f>=IF(OR(Q1136="", R1136=""), "-", IF(ISNUMBER(SEARCH("7 Günlük", R1136)), IF(Q1136&lt;=M1136, O1136, "-"), "-"))</f>
        <v>0.0</v>
      </c>
      <c r="T1136" s="42" t="str">
        <f>=IF(ISBLANK(Q1136), "", "Hayır")</f>
      </c>
      <c r="U1136" s="43"/>
      <c r="V1136" s="44" t="inlineStr">
        <is>
          <t>50461ed1-c2c8-4393-967e-55d58a3e2664</t>
        </is>
      </c>
    </row>
    <row r="1137">
      <c r="A1137" s="23" t="inlineStr">
        <is>
          <t>Welcome Yazılı Gri Kıvırcık Paspas Su Emici Iş Yeri Dükkan Apartman Bahçe Paspası Kaymaz Paspas</t>
        </is>
      </c>
      <c r="B1137" s="24" t="inlineStr">
        <is>
          <t>743302558</t>
        </is>
      </c>
      <c r="C1137" s="25" t="inlineStr">
        <is>
          <t>ST103-100x100</t>
        </is>
      </c>
      <c r="D1137" s="26" t="inlineStr">
        <is>
          <t>ST103-100x100</t>
        </is>
      </c>
      <c r="E1137" s="27" t="inlineStr">
        <is>
          <t>100 x 100</t>
        </is>
      </c>
      <c r="F1137" s="28" t="inlineStr">
        <is>
          <t>ST103</t>
        </is>
      </c>
      <c r="G1137" s="29" t="inlineStr">
        <is>
          <t>Kapı Önü Paspası</t>
        </is>
      </c>
      <c r="H1137" s="30" t="inlineStr">
        <is>
          <t>Paspas Yap</t>
        </is>
      </c>
      <c r="I1137" s="31" t="n">
        <v>93.0</v>
      </c>
      <c r="J1137" s="32" t="n">
        <v>1848.0</v>
      </c>
      <c r="K1137" s="33" t="n">
        <v>1471.77</v>
      </c>
      <c r="L1137" s="34" t="n">
        <v>22.0</v>
      </c>
      <c r="M1137" s="35" t="n">
        <v>1100.93</v>
      </c>
      <c r="N1137" s="36" t="inlineStr">
        <is>
          <t>25 Ağustos 08.00-1 Eylül 07.59</t>
        </is>
      </c>
      <c r="O1137" s="37" t="n">
        <v>14.9</v>
      </c>
      <c r="P1137" s="38" t="n">
        <v>1471.77</v>
      </c>
      <c r="Q1137" s="39"/>
      <c r="R1137" s="40" t="n">
        <f>=IF(AND(ISBLANK(Q1137), ISBLANK(U1137)), "", "7 Günlük Fiyat")</f>
        <v>0.0</v>
      </c>
      <c r="S1137" s="41" t="n">
        <f>=IF(OR(Q1137="", R1137=""), "-", IF(ISNUMBER(SEARCH("7 Günlük", R1137)), IF(Q1137&lt;=M1137, O1137, "-"), "-"))</f>
        <v>0.0</v>
      </c>
      <c r="T1137" s="42" t="str">
        <f>=IF(ISBLANK(Q1137), "", "Hayır")</f>
      </c>
      <c r="U1137" s="43"/>
      <c r="V1137" s="44" t="inlineStr">
        <is>
          <t>50461ed1-c2c8-4393-967e-55d58a3e2664</t>
        </is>
      </c>
    </row>
    <row r="1138">
      <c r="A1138" s="23" t="inlineStr">
        <is>
          <t>Welcome Yazılı Gri Kıvırcık Paspas Su Emici Iş Yeri Dükkan Apartman Bahçe Paspası Kaymaz Paspas</t>
        </is>
      </c>
      <c r="B1138" s="24" t="inlineStr">
        <is>
          <t>743302558</t>
        </is>
      </c>
      <c r="C1138" s="25" t="inlineStr">
        <is>
          <t>ST103-80120</t>
        </is>
      </c>
      <c r="D1138" s="26" t="inlineStr">
        <is>
          <t>ST103-80120</t>
        </is>
      </c>
      <c r="E1138" s="27" t="inlineStr">
        <is>
          <t>80 x 120</t>
        </is>
      </c>
      <c r="F1138" s="28" t="inlineStr">
        <is>
          <t>ST103</t>
        </is>
      </c>
      <c r="G1138" s="29" t="inlineStr">
        <is>
          <t>Kapı Önü Paspası</t>
        </is>
      </c>
      <c r="H1138" s="30" t="inlineStr">
        <is>
          <t>Paspas Yap</t>
        </is>
      </c>
      <c r="I1138" s="31" t="n">
        <v>93.0</v>
      </c>
      <c r="J1138" s="32" t="n">
        <v>1824.0</v>
      </c>
      <c r="K1138" s="33" t="n">
        <v>1556.66</v>
      </c>
      <c r="L1138" s="34" t="n">
        <v>22.0</v>
      </c>
      <c r="M1138" s="35" t="n">
        <v>1177.53</v>
      </c>
      <c r="N1138" s="36" t="inlineStr">
        <is>
          <t>25 Ağustos 08.00-1 Eylül 07.59</t>
        </is>
      </c>
      <c r="O1138" s="37" t="n">
        <v>15.0</v>
      </c>
      <c r="P1138" s="38" t="n">
        <v>1556.66</v>
      </c>
      <c r="Q1138" s="39"/>
      <c r="R1138" s="40" t="n">
        <f>=IF(AND(ISBLANK(Q1138), ISBLANK(U1138)), "", "7 Günlük Fiyat")</f>
        <v>0.0</v>
      </c>
      <c r="S1138" s="41" t="n">
        <f>=IF(OR(Q1138="", R1138=""), "-", IF(ISNUMBER(SEARCH("7 Günlük", R1138)), IF(Q1138&lt;=M1138, O1138, "-"), "-"))</f>
        <v>0.0</v>
      </c>
      <c r="T1138" s="42" t="str">
        <f>=IF(ISBLANK(Q1138), "", "Hayır")</f>
      </c>
      <c r="U1138" s="43"/>
      <c r="V1138" s="44" t="inlineStr">
        <is>
          <t>50461ed1-c2c8-4393-967e-55d58a3e2664</t>
        </is>
      </c>
    </row>
    <row r="1139">
      <c r="A1139" s="23" t="inlineStr">
        <is>
          <t>Welcome Yazılı Gri Kıvırcık Paspas Su Emici Iş Yeri Dükkan Apartman Bahçe Paspası Kaymaz Paspas</t>
        </is>
      </c>
      <c r="B1139" s="24" t="inlineStr">
        <is>
          <t>743302558</t>
        </is>
      </c>
      <c r="C1139" s="25" t="inlineStr">
        <is>
          <t>ST103-60100</t>
        </is>
      </c>
      <c r="D1139" s="26" t="inlineStr">
        <is>
          <t>ST103-60100</t>
        </is>
      </c>
      <c r="E1139" s="27" t="inlineStr">
        <is>
          <t>60 x 100</t>
        </is>
      </c>
      <c r="F1139" s="28" t="inlineStr">
        <is>
          <t>ST103</t>
        </is>
      </c>
      <c r="G1139" s="29" t="inlineStr">
        <is>
          <t>Kapı Önü Paspası</t>
        </is>
      </c>
      <c r="H1139" s="30" t="inlineStr">
        <is>
          <t>Paspas Yap</t>
        </is>
      </c>
      <c r="I1139" s="31" t="n">
        <v>93.0</v>
      </c>
      <c r="J1139" s="32" t="n">
        <v>1249.0</v>
      </c>
      <c r="K1139" s="33" t="n">
        <v>1040.33</v>
      </c>
      <c r="L1139" s="34" t="n">
        <v>22.0</v>
      </c>
      <c r="M1139" s="35" t="n">
        <v>778.61</v>
      </c>
      <c r="N1139" s="36" t="inlineStr">
        <is>
          <t>25 Ağustos 08.00-1 Eylül 07.59</t>
        </is>
      </c>
      <c r="O1139" s="37" t="n">
        <v>15.0</v>
      </c>
      <c r="P1139" s="38" t="n">
        <v>1040.33</v>
      </c>
      <c r="Q1139" s="39"/>
      <c r="R1139" s="40" t="n">
        <f>=IF(AND(ISBLANK(Q1139), ISBLANK(U1139)), "", "7 Günlük Fiyat")</f>
        <v>0.0</v>
      </c>
      <c r="S1139" s="41" t="n">
        <f>=IF(OR(Q1139="", R1139=""), "-", IF(ISNUMBER(SEARCH("7 Günlük", R1139)), IF(Q1139&lt;=M1139, O1139, "-"), "-"))</f>
        <v>0.0</v>
      </c>
      <c r="T1139" s="42" t="str">
        <f>=IF(ISBLANK(Q1139), "", "Hayır")</f>
      </c>
      <c r="U1139" s="43"/>
      <c r="V1139" s="44" t="inlineStr">
        <is>
          <t>50461ed1-c2c8-4393-967e-55d58a3e2664</t>
        </is>
      </c>
    </row>
    <row r="1140">
      <c r="A1140" s="23" t="inlineStr">
        <is>
          <t>Welcome Yazılı Gri Kıvırcık Paspas Su Emici Iş Yeri Dükkan Apartman Bahçe Paspası Kaymaz Paspas</t>
        </is>
      </c>
      <c r="B1140" s="24" t="inlineStr">
        <is>
          <t>743302558</t>
        </is>
      </c>
      <c r="C1140" s="25" t="inlineStr">
        <is>
          <t>ST103-100150</t>
        </is>
      </c>
      <c r="D1140" s="26" t="inlineStr">
        <is>
          <t>ST103-100150</t>
        </is>
      </c>
      <c r="E1140" s="27" t="inlineStr">
        <is>
          <t>100 x 150</t>
        </is>
      </c>
      <c r="F1140" s="28" t="inlineStr">
        <is>
          <t>ST103</t>
        </is>
      </c>
      <c r="G1140" s="29" t="inlineStr">
        <is>
          <t>Kapı Önü Paspası</t>
        </is>
      </c>
      <c r="H1140" s="30" t="inlineStr">
        <is>
          <t>Paspas Yap</t>
        </is>
      </c>
      <c r="I1140" s="31" t="n">
        <v>93.0</v>
      </c>
      <c r="J1140" s="32" t="n">
        <v>2668.0</v>
      </c>
      <c r="K1140" s="33" t="n">
        <v>2407.86</v>
      </c>
      <c r="L1140" s="34" t="n">
        <v>22.0</v>
      </c>
      <c r="M1140" s="35" t="n">
        <v>1772.61</v>
      </c>
      <c r="N1140" s="36" t="inlineStr">
        <is>
          <t>25 Ağustos 08.00-1 Eylül 07.59</t>
        </is>
      </c>
      <c r="O1140" s="37" t="n">
        <v>15.6</v>
      </c>
      <c r="P1140" s="38" t="n">
        <v>2407.86</v>
      </c>
      <c r="Q1140" s="39"/>
      <c r="R1140" s="40" t="n">
        <f>=IF(AND(ISBLANK(Q1140), ISBLANK(U1140)), "", "7 Günlük Fiyat")</f>
        <v>0.0</v>
      </c>
      <c r="S1140" s="41" t="n">
        <f>=IF(OR(Q1140="", R1140=""), "-", IF(ISNUMBER(SEARCH("7 Günlük", R1140)), IF(Q1140&lt;=M1140, O1140, "-"), "-"))</f>
        <v>0.0</v>
      </c>
      <c r="T1140" s="42" t="str">
        <f>=IF(ISBLANK(Q1140), "", "Hayır")</f>
      </c>
      <c r="U1140" s="43"/>
      <c r="V1140" s="44" t="inlineStr">
        <is>
          <t>50461ed1-c2c8-4393-967e-55d58a3e2664</t>
        </is>
      </c>
    </row>
    <row r="1141">
      <c r="A1141" s="23" t="inlineStr">
        <is>
          <t>Banyo Paspası Duşa Kabin Paspası Su Sıçratmaz Paspas Kaydırmaz Paspas (50x50 CM)</t>
        </is>
      </c>
      <c r="B1141" s="24" t="inlineStr">
        <is>
          <t>939084732</t>
        </is>
      </c>
      <c r="C1141" s="25" t="inlineStr">
        <is>
          <t>KIVIRCIK-BANYO-TURKUAZ-50x50</t>
        </is>
      </c>
      <c r="D1141" s="26" t="inlineStr">
        <is>
          <t>KIVIRCIK-BANYO-TURKUAZ-50x50</t>
        </is>
      </c>
      <c r="E1141" s="27"/>
      <c r="F1141" s="28" t="inlineStr">
        <is>
          <t>KIVIRCIK-BANYO</t>
        </is>
      </c>
      <c r="G1141" s="29" t="inlineStr">
        <is>
          <t>Banyo Paspası</t>
        </is>
      </c>
      <c r="H1141" s="30" t="inlineStr">
        <is>
          <t>Paspas Yap</t>
        </is>
      </c>
      <c r="I1141" s="31" t="n">
        <v>93.0</v>
      </c>
      <c r="J1141" s="32" t="n">
        <v>493.0</v>
      </c>
      <c r="K1141" s="33" t="n">
        <v>434.28</v>
      </c>
      <c r="L1141" s="34" t="n">
        <v>21.0</v>
      </c>
      <c r="M1141" s="35" t="n">
        <v>340.37</v>
      </c>
      <c r="N1141" s="36" t="inlineStr">
        <is>
          <t>25 Ağustos 08.00-1 Eylül 07.59</t>
        </is>
      </c>
      <c r="O1141" s="37" t="n">
        <v>14.9</v>
      </c>
      <c r="P1141" s="38" t="n">
        <v>434.28</v>
      </c>
      <c r="Q1141" s="39"/>
      <c r="R1141" s="40" t="n">
        <f>=IF(AND(ISBLANK(Q1141), ISBLANK(U1141)), "", "7 Günlük Fiyat")</f>
        <v>0.0</v>
      </c>
      <c r="S1141" s="41" t="n">
        <f>=IF(OR(Q1141="", R1141=""), "-", IF(ISNUMBER(SEARCH("7 Günlük", R1141)), IF(Q1141&lt;=M1141, O1141, "-"), "-"))</f>
        <v>0.0</v>
      </c>
      <c r="T1141" s="42" t="str">
        <f>=IF(ISBLANK(Q1141), "", "Hayır")</f>
      </c>
      <c r="U1141" s="43"/>
      <c r="V1141" s="44" t="inlineStr">
        <is>
          <t>50461ed1-c2c8-4393-967e-55d58a3e2664</t>
        </is>
      </c>
    </row>
    <row r="1142">
      <c r="A1142" s="23" t="inlineStr">
        <is>
          <t>Banyo Paspası Duşa Kabin Paspası Su Sıçratmaz Paspas Kaydırmaz Paspas (50x50 CM)</t>
        </is>
      </c>
      <c r="B1142" s="24" t="inlineStr">
        <is>
          <t>939083971</t>
        </is>
      </c>
      <c r="C1142" s="25" t="inlineStr">
        <is>
          <t>KIVIRCIK-BANYO-KIRMIZI-50x50</t>
        </is>
      </c>
      <c r="D1142" s="26" t="inlineStr">
        <is>
          <t>KIVIRCIK-BANYO-KIRMIZI-50x50</t>
        </is>
      </c>
      <c r="E1142" s="27"/>
      <c r="F1142" s="28" t="inlineStr">
        <is>
          <t>KIVIRCIK-BANYO</t>
        </is>
      </c>
      <c r="G1142" s="29" t="inlineStr">
        <is>
          <t>Banyo Paspası</t>
        </is>
      </c>
      <c r="H1142" s="30" t="inlineStr">
        <is>
          <t>Paspas Yap</t>
        </is>
      </c>
      <c r="I1142" s="31" t="n">
        <v>93.0</v>
      </c>
      <c r="J1142" s="32" t="n">
        <v>493.0</v>
      </c>
      <c r="K1142" s="33" t="n">
        <v>438.0</v>
      </c>
      <c r="L1142" s="34" t="n">
        <v>21.0</v>
      </c>
      <c r="M1142" s="35" t="n">
        <v>314.15</v>
      </c>
      <c r="N1142" s="36" t="inlineStr">
        <is>
          <t>25 Ağustos 08.00-1 Eylül 07.59</t>
        </is>
      </c>
      <c r="O1142" s="37" t="n">
        <v>12.6</v>
      </c>
      <c r="P1142" s="38" t="n">
        <v>438.0</v>
      </c>
      <c r="Q1142" s="39"/>
      <c r="R1142" s="40" t="n">
        <f>=IF(AND(ISBLANK(Q1142), ISBLANK(U1142)), "", "7 Günlük Fiyat")</f>
        <v>0.0</v>
      </c>
      <c r="S1142" s="41" t="n">
        <f>=IF(OR(Q1142="", R1142=""), "-", IF(ISNUMBER(SEARCH("7 Günlük", R1142)), IF(Q1142&lt;=M1142, O1142, "-"), "-"))</f>
        <v>0.0</v>
      </c>
      <c r="T1142" s="42" t="str">
        <f>=IF(ISBLANK(Q1142), "", "Hayır")</f>
      </c>
      <c r="U1142" s="43"/>
      <c r="V1142" s="44" t="inlineStr">
        <is>
          <t>50461ed1-c2c8-4393-967e-55d58a3e2664</t>
        </is>
      </c>
    </row>
    <row r="1143">
      <c r="A1143" s="23" t="inlineStr">
        <is>
          <t>Baskılı Kıvırcık Paspas Dikdörtgen Çerçeve Tasarımlı Iş Yeri Kapı Paspası</t>
        </is>
      </c>
      <c r="B1143" s="24" t="inlineStr">
        <is>
          <t>798205197</t>
        </is>
      </c>
      <c r="C1143" s="25" t="inlineStr">
        <is>
          <t>ST102-BASKILI-KIVIRCIK-TURKUAZ-50x90</t>
        </is>
      </c>
      <c r="D1143" s="26" t="inlineStr">
        <is>
          <t>ST102-BASKILI-KIVIRCIK-TURKUAZ-50x90</t>
        </is>
      </c>
      <c r="E1143" s="27" t="inlineStr">
        <is>
          <t>50 x 90</t>
        </is>
      </c>
      <c r="F1143" s="28" t="inlineStr">
        <is>
          <t>ST102</t>
        </is>
      </c>
      <c r="G1143" s="29" t="inlineStr">
        <is>
          <t>Kapı Önü Paspası</t>
        </is>
      </c>
      <c r="H1143" s="30" t="inlineStr">
        <is>
          <t>Paspas Yap</t>
        </is>
      </c>
      <c r="I1143" s="31" t="n">
        <v>93.0</v>
      </c>
      <c r="J1143" s="32" t="n">
        <v>999.0</v>
      </c>
      <c r="K1143" s="33" t="n">
        <v>999.0</v>
      </c>
      <c r="L1143" s="34" t="n">
        <v>22.0</v>
      </c>
      <c r="M1143" s="35" t="n">
        <v>759.07</v>
      </c>
      <c r="N1143" s="36" t="inlineStr">
        <is>
          <t>25 Ağustos 08.00-1 Eylül 07.59</t>
        </is>
      </c>
      <c r="O1143" s="37" t="n">
        <v>17.5</v>
      </c>
      <c r="P1143" s="38" t="n">
        <v>949.05</v>
      </c>
      <c r="Q1143" s="39"/>
      <c r="R1143" s="40" t="n">
        <f>=IF(AND(ISBLANK(Q1143), ISBLANK(U1143)), "", "7 Günlük Fiyat")</f>
        <v>0.0</v>
      </c>
      <c r="S1143" s="41" t="n">
        <f>=IF(OR(Q1143="", R1143=""), "-", IF(ISNUMBER(SEARCH("7 Günlük", R1143)), IF(Q1143&lt;=M1143, O1143, "-"), "-"))</f>
        <v>0.0</v>
      </c>
      <c r="T1143" s="42" t="str">
        <f>=IF(ISBLANK(Q1143), "", "Hayır")</f>
      </c>
      <c r="U1143" s="43"/>
      <c r="V1143" s="44" t="inlineStr">
        <is>
          <t>50461ed1-c2c8-4393-967e-55d58a3e2664</t>
        </is>
      </c>
    </row>
    <row r="1144">
      <c r="A1144" s="23" t="inlineStr">
        <is>
          <t>Baskılı Kıvırcık Paspas Dikdörtgen Çerçeve Tasarımlı Iş Yeri Kapı Paspası</t>
        </is>
      </c>
      <c r="B1144" s="24" t="inlineStr">
        <is>
          <t>798205197</t>
        </is>
      </c>
      <c r="C1144" s="25" t="inlineStr">
        <is>
          <t>ST102-BASKILI-KIVIRCIK-TURKUAZ-80x120</t>
        </is>
      </c>
      <c r="D1144" s="26" t="inlineStr">
        <is>
          <t>ST102-BASKILI-KIVIRCIK-TURKUAZ-80x120</t>
        </is>
      </c>
      <c r="E1144" s="27" t="inlineStr">
        <is>
          <t>80 x 120</t>
        </is>
      </c>
      <c r="F1144" s="28" t="inlineStr">
        <is>
          <t>ST102</t>
        </is>
      </c>
      <c r="G1144" s="29" t="inlineStr">
        <is>
          <t>Kapı Önü Paspası</t>
        </is>
      </c>
      <c r="H1144" s="30" t="inlineStr">
        <is>
          <t>Paspas Yap</t>
        </is>
      </c>
      <c r="I1144" s="31" t="n">
        <v>93.0</v>
      </c>
      <c r="J1144" s="32" t="n">
        <v>1824.0</v>
      </c>
      <c r="K1144" s="33" t="n">
        <v>1564.64</v>
      </c>
      <c r="L1144" s="34" t="n">
        <v>22.0</v>
      </c>
      <c r="M1144" s="35" t="n">
        <v>1172.41</v>
      </c>
      <c r="N1144" s="36" t="inlineStr">
        <is>
          <t>25 Ağustos 08.00-1 Eylül 07.59</t>
        </is>
      </c>
      <c r="O1144" s="37" t="n">
        <v>15.5</v>
      </c>
      <c r="P1144" s="38" t="n">
        <v>1564.64</v>
      </c>
      <c r="Q1144" s="39"/>
      <c r="R1144" s="40" t="n">
        <f>=IF(AND(ISBLANK(Q1144), ISBLANK(U1144)), "", "7 Günlük Fiyat")</f>
        <v>0.0</v>
      </c>
      <c r="S1144" s="41" t="n">
        <f>=IF(OR(Q1144="", R1144=""), "-", IF(ISNUMBER(SEARCH("7 Günlük", R1144)), IF(Q1144&lt;=M1144, O1144, "-"), "-"))</f>
        <v>0.0</v>
      </c>
      <c r="T1144" s="42" t="str">
        <f>=IF(ISBLANK(Q1144), "", "Hayır")</f>
      </c>
      <c r="U1144" s="43"/>
      <c r="V1144" s="44" t="inlineStr">
        <is>
          <t>50461ed1-c2c8-4393-967e-55d58a3e2664</t>
        </is>
      </c>
    </row>
    <row r="1145">
      <c r="A1145" s="23" t="inlineStr">
        <is>
          <t>Baskılı Kıvırcık Paspas Dikdörtgen Çerçeve Tasarımlı Iş Yeri Kapı Paspası</t>
        </is>
      </c>
      <c r="B1145" s="24" t="inlineStr">
        <is>
          <t>798205197</t>
        </is>
      </c>
      <c r="C1145" s="25" t="inlineStr">
        <is>
          <t>ST102-BASKILI-KIVIRCIK-TURKUAZ-60x100</t>
        </is>
      </c>
      <c r="D1145" s="26" t="inlineStr">
        <is>
          <t>ST102-BASKILI-KIVIRCIK-TURKUAZ-60x100</t>
        </is>
      </c>
      <c r="E1145" s="27" t="inlineStr">
        <is>
          <t>60 x 100</t>
        </is>
      </c>
      <c r="F1145" s="28" t="inlineStr">
        <is>
          <t>ST102</t>
        </is>
      </c>
      <c r="G1145" s="29" t="inlineStr">
        <is>
          <t>Kapı Önü Paspası</t>
        </is>
      </c>
      <c r="H1145" s="30" t="inlineStr">
        <is>
          <t>Paspas Yap</t>
        </is>
      </c>
      <c r="I1145" s="31" t="n">
        <v>93.0</v>
      </c>
      <c r="J1145" s="32" t="n">
        <v>1249.0</v>
      </c>
      <c r="K1145" s="33" t="n">
        <v>1031.06</v>
      </c>
      <c r="L1145" s="34" t="n">
        <v>22.0</v>
      </c>
      <c r="M1145" s="35" t="n">
        <v>712.36</v>
      </c>
      <c r="N1145" s="36" t="inlineStr">
        <is>
          <t>25 Ağustos 08.00-1 Eylül 07.59</t>
        </is>
      </c>
      <c r="O1145" s="37" t="n">
        <v>14.6</v>
      </c>
      <c r="P1145" s="38" t="n">
        <v>1031.06</v>
      </c>
      <c r="Q1145" s="39"/>
      <c r="R1145" s="40" t="n">
        <f>=IF(AND(ISBLANK(Q1145), ISBLANK(U1145)), "", "7 Günlük Fiyat")</f>
        <v>0.0</v>
      </c>
      <c r="S1145" s="41" t="n">
        <f>=IF(OR(Q1145="", R1145=""), "-", IF(ISNUMBER(SEARCH("7 Günlük", R1145)), IF(Q1145&lt;=M1145, O1145, "-"), "-"))</f>
        <v>0.0</v>
      </c>
      <c r="T1145" s="42" t="str">
        <f>=IF(ISBLANK(Q1145), "", "Hayır")</f>
      </c>
      <c r="U1145" s="43"/>
      <c r="V1145" s="44" t="inlineStr">
        <is>
          <t>50461ed1-c2c8-4393-967e-55d58a3e2664</t>
        </is>
      </c>
    </row>
    <row r="1146">
      <c r="A1146" s="23" t="inlineStr">
        <is>
          <t>Baskılı Kıvırcık Paspas Dikdörtgen Çerçeve Tasarımlı Iş Yeri Kapı Paspası</t>
        </is>
      </c>
      <c r="B1146" s="24" t="inlineStr">
        <is>
          <t>798205197</t>
        </is>
      </c>
      <c r="C1146" s="25" t="inlineStr">
        <is>
          <t>ST102-BASKILI-KIVIRCIK-TURKUAZ-40x70</t>
        </is>
      </c>
      <c r="D1146" s="26" t="inlineStr">
        <is>
          <t>ST102-BASKILI-KIVIRCIK-TURKUAZ-40x70</t>
        </is>
      </c>
      <c r="E1146" s="27" t="inlineStr">
        <is>
          <t>40 x 70</t>
        </is>
      </c>
      <c r="F1146" s="28" t="inlineStr">
        <is>
          <t>ST102</t>
        </is>
      </c>
      <c r="G1146" s="29" t="inlineStr">
        <is>
          <t>Kapı Önü Paspası</t>
        </is>
      </c>
      <c r="H1146" s="30" t="inlineStr">
        <is>
          <t>Paspas Yap</t>
        </is>
      </c>
      <c r="I1146" s="31" t="n">
        <v>93.0</v>
      </c>
      <c r="J1146" s="32" t="n">
        <v>749.0</v>
      </c>
      <c r="K1146" s="33" t="n">
        <v>619.97</v>
      </c>
      <c r="L1146" s="34" t="n">
        <v>22.0</v>
      </c>
      <c r="M1146" s="35" t="n">
        <v>482.4</v>
      </c>
      <c r="N1146" s="36" t="inlineStr">
        <is>
          <t>25 Ağustos 08.00-1 Eylül 07.59</t>
        </is>
      </c>
      <c r="O1146" s="37" t="n">
        <v>16.2</v>
      </c>
      <c r="P1146" s="38" t="n">
        <v>619.97</v>
      </c>
      <c r="Q1146" s="39"/>
      <c r="R1146" s="40" t="n">
        <f>=IF(AND(ISBLANK(Q1146), ISBLANK(U1146)), "", "7 Günlük Fiyat")</f>
        <v>0.0</v>
      </c>
      <c r="S1146" s="41" t="n">
        <f>=IF(OR(Q1146="", R1146=""), "-", IF(ISNUMBER(SEARCH("7 Günlük", R1146)), IF(Q1146&lt;=M1146, O1146, "-"), "-"))</f>
        <v>0.0</v>
      </c>
      <c r="T1146" s="42" t="str">
        <f>=IF(ISBLANK(Q1146), "", "Hayır")</f>
      </c>
      <c r="U1146" s="43"/>
      <c r="V1146" s="44" t="inlineStr">
        <is>
          <t>50461ed1-c2c8-4393-967e-55d58a3e2664</t>
        </is>
      </c>
    </row>
  </sheetData>
  <dataValidations count="2">
    <dataValidation type="list" sqref="R2:R1146" allowBlank="true" errorStyle="stop">
      <formula1>"7 Günlük Fiyat"</formula1>
    </dataValidation>
    <dataValidation type="list" sqref="T2:T1146" allowBlank="true" errorStyle="stop">
      <formula1>"Evet,Hayır"</formula1>
    </dataValidation>
  </dataValidation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2026-08-25T11:38:00Z</dcterms:created>
  <dc:creator>Apache POI</dc:creator>
</cp:coreProperties>
</file>